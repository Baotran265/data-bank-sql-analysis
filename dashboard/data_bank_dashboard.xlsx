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rân\data-bank-portfolio\dashboard\"/>
    </mc:Choice>
  </mc:AlternateContent>
  <xr:revisionPtr revIDLastSave="0" documentId="13_ncr:1_{31095F4B-581C-4FE0-9F17-AD7C34467D8F}" xr6:coauthVersionLast="47" xr6:coauthVersionMax="47" xr10:uidLastSave="{00000000-0000-0000-0000-000000000000}"/>
  <bookViews>
    <workbookView xWindow="0" yWindow="192" windowWidth="12480" windowHeight="12048" activeTab="1" xr2:uid="{33594327-C413-4392-8AA4-AFC4F717FA0C}"/>
  </bookViews>
  <sheets>
    <sheet name="1. OVERVIEW" sheetId="6" r:id="rId1"/>
    <sheet name="2. BALANCE HEALTH" sheetId="7" r:id="rId2"/>
    <sheet name="3. PROVISIONING" sheetId="8" r:id="rId3"/>
    <sheet name="DATA" sheetId="5" r:id="rId4"/>
  </sheets>
  <definedNames>
    <definedName name="_xlchart.v1.0" hidden="1">DATA!$G$11:$G$14</definedName>
    <definedName name="_xlchart.v1.1" hidden="1">DATA!$H$10</definedName>
    <definedName name="_xlchart.v1.2" hidden="1">DATA!$H$11:$H$14</definedName>
    <definedName name="_xlchart.v1.3" hidden="1">DATA!$I$10</definedName>
    <definedName name="_xlchart.v1.4" hidden="1">DATA!$I$11:$I$14</definedName>
    <definedName name="_xlchart.v1.5" hidden="1">DATA!$J$10</definedName>
    <definedName name="_xlchart.v1.6" hidden="1">DATA!$J$11:$J$14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8" l="1"/>
  <c r="I4" i="8"/>
  <c r="E4" i="8"/>
  <c r="M4" i="7"/>
  <c r="I4" i="7"/>
  <c r="E4" i="7"/>
  <c r="A4" i="7"/>
  <c r="E4" i="6"/>
  <c r="M4" i="6"/>
  <c r="I4" i="6"/>
  <c r="A4" i="6"/>
</calcChain>
</file>

<file path=xl/sharedStrings.xml><?xml version="1.0" encoding="utf-8"?>
<sst xmlns="http://schemas.openxmlformats.org/spreadsheetml/2006/main" count="67" uniqueCount="51">
  <si>
    <t>2020-01</t>
  </si>
  <si>
    <t>2020-02</t>
  </si>
  <si>
    <t>2020-03</t>
  </si>
  <si>
    <t>2020-04</t>
  </si>
  <si>
    <t>Customers</t>
  </si>
  <si>
    <t>Australia</t>
  </si>
  <si>
    <t>America</t>
  </si>
  <si>
    <t>Africa</t>
  </si>
  <si>
    <t>Asia</t>
  </si>
  <si>
    <t>Europe</t>
  </si>
  <si>
    <t>deposit</t>
  </si>
  <si>
    <t>purchase</t>
  </si>
  <si>
    <t>withdrawal</t>
  </si>
  <si>
    <t>region</t>
  </si>
  <si>
    <t>customers</t>
  </si>
  <si>
    <t>nodes</t>
  </si>
  <si>
    <t>month</t>
  </si>
  <si>
    <t>txn_count</t>
  </si>
  <si>
    <t>active_customers</t>
  </si>
  <si>
    <t>txn_type</t>
  </si>
  <si>
    <t>unique_customers</t>
  </si>
  <si>
    <t>total_amount</t>
  </si>
  <si>
    <t>avg_closing</t>
  </si>
  <si>
    <t>neg_customers</t>
  </si>
  <si>
    <t>qualifying</t>
  </si>
  <si>
    <t>up_over_5pct</t>
  </si>
  <si>
    <t>opt1</t>
  </si>
  <si>
    <t>opt2</t>
  </si>
  <si>
    <t>opt3</t>
  </si>
  <si>
    <t>simple</t>
  </si>
  <si>
    <t>compound</t>
  </si>
  <si>
    <t>interest_earned</t>
  </si>
  <si>
    <t>Nodes</t>
  </si>
  <si>
    <t>Transactions</t>
  </si>
  <si>
    <t>Net Flow</t>
  </si>
  <si>
    <t>OVERVIEW</t>
  </si>
  <si>
    <t>avg_of_min</t>
  </si>
  <si>
    <t>avg_of_avg</t>
  </si>
  <si>
    <t>avg_of_max</t>
  </si>
  <si>
    <t>pct_ever_negative</t>
  </si>
  <si>
    <t>BALANCE HEALTH</t>
  </si>
  <si>
    <t>AVG OF MIN</t>
  </si>
  <si>
    <t>AVG OF MAX</t>
  </si>
  <si>
    <t>AVG OF AVG</t>
  </si>
  <si>
    <t>PROVISIONING</t>
  </si>
  <si>
    <t>Baseline (Opt1/2)</t>
  </si>
  <si>
    <t>Peak (Opt3)</t>
  </si>
  <si>
    <t>Overhead lãi</t>
  </si>
  <si>
    <t>Khuyến nghị</t>
  </si>
  <si>
    <t>% EVER NEGATIVE</t>
  </si>
  <si>
    <t>Option 3 (Real-time)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</si>
</sst>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2" borderId="0" xfId="0" applyFill="1"/>
    <xf numFmtId="170" fontId="0" fillId="2" borderId="0" xfId="1" applyNumberFormat="1" applyFont="1" applyFill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70" fontId="0" fillId="4" borderId="4" xfId="1" applyNumberFormat="1" applyFont="1" applyFill="1" applyBorder="1" applyAlignment="1">
      <alignment horizontal="center"/>
    </xf>
    <xf numFmtId="170" fontId="0" fillId="4" borderId="5" xfId="1" applyNumberFormat="1" applyFont="1" applyFill="1" applyBorder="1" applyAlignment="1">
      <alignment horizontal="center"/>
    </xf>
    <xf numFmtId="170" fontId="0" fillId="4" borderId="6" xfId="1" applyNumberFormat="1" applyFont="1" applyFill="1" applyBorder="1" applyAlignment="1">
      <alignment horizontal="center"/>
    </xf>
    <xf numFmtId="0" fontId="0" fillId="5" borderId="0" xfId="0" applyFill="1"/>
    <xf numFmtId="10" fontId="0" fillId="4" borderId="4" xfId="1" applyNumberFormat="1" applyFont="1" applyFill="1" applyBorder="1" applyAlignment="1">
      <alignment horizontal="center" wrapText="1"/>
    </xf>
    <xf numFmtId="10" fontId="0" fillId="4" borderId="5" xfId="1" applyNumberFormat="1" applyFont="1" applyFill="1" applyBorder="1" applyAlignment="1">
      <alignment horizontal="center"/>
    </xf>
    <xf numFmtId="10" fontId="0" fillId="4" borderId="6" xfId="1" applyNumberFormat="1" applyFont="1" applyFill="1" applyBorder="1" applyAlignment="1">
      <alignment horizontal="center"/>
    </xf>
    <xf numFmtId="3" fontId="0" fillId="5" borderId="0" xfId="0" applyNumberFormat="1" applyFill="1"/>
    <xf numFmtId="3" fontId="0" fillId="4" borderId="4" xfId="0" applyNumberFormat="1" applyFill="1" applyBorder="1" applyAlignment="1">
      <alignment horizontal="center"/>
    </xf>
    <xf numFmtId="3" fontId="0" fillId="4" borderId="5" xfId="0" applyNumberFormat="1" applyFill="1" applyBorder="1" applyAlignment="1">
      <alignment horizontal="center"/>
    </xf>
    <xf numFmtId="3" fontId="0" fillId="4" borderId="6" xfId="0" applyNumberFormat="1" applyFill="1" applyBorder="1" applyAlignment="1">
      <alignment horizontal="center"/>
    </xf>
    <xf numFmtId="3" fontId="0" fillId="4" borderId="4" xfId="0" applyNumberFormat="1" applyFill="1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1F38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Phân bổ customers đồng đều: 88–110/region, không region quá tải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DATA!$A$2:$A$6</c:f>
              <c:strCache>
                <c:ptCount val="5"/>
                <c:pt idx="0">
                  <c:v>Australia</c:v>
                </c:pt>
                <c:pt idx="1">
                  <c:v>America</c:v>
                </c:pt>
                <c:pt idx="2">
                  <c:v>Africa</c:v>
                </c:pt>
                <c:pt idx="3">
                  <c:v>Asia</c:v>
                </c:pt>
                <c:pt idx="4">
                  <c:v>Europe</c:v>
                </c:pt>
              </c:strCache>
            </c:strRef>
          </c:cat>
          <c:val>
            <c:numRef>
              <c:f>DATA!$B$2:$B$6</c:f>
              <c:numCache>
                <c:formatCode>General</c:formatCode>
                <c:ptCount val="5"/>
                <c:pt idx="0">
                  <c:v>110</c:v>
                </c:pt>
                <c:pt idx="1">
                  <c:v>105</c:v>
                </c:pt>
                <c:pt idx="2">
                  <c:v>102</c:v>
                </c:pt>
                <c:pt idx="3">
                  <c:v>95</c:v>
                </c:pt>
                <c:pt idx="4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7-4C4E-B637-80C5A3EF847F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6172175"/>
        <c:axId val="1674542671"/>
      </c:barChart>
      <c:catAx>
        <c:axId val="1796172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542671"/>
        <c:crosses val="autoZero"/>
        <c:auto val="1"/>
        <c:lblAlgn val="ctr"/>
        <c:lblOffset val="100"/>
        <c:noMultiLvlLbl val="0"/>
      </c:catAx>
      <c:valAx>
        <c:axId val="167454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172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Giao dịch tăng đều Jan→Mar (+24.8%); April sụt do tháng cắt cụt (P-10)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DATA!$G$1</c:f>
              <c:strCache>
                <c:ptCount val="1"/>
                <c:pt idx="0">
                  <c:v>txn_count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DATA!$F$2:$F$5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DATA!$G$2:$G$5</c:f>
              <c:numCache>
                <c:formatCode>General</c:formatCode>
                <c:ptCount val="4"/>
                <c:pt idx="0">
                  <c:v>1497</c:v>
                </c:pt>
                <c:pt idx="1">
                  <c:v>1715</c:v>
                </c:pt>
                <c:pt idx="2">
                  <c:v>1869</c:v>
                </c:pt>
                <c:pt idx="3">
                  <c:v>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66-44F6-91EF-E5D498DCF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6175887"/>
        <c:axId val="1674527311"/>
      </c:barChart>
      <c:lineChart>
        <c:grouping val="standard"/>
        <c:varyColors val="0"/>
        <c:ser>
          <c:idx val="1"/>
          <c:order val="1"/>
          <c:tx>
            <c:strRef>
              <c:f>DATA!$H$1</c:f>
              <c:strCache>
                <c:ptCount val="1"/>
                <c:pt idx="0">
                  <c:v>active_customers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DATA!$F$2:$F$5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DATA!$H$2:$H$5</c:f>
              <c:numCache>
                <c:formatCode>General</c:formatCode>
                <c:ptCount val="4"/>
                <c:pt idx="0">
                  <c:v>500</c:v>
                </c:pt>
                <c:pt idx="1">
                  <c:v>455</c:v>
                </c:pt>
                <c:pt idx="2">
                  <c:v>456</c:v>
                </c:pt>
                <c:pt idx="3">
                  <c:v>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6-44F6-91EF-E5D498DCF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6167999"/>
        <c:axId val="1674539311"/>
      </c:lineChart>
      <c:catAx>
        <c:axId val="1796175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527311"/>
        <c:crosses val="autoZero"/>
        <c:auto val="1"/>
        <c:lblAlgn val="ctr"/>
        <c:lblOffset val="100"/>
        <c:noMultiLvlLbl val="0"/>
      </c:catAx>
      <c:valAx>
        <c:axId val="16745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175887"/>
        <c:crosses val="autoZero"/>
        <c:crossBetween val="between"/>
      </c:valAx>
      <c:valAx>
        <c:axId val="167453931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167999"/>
        <c:crosses val="max"/>
        <c:crossBetween val="between"/>
      </c:valAx>
      <c:catAx>
        <c:axId val="17961679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745393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Deposit 45% nhưng ~90% khách dùng purchase/withdrawal → spending wallet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DATA!$K$1</c:f>
              <c:strCache>
                <c:ptCount val="1"/>
                <c:pt idx="0">
                  <c:v>txn_count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1A3-4225-8C42-1F03603265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1A3-4225-8C42-1F03603265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1A3-4225-8C42-1F036032654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DATA!$J$2:$J$4</c:f>
              <c:strCache>
                <c:ptCount val="3"/>
                <c:pt idx="0">
                  <c:v>deposit</c:v>
                </c:pt>
                <c:pt idx="1">
                  <c:v>purchase</c:v>
                </c:pt>
                <c:pt idx="2">
                  <c:v>withdrawal</c:v>
                </c:pt>
              </c:strCache>
            </c:strRef>
          </c:cat>
          <c:val>
            <c:numRef>
              <c:f>DATA!$K$2:$K$4</c:f>
              <c:numCache>
                <c:formatCode>General</c:formatCode>
                <c:ptCount val="3"/>
                <c:pt idx="0">
                  <c:v>2671</c:v>
                </c:pt>
                <c:pt idx="1">
                  <c:v>1617</c:v>
                </c:pt>
                <c:pt idx="2">
                  <c:v>1580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A3-4225-8C42-1F03603265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Số dư trung bình rơi từ +252 xuống −481 đúng lúc dân số âm phình 157→284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DATA!$C$10</c:f>
              <c:strCache>
                <c:ptCount val="1"/>
                <c:pt idx="0">
                  <c:v>neg_customers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DATA!$A$11:$A$14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DATA!$C$11:$C$14</c:f>
              <c:numCache>
                <c:formatCode>General</c:formatCode>
                <c:ptCount val="4"/>
                <c:pt idx="0">
                  <c:v>157</c:v>
                </c:pt>
                <c:pt idx="1">
                  <c:v>237</c:v>
                </c:pt>
                <c:pt idx="2">
                  <c:v>271</c:v>
                </c:pt>
                <c:pt idx="3">
                  <c:v>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D6-BD1A-77FA5AFF7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91173007"/>
        <c:axId val="1674564271"/>
      </c:barChart>
      <c:lineChart>
        <c:grouping val="standard"/>
        <c:varyColors val="0"/>
        <c:ser>
          <c:idx val="0"/>
          <c:order val="0"/>
          <c:tx>
            <c:strRef>
              <c:f>DATA!$B$10</c:f>
              <c:strCache>
                <c:ptCount val="1"/>
                <c:pt idx="0">
                  <c:v>avg_closing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DATA!$A$11:$A$14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DATA!$B$11:$B$14</c:f>
              <c:numCache>
                <c:formatCode>General</c:formatCode>
                <c:ptCount val="4"/>
                <c:pt idx="0">
                  <c:v>252.18</c:v>
                </c:pt>
                <c:pt idx="1">
                  <c:v>-27.42</c:v>
                </c:pt>
                <c:pt idx="2">
                  <c:v>-369.18</c:v>
                </c:pt>
                <c:pt idx="3">
                  <c:v>-480.74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4-40D6-BD1A-77FA5AFF7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7866607"/>
        <c:axId val="1674456271"/>
      </c:lineChart>
      <c:catAx>
        <c:axId val="119117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564271"/>
        <c:crosses val="autoZero"/>
        <c:auto val="1"/>
        <c:lblAlgn val="ctr"/>
        <c:lblOffset val="100"/>
        <c:noMultiLvlLbl val="0"/>
      </c:catAx>
      <c:valAx>
        <c:axId val="167456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73007"/>
        <c:crosses val="autoZero"/>
        <c:crossBetween val="between"/>
      </c:valAx>
      <c:valAx>
        <c:axId val="167445627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866607"/>
        <c:crosses val="max"/>
        <c:crossBetween val="between"/>
      </c:valAx>
      <c:catAx>
        <c:axId val="18578666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7445627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Engagement 'khỏe' tăng 33.6%→38.4%; April (70) là tháng cắt cụt, không phải churn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DATA!$A$11</c:f>
              <c:strCache>
                <c:ptCount val="1"/>
                <c:pt idx="0">
                  <c:v>2020-01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DATA!$D$10</c:f>
              <c:strCache>
                <c:ptCount val="1"/>
                <c:pt idx="0">
                  <c:v>qualifying</c:v>
                </c:pt>
              </c:strCache>
            </c:strRef>
          </c:cat>
          <c:val>
            <c:numRef>
              <c:f>DATA!$D$11</c:f>
              <c:numCache>
                <c:formatCode>General</c:formatCode>
                <c:ptCount val="1"/>
                <c:pt idx="0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96-43CF-85CE-6FA32089338A}"/>
            </c:ext>
          </c:extLst>
        </c:ser>
        <c:ser>
          <c:idx val="1"/>
          <c:order val="1"/>
          <c:tx>
            <c:strRef>
              <c:f>DATA!$A$12</c:f>
              <c:strCache>
                <c:ptCount val="1"/>
                <c:pt idx="0">
                  <c:v>2020-02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DATA!$D$10</c:f>
              <c:strCache>
                <c:ptCount val="1"/>
                <c:pt idx="0">
                  <c:v>qualifying</c:v>
                </c:pt>
              </c:strCache>
            </c:strRef>
          </c:cat>
          <c:val>
            <c:numRef>
              <c:f>DATA!$D$12</c:f>
              <c:numCache>
                <c:formatCode>General</c:formatCode>
                <c:ptCount val="1"/>
                <c:pt idx="0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96-43CF-85CE-6FA32089338A}"/>
            </c:ext>
          </c:extLst>
        </c:ser>
        <c:ser>
          <c:idx val="2"/>
          <c:order val="2"/>
          <c:tx>
            <c:strRef>
              <c:f>DATA!$A$13</c:f>
              <c:strCache>
                <c:ptCount val="1"/>
                <c:pt idx="0">
                  <c:v>2020-03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DATA!$D$10</c:f>
              <c:strCache>
                <c:ptCount val="1"/>
                <c:pt idx="0">
                  <c:v>qualifying</c:v>
                </c:pt>
              </c:strCache>
            </c:strRef>
          </c:cat>
          <c:val>
            <c:numRef>
              <c:f>DATA!$D$13</c:f>
              <c:numCache>
                <c:formatCode>General</c:formatCode>
                <c:ptCount val="1"/>
                <c:pt idx="0">
                  <c:v>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96-43CF-85CE-6FA32089338A}"/>
            </c:ext>
          </c:extLst>
        </c:ser>
        <c:ser>
          <c:idx val="3"/>
          <c:order val="3"/>
          <c:tx>
            <c:strRef>
              <c:f>DATA!$A$14</c:f>
              <c:strCache>
                <c:ptCount val="1"/>
                <c:pt idx="0">
                  <c:v>2020-04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DATA!$D$10</c:f>
              <c:strCache>
                <c:ptCount val="1"/>
                <c:pt idx="0">
                  <c:v>qualifying</c:v>
                </c:pt>
              </c:strCache>
            </c:strRef>
          </c:cat>
          <c:val>
            <c:numRef>
              <c:f>DATA!$D$14</c:f>
              <c:numCache>
                <c:formatCode>General</c:formatCode>
                <c:ptCount val="1"/>
                <c:pt idx="0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96-43CF-85CE-6FA3208933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6848831"/>
        <c:axId val="1674498031"/>
      </c:barChart>
      <c:catAx>
        <c:axId val="17268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498031"/>
        <c:crosses val="autoZero"/>
        <c:auto val="1"/>
        <c:lblAlgn val="ctr"/>
        <c:lblOffset val="100"/>
        <c:noMultiLvlLbl val="0"/>
      </c:catAx>
      <c:valAx>
        <c:axId val="167449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848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Số khách tăng &gt;5%/tháng giảm dần: 127 → 85 → 48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DATA!$E$10</c:f>
              <c:strCache>
                <c:ptCount val="1"/>
                <c:pt idx="0">
                  <c:v>up_over_5pct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DATA!$A$11:$A$14</c15:sqref>
                  </c15:fullRef>
                </c:ext>
              </c:extLst>
              <c:f>DATA!$A$12:$A$14</c:f>
              <c:strCache>
                <c:ptCount val="3"/>
                <c:pt idx="0">
                  <c:v>2020-02</c:v>
                </c:pt>
                <c:pt idx="1">
                  <c:v>2020-03</c:v>
                </c:pt>
                <c:pt idx="2">
                  <c:v>2020-04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DATA!$E$11:$E$14</c15:sqref>
                  </c15:fullRef>
                </c:ext>
              </c:extLst>
              <c:f>DATA!$E$12:$E$14</c:f>
              <c:numCache>
                <c:formatCode>General</c:formatCode>
                <c:ptCount val="3"/>
                <c:pt idx="0">
                  <c:v>127</c:v>
                </c:pt>
                <c:pt idx="1">
                  <c:v>85</c:v>
                </c:pt>
                <c:pt idx="2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17-41B5-9637-021762AA9B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8996223"/>
        <c:axId val="1674547471"/>
      </c:lineChart>
      <c:catAx>
        <c:axId val="185899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547471"/>
        <c:crosses val="autoZero"/>
        <c:auto val="1"/>
        <c:lblAlgn val="ctr"/>
        <c:lblOffset val="100"/>
        <c:noMultiLvlLbl val="0"/>
      </c:catAx>
      <c:valAx>
        <c:axId val="167454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8996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Option 3 luôn cao nhất (314k–410k) — cái giá của cam kết real-time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DATA!$H$10</c:f>
              <c:strCache>
                <c:ptCount val="1"/>
                <c:pt idx="0">
                  <c:v>opt1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DATA!$G$11:$G$14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DATA!$H$11:$H$14</c:f>
              <c:numCache>
                <c:formatCode>General</c:formatCode>
                <c:ptCount val="4"/>
                <c:pt idx="1">
                  <c:v>235595</c:v>
                </c:pt>
                <c:pt idx="2">
                  <c:v>261508</c:v>
                </c:pt>
                <c:pt idx="3">
                  <c:v>260971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8-43CF-8C01-2E839B296CB9}"/>
            </c:ext>
          </c:extLst>
        </c:ser>
        <c:ser>
          <c:idx val="1"/>
          <c:order val="1"/>
          <c:tx>
            <c:strRef>
              <c:f>DATA!$I$10</c:f>
              <c:strCache>
                <c:ptCount val="1"/>
                <c:pt idx="0">
                  <c:v>opt2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DATA!$G$11:$G$14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DATA!$I$11:$I$14</c:f>
              <c:numCache>
                <c:formatCode>General</c:formatCode>
                <c:ptCount val="4"/>
                <c:pt idx="1">
                  <c:v>128433</c:v>
                </c:pt>
                <c:pt idx="2">
                  <c:v>244605</c:v>
                </c:pt>
                <c:pt idx="3">
                  <c:v>257327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E8-43CF-8C01-2E839B296CB9}"/>
            </c:ext>
          </c:extLst>
        </c:ser>
        <c:ser>
          <c:idx val="2"/>
          <c:order val="2"/>
          <c:tx>
            <c:strRef>
              <c:f>DATA!$J$10</c:f>
              <c:strCache>
                <c:ptCount val="1"/>
                <c:pt idx="0">
                  <c:v>opt3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DATA!$G$11:$G$14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DATA!$J$11:$J$14</c:f>
              <c:numCache>
                <c:formatCode>General</c:formatCode>
                <c:ptCount val="4"/>
                <c:pt idx="0">
                  <c:v>356618</c:v>
                </c:pt>
                <c:pt idx="1">
                  <c:v>410126</c:v>
                </c:pt>
                <c:pt idx="2">
                  <c:v>399620</c:v>
                </c:pt>
                <c:pt idx="3">
                  <c:v>314374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E8-43CF-8C01-2E839B296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5534783"/>
        <c:axId val="1674487471"/>
      </c:barChart>
      <c:catAx>
        <c:axId val="185553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487471"/>
        <c:crosses val="autoZero"/>
        <c:auto val="1"/>
        <c:lblAlgn val="ctr"/>
        <c:lblOffset val="100"/>
        <c:noMultiLvlLbl val="0"/>
      </c:catAx>
      <c:valAx>
        <c:axId val="167448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34783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Nghịch lý: lãi kép &lt; lãi đơn ở mọi tháng (net-spenders 'ăn' mất lãi nhập gốc)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1825033007134385E-2"/>
          <c:y val="0.16353127258764791"/>
          <c:w val="0.92558876028616832"/>
          <c:h val="0.633329352468333"/>
        </c:manualLayout>
      </c:layout>
      <c:lineChart>
        <c:grouping val="standard"/>
        <c:varyColors val="0"/>
        <c:ser>
          <c:idx val="0"/>
          <c:order val="0"/>
          <c:tx>
            <c:strRef>
              <c:f>DATA!$M$10</c:f>
              <c:strCache>
                <c:ptCount val="1"/>
                <c:pt idx="0">
                  <c:v>simple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DATA!$L$11:$L$14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DATA!$M$11:$M$14</c:f>
              <c:numCache>
                <c:formatCode>General</c:formatCode>
                <c:ptCount val="4"/>
                <c:pt idx="0">
                  <c:v>236276.51</c:v>
                </c:pt>
                <c:pt idx="1">
                  <c:v>263436.93</c:v>
                </c:pt>
                <c:pt idx="2">
                  <c:v>264265.67</c:v>
                </c:pt>
                <c:pt idx="3">
                  <c:v>269352.8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F2-4C0E-93AE-999F86716159}"/>
            </c:ext>
          </c:extLst>
        </c:ser>
        <c:ser>
          <c:idx val="1"/>
          <c:order val="1"/>
          <c:tx>
            <c:strRef>
              <c:f>DATA!$N$10</c:f>
              <c:strCache>
                <c:ptCount val="1"/>
                <c:pt idx="0">
                  <c:v>compound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DATA!$L$11:$L$14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DATA!$N$11:$N$14</c:f>
              <c:numCache>
                <c:formatCode>General</c:formatCode>
                <c:ptCount val="4"/>
                <c:pt idx="0">
                  <c:v>236185.32</c:v>
                </c:pt>
                <c:pt idx="1">
                  <c:v>263094.77</c:v>
                </c:pt>
                <c:pt idx="2">
                  <c:v>263549.34999999998</c:v>
                </c:pt>
                <c:pt idx="3">
                  <c:v>268469.18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F2-4C0E-93AE-999F867161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5021375"/>
        <c:axId val="1674565711"/>
      </c:lineChart>
      <c:catAx>
        <c:axId val="181502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565711"/>
        <c:crosses val="autoZero"/>
        <c:auto val="1"/>
        <c:lblAlgn val="ctr"/>
        <c:lblOffset val="100"/>
        <c:noMultiLvlLbl val="0"/>
      </c:catAx>
      <c:valAx>
        <c:axId val="16745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5021375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27701437117964"/>
          <c:y val="0.89914270220653325"/>
          <c:w val="0.18575863954505686"/>
          <c:h val="7.71825700513016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1" u="none" strike="noStrike" baseline="0">
                <a:effectLst/>
              </a:rPr>
              <a:t>Lãi chỉ thêm ~1.7% nhu cầu storage — nhỏ, mượt, dự báo được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DATA!$O$10</c:f>
              <c:strCache>
                <c:ptCount val="1"/>
                <c:pt idx="0">
                  <c:v>interest_earned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DATA!$L$11:$L$14</c:f>
              <c:strCache>
                <c:ptCount val="4"/>
                <c:pt idx="0">
                  <c:v>2020-01</c:v>
                </c:pt>
                <c:pt idx="1">
                  <c:v>2020-02</c:v>
                </c:pt>
                <c:pt idx="2">
                  <c:v>2020-03</c:v>
                </c:pt>
                <c:pt idx="3">
                  <c:v>2020-04</c:v>
                </c:pt>
              </c:strCache>
            </c:strRef>
          </c:cat>
          <c:val>
            <c:numRef>
              <c:f>DATA!$O$11:$O$14</c:f>
              <c:numCache>
                <c:formatCode>General</c:formatCode>
                <c:ptCount val="4"/>
                <c:pt idx="0">
                  <c:v>681.51</c:v>
                </c:pt>
                <c:pt idx="1">
                  <c:v>1247.4100000000001</c:v>
                </c:pt>
                <c:pt idx="2">
                  <c:v>1365.74</c:v>
                </c:pt>
                <c:pt idx="3">
                  <c:v>1201.1300000000001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D-414A-BCF5-D7BED0FCB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5048751"/>
        <c:axId val="1674484591"/>
      </c:barChart>
      <c:catAx>
        <c:axId val="181504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4484591"/>
        <c:crosses val="autoZero"/>
        <c:auto val="1"/>
        <c:lblAlgn val="ctr"/>
        <c:lblOffset val="100"/>
        <c:noMultiLvlLbl val="0"/>
      </c:catAx>
      <c:valAx>
        <c:axId val="1674484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5048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483220</xdr:colOff>
      <xdr:row>19</xdr:row>
      <xdr:rowOff>170659</xdr:rowOff>
    </xdr:from>
    <xdr:to>
      <xdr:col>14</xdr:col>
      <xdr:colOff>594732</xdr:colOff>
      <xdr:row>35</xdr:row>
      <xdr:rowOff>19168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2B4895-960E-4E4B-AE96-61FC6776EE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493380</xdr:colOff>
      <xdr:row>4</xdr:row>
      <xdr:rowOff>54137</xdr:rowOff>
    </xdr:from>
    <xdr:to>
      <xdr:col>14</xdr:col>
      <xdr:colOff>604892</xdr:colOff>
      <xdr:row>19</xdr:row>
      <xdr:rowOff>90232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158CD-BF0F-477F-ACAD-273C8568E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</xdr:row>
      <xdr:rowOff>55647</xdr:rowOff>
    </xdr:from>
    <xdr:to>
      <xdr:col>6</xdr:col>
      <xdr:colOff>408878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0796A58-1C0D-4AF0-9ED3-34AFC9834C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139654</xdr:rowOff>
    </xdr:from>
    <xdr:to>
      <xdr:col>14</xdr:col>
      <xdr:colOff>592666</xdr:colOff>
      <xdr:row>34</xdr:row>
      <xdr:rowOff>139654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3CF6E7-7F29-47AE-BBF8-F66A476B78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</xdr:row>
      <xdr:rowOff>69426</xdr:rowOff>
    </xdr:from>
    <xdr:to>
      <xdr:col>7</xdr:col>
      <xdr:colOff>304800</xdr:colOff>
      <xdr:row>19</xdr:row>
      <xdr:rowOff>69426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123402-88AB-4910-A91A-97642E7134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354838</xdr:colOff>
      <xdr:row>4</xdr:row>
      <xdr:rowOff>74485</xdr:rowOff>
    </xdr:from>
    <xdr:to>
      <xdr:col>14</xdr:col>
      <xdr:colOff>592666</xdr:colOff>
      <xdr:row>19</xdr:row>
      <xdr:rowOff>74486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D85B85-D6C4-4254-98DB-605F7A46B1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162463</xdr:colOff>
      <xdr:row>4</xdr:row>
      <xdr:rowOff>73358</xdr:rowOff>
    </xdr:from>
    <xdr:to>
      <xdr:col>14</xdr:col>
      <xdr:colOff>602225</xdr:colOff>
      <xdr:row>19</xdr:row>
      <xdr:rowOff>135448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855FFD-3028-4E5E-8CFE-A4A0B5DBFA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12291</xdr:colOff>
      <xdr:row>20</xdr:row>
      <xdr:rowOff>0</xdr:rowOff>
    </xdr:from>
    <xdr:to>
      <xdr:col>15</xdr:col>
      <xdr:colOff>12291</xdr:colOff>
      <xdr:row>35</xdr:row>
      <xdr:rowOff>62090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726CD5-FE3F-4CAB-8EC0-A05C7E2EA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</xdr:row>
      <xdr:rowOff>73357</xdr:rowOff>
    </xdr:from>
    <xdr:to>
      <xdr:col>6</xdr:col>
      <xdr:colOff>98322</xdr:colOff>
      <xdr:row>19</xdr:row>
      <xdr:rowOff>135446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D636D4-7F14-4CAB-864D-BE0D6BD0E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719F9-6589-4D82-96D3-FEA401A87C4A}">
  <dimension ref="A1:O4"/>
  <sheetViews>
    <sheetView showGridLines="0" showRowColHeaders="0" zoomScale="80" zoomScaleNormal="80" workbookViewId="0">
      <selection activeCell="R20" sqref="R20"/>
    </sheetView>
  </sheetViews>
  <sheetFormatPr defaultRowHeight="14.4" x14ac:dyDescent="0.3"/>
  <cols>
    <col min="1" max="16384" width="8.88671875" style="15"/>
  </cols>
  <sheetData>
    <row r="1" spans="1:15" x14ac:dyDescent="0.3">
      <c r="A1" s="1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3">
      <c r="A3" s="6" t="s">
        <v>4</v>
      </c>
      <c r="B3" s="7"/>
      <c r="C3" s="8"/>
      <c r="E3" s="6" t="s">
        <v>32</v>
      </c>
      <c r="F3" s="7"/>
      <c r="G3" s="8"/>
      <c r="I3" s="6" t="s">
        <v>33</v>
      </c>
      <c r="J3" s="7"/>
      <c r="K3" s="8"/>
      <c r="M3" s="6" t="s">
        <v>34</v>
      </c>
      <c r="N3" s="7"/>
      <c r="O3" s="8"/>
    </row>
    <row r="4" spans="1:15" x14ac:dyDescent="0.3">
      <c r="A4" s="9">
        <f>SUM(DATA!B2:B6)</f>
        <v>500</v>
      </c>
      <c r="B4" s="10"/>
      <c r="C4" s="11"/>
      <c r="E4" s="9">
        <f>SUM(DATA!C2:C6)</f>
        <v>25</v>
      </c>
      <c r="F4" s="10"/>
      <c r="G4" s="11"/>
      <c r="I4" s="20">
        <f>SUM(DATA!K2:K4)</f>
        <v>5868</v>
      </c>
      <c r="J4" s="21"/>
      <c r="K4" s="22"/>
      <c r="M4" s="20">
        <f>DATA!M2-DATA!M3-DATA!M4</f>
        <v>-240372</v>
      </c>
      <c r="N4" s="21"/>
      <c r="O4" s="22"/>
    </row>
  </sheetData>
  <mergeCells count="9">
    <mergeCell ref="A1:O2"/>
    <mergeCell ref="A3:C3"/>
    <mergeCell ref="A4:C4"/>
    <mergeCell ref="E3:G3"/>
    <mergeCell ref="E4:G4"/>
    <mergeCell ref="I3:K3"/>
    <mergeCell ref="I4:K4"/>
    <mergeCell ref="M3:O3"/>
    <mergeCell ref="M4:O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FB38D-5A5E-4229-99CD-72D66BE6F2FD}">
  <sheetPr>
    <pageSetUpPr autoPageBreaks="0"/>
  </sheetPr>
  <dimension ref="A1:O9"/>
  <sheetViews>
    <sheetView showGridLines="0" showRowColHeaders="0" tabSelected="1" zoomScale="80" zoomScaleNormal="80" workbookViewId="0">
      <selection activeCell="A4" sqref="A4:C4"/>
    </sheetView>
  </sheetViews>
  <sheetFormatPr defaultRowHeight="14.4" x14ac:dyDescent="0.3"/>
  <cols>
    <col min="1" max="16384" width="8.88671875" style="4"/>
  </cols>
  <sheetData>
    <row r="1" spans="1:15" x14ac:dyDescent="0.3">
      <c r="A1" s="3" t="s">
        <v>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3">
      <c r="A3" s="6" t="s">
        <v>41</v>
      </c>
      <c r="B3" s="7"/>
      <c r="C3" s="8"/>
      <c r="E3" s="6" t="s">
        <v>43</v>
      </c>
      <c r="F3" s="7"/>
      <c r="G3" s="8"/>
      <c r="I3" s="6" t="s">
        <v>42</v>
      </c>
      <c r="J3" s="7"/>
      <c r="K3" s="8"/>
      <c r="M3" s="6" t="s">
        <v>49</v>
      </c>
      <c r="N3" s="7"/>
      <c r="O3" s="8"/>
    </row>
    <row r="4" spans="1:15" x14ac:dyDescent="0.3">
      <c r="A4" s="20">
        <f>ROUND(DATA!A21,0)</f>
        <v>-1251</v>
      </c>
      <c r="B4" s="21"/>
      <c r="C4" s="22"/>
      <c r="E4" s="9">
        <f>DATA!B21</f>
        <v>-9.89</v>
      </c>
      <c r="F4" s="10"/>
      <c r="G4" s="11"/>
      <c r="I4" s="20">
        <f>ROUND(DATA!C21,0)</f>
        <v>1239</v>
      </c>
      <c r="J4" s="21"/>
      <c r="K4" s="22"/>
      <c r="M4" s="12">
        <f>DATA!D21</f>
        <v>0.746</v>
      </c>
      <c r="N4" s="13"/>
      <c r="O4" s="14"/>
    </row>
    <row r="9" spans="1:15" x14ac:dyDescent="0.3">
      <c r="M9" s="5"/>
    </row>
  </sheetData>
  <mergeCells count="9">
    <mergeCell ref="A1:O2"/>
    <mergeCell ref="A3:C3"/>
    <mergeCell ref="E3:G3"/>
    <mergeCell ref="I3:K3"/>
    <mergeCell ref="M3:O3"/>
    <mergeCell ref="A4:C4"/>
    <mergeCell ref="E4:G4"/>
    <mergeCell ref="I4:K4"/>
    <mergeCell ref="M4:O4"/>
  </mergeCells>
  <pageMargins left="0.7" right="0.7" top="0.75" bottom="0.75" header="0.3" footer="0.3"/>
  <pageSetup scale="63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C26E5-3F63-4874-B418-16E1E65343CD}">
  <sheetPr>
    <pageSetUpPr autoPageBreaks="0"/>
  </sheetPr>
  <dimension ref="A1:P31"/>
  <sheetViews>
    <sheetView showGridLines="0" showRowColHeaders="0" zoomScale="80" zoomScaleNormal="80" zoomScaleSheetLayoutView="80" workbookViewId="0">
      <selection activeCell="R18" sqref="R18"/>
    </sheetView>
  </sheetViews>
  <sheetFormatPr defaultRowHeight="14.4" x14ac:dyDescent="0.3"/>
  <cols>
    <col min="1" max="16384" width="8.88671875" style="15"/>
  </cols>
  <sheetData>
    <row r="1" spans="1:15" x14ac:dyDescent="0.3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3">
      <c r="A3" s="6" t="s">
        <v>45</v>
      </c>
      <c r="B3" s="7"/>
      <c r="C3" s="8"/>
      <c r="E3" s="6" t="s">
        <v>46</v>
      </c>
      <c r="F3" s="7"/>
      <c r="G3" s="8"/>
      <c r="I3" s="6" t="s">
        <v>47</v>
      </c>
      <c r="J3" s="7"/>
      <c r="K3" s="8"/>
      <c r="M3" s="6" t="s">
        <v>48</v>
      </c>
      <c r="N3" s="7"/>
      <c r="O3" s="8"/>
    </row>
    <row r="4" spans="1:15" x14ac:dyDescent="0.3">
      <c r="A4" s="23">
        <f>ROUND(AVERAGE(DATA!H14:I14),0)</f>
        <v>259149</v>
      </c>
      <c r="B4" s="21"/>
      <c r="C4" s="22"/>
      <c r="E4" s="20">
        <f>MAX(DATA!J11:J14)</f>
        <v>410126</v>
      </c>
      <c r="F4" s="21"/>
      <c r="G4" s="22"/>
      <c r="I4" s="16">
        <f>SUM(DATA!O11:O14)/DATA!M14</f>
        <v>1.6691083218737655E-2</v>
      </c>
      <c r="J4" s="17"/>
      <c r="K4" s="18"/>
      <c r="M4" s="12" t="s">
        <v>50</v>
      </c>
      <c r="N4" s="13"/>
      <c r="O4" s="14"/>
    </row>
    <row r="31" spans="16:16" x14ac:dyDescent="0.3">
      <c r="P31" s="19"/>
    </row>
  </sheetData>
  <mergeCells count="9">
    <mergeCell ref="A1:O2"/>
    <mergeCell ref="A3:C3"/>
    <mergeCell ref="E3:G3"/>
    <mergeCell ref="I3:K3"/>
    <mergeCell ref="M3:O3"/>
    <mergeCell ref="A4:C4"/>
    <mergeCell ref="E4:G4"/>
    <mergeCell ref="I4:K4"/>
    <mergeCell ref="M4:O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51C9D-6517-4999-8FE7-5E8DFCD0350C}">
  <dimension ref="A1:O21"/>
  <sheetViews>
    <sheetView zoomScale="78" workbookViewId="0">
      <selection activeCell="B10" sqref="B10"/>
    </sheetView>
  </sheetViews>
  <sheetFormatPr defaultRowHeight="14.4" x14ac:dyDescent="0.3"/>
  <sheetData>
    <row r="1" spans="1:15" x14ac:dyDescent="0.3">
      <c r="A1" t="s">
        <v>13</v>
      </c>
      <c r="B1" t="s">
        <v>14</v>
      </c>
      <c r="C1" t="s">
        <v>15</v>
      </c>
      <c r="F1" t="s">
        <v>16</v>
      </c>
      <c r="G1" t="s">
        <v>17</v>
      </c>
      <c r="H1" t="s">
        <v>18</v>
      </c>
      <c r="J1" t="s">
        <v>19</v>
      </c>
      <c r="K1" t="s">
        <v>17</v>
      </c>
      <c r="L1" t="s">
        <v>20</v>
      </c>
      <c r="M1" t="s">
        <v>21</v>
      </c>
    </row>
    <row r="2" spans="1:15" x14ac:dyDescent="0.3">
      <c r="A2" t="s">
        <v>5</v>
      </c>
      <c r="B2">
        <v>110</v>
      </c>
      <c r="C2">
        <v>5</v>
      </c>
      <c r="F2" t="s">
        <v>0</v>
      </c>
      <c r="G2">
        <v>1497</v>
      </c>
      <c r="H2">
        <v>500</v>
      </c>
      <c r="J2" t="s">
        <v>10</v>
      </c>
      <c r="K2">
        <v>2671</v>
      </c>
      <c r="L2">
        <v>500</v>
      </c>
      <c r="M2">
        <v>1359168</v>
      </c>
    </row>
    <row r="3" spans="1:15" x14ac:dyDescent="0.3">
      <c r="A3" t="s">
        <v>6</v>
      </c>
      <c r="B3">
        <v>105</v>
      </c>
      <c r="C3">
        <v>5</v>
      </c>
      <c r="F3" t="s">
        <v>1</v>
      </c>
      <c r="G3">
        <v>1715</v>
      </c>
      <c r="H3">
        <v>455</v>
      </c>
      <c r="J3" t="s">
        <v>11</v>
      </c>
      <c r="K3">
        <v>1617</v>
      </c>
      <c r="L3">
        <v>448</v>
      </c>
      <c r="M3">
        <v>806537</v>
      </c>
    </row>
    <row r="4" spans="1:15" x14ac:dyDescent="0.3">
      <c r="A4" t="s">
        <v>7</v>
      </c>
      <c r="B4">
        <v>102</v>
      </c>
      <c r="C4">
        <v>5</v>
      </c>
      <c r="F4" t="s">
        <v>2</v>
      </c>
      <c r="G4">
        <v>1869</v>
      </c>
      <c r="H4">
        <v>456</v>
      </c>
      <c r="J4" t="s">
        <v>12</v>
      </c>
      <c r="K4">
        <v>1580</v>
      </c>
      <c r="L4">
        <v>439</v>
      </c>
      <c r="M4">
        <v>793003</v>
      </c>
    </row>
    <row r="5" spans="1:15" x14ac:dyDescent="0.3">
      <c r="A5" t="s">
        <v>8</v>
      </c>
      <c r="B5">
        <v>95</v>
      </c>
      <c r="C5">
        <v>5</v>
      </c>
      <c r="F5" t="s">
        <v>3</v>
      </c>
      <c r="G5">
        <v>787</v>
      </c>
      <c r="H5">
        <v>309</v>
      </c>
    </row>
    <row r="6" spans="1:15" x14ac:dyDescent="0.3">
      <c r="A6" t="s">
        <v>9</v>
      </c>
      <c r="B6">
        <v>88</v>
      </c>
      <c r="C6">
        <v>5</v>
      </c>
    </row>
    <row r="10" spans="1:15" x14ac:dyDescent="0.3">
      <c r="A10" t="s">
        <v>16</v>
      </c>
      <c r="B10" t="s">
        <v>22</v>
      </c>
      <c r="C10" t="s">
        <v>23</v>
      </c>
      <c r="D10" t="s">
        <v>24</v>
      </c>
      <c r="E10" t="s">
        <v>25</v>
      </c>
      <c r="G10" t="s">
        <v>16</v>
      </c>
      <c r="H10" t="s">
        <v>26</v>
      </c>
      <c r="I10" t="s">
        <v>27</v>
      </c>
      <c r="J10" t="s">
        <v>28</v>
      </c>
      <c r="L10" t="s">
        <v>16</v>
      </c>
      <c r="M10" t="s">
        <v>29</v>
      </c>
      <c r="N10" t="s">
        <v>30</v>
      </c>
      <c r="O10" t="s">
        <v>31</v>
      </c>
    </row>
    <row r="11" spans="1:15" x14ac:dyDescent="0.3">
      <c r="A11" t="s">
        <v>0</v>
      </c>
      <c r="B11">
        <v>252.18</v>
      </c>
      <c r="C11">
        <v>157</v>
      </c>
      <c r="D11">
        <v>168</v>
      </c>
      <c r="G11" t="s">
        <v>0</v>
      </c>
      <c r="J11">
        <v>356618</v>
      </c>
      <c r="L11" t="s">
        <v>0</v>
      </c>
      <c r="M11">
        <v>236276.51</v>
      </c>
      <c r="N11">
        <v>236185.32</v>
      </c>
      <c r="O11">
        <v>681.51</v>
      </c>
    </row>
    <row r="12" spans="1:15" x14ac:dyDescent="0.3">
      <c r="A12" t="s">
        <v>1</v>
      </c>
      <c r="B12">
        <v>-27.42</v>
      </c>
      <c r="C12">
        <v>237</v>
      </c>
      <c r="D12">
        <v>181</v>
      </c>
      <c r="E12">
        <v>127</v>
      </c>
      <c r="G12" t="s">
        <v>1</v>
      </c>
      <c r="H12">
        <v>235595</v>
      </c>
      <c r="I12">
        <v>128433</v>
      </c>
      <c r="J12">
        <v>410126</v>
      </c>
      <c r="L12" t="s">
        <v>1</v>
      </c>
      <c r="M12">
        <v>263436.93</v>
      </c>
      <c r="N12">
        <v>263094.77</v>
      </c>
      <c r="O12">
        <v>1247.4100000000001</v>
      </c>
    </row>
    <row r="13" spans="1:15" x14ac:dyDescent="0.3">
      <c r="A13" t="s">
        <v>2</v>
      </c>
      <c r="B13">
        <v>-369.18</v>
      </c>
      <c r="C13">
        <v>271</v>
      </c>
      <c r="D13">
        <v>192</v>
      </c>
      <c r="E13">
        <v>85</v>
      </c>
      <c r="G13" t="s">
        <v>2</v>
      </c>
      <c r="H13">
        <v>261508</v>
      </c>
      <c r="I13">
        <v>244605</v>
      </c>
      <c r="J13">
        <v>399620</v>
      </c>
      <c r="L13" t="s">
        <v>2</v>
      </c>
      <c r="M13">
        <v>264265.67</v>
      </c>
      <c r="N13">
        <v>263549.34999999998</v>
      </c>
      <c r="O13">
        <v>1365.74</v>
      </c>
    </row>
    <row r="14" spans="1:15" x14ac:dyDescent="0.3">
      <c r="A14" t="s">
        <v>3</v>
      </c>
      <c r="B14">
        <v>-480.74</v>
      </c>
      <c r="C14">
        <v>284</v>
      </c>
      <c r="D14">
        <v>70</v>
      </c>
      <c r="E14">
        <v>48</v>
      </c>
      <c r="G14" t="s">
        <v>3</v>
      </c>
      <c r="H14">
        <v>260971</v>
      </c>
      <c r="I14">
        <v>257327</v>
      </c>
      <c r="J14">
        <v>314374</v>
      </c>
      <c r="L14" t="s">
        <v>3</v>
      </c>
      <c r="M14">
        <v>269352.8</v>
      </c>
      <c r="N14">
        <v>268469.18</v>
      </c>
      <c r="O14">
        <v>1201.1300000000001</v>
      </c>
    </row>
    <row r="20" spans="1:4" x14ac:dyDescent="0.3">
      <c r="A20" t="s">
        <v>36</v>
      </c>
      <c r="B20" t="s">
        <v>37</v>
      </c>
      <c r="C20" t="s">
        <v>38</v>
      </c>
      <c r="D20" t="s">
        <v>39</v>
      </c>
    </row>
    <row r="21" spans="1:4" x14ac:dyDescent="0.3">
      <c r="A21">
        <v>-1251.1300000000001</v>
      </c>
      <c r="B21">
        <v>-9.89</v>
      </c>
      <c r="C21">
        <v>1238.56</v>
      </c>
      <c r="D21">
        <v>0.746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OVERVIEW</vt:lpstr>
      <vt:lpstr>2. BALANCE HEALTH</vt:lpstr>
      <vt:lpstr>3. PROVISIONING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Trân Nguyễn</dc:creator>
  <cp:lastModifiedBy>Trân Nguyễn</cp:lastModifiedBy>
  <dcterms:created xsi:type="dcterms:W3CDTF">2026-08-31T18:21:15Z</dcterms:created>
  <dcterms:modified xsi:type="dcterms:W3CDTF">2026-09-01T10:04:09Z</dcterms:modified>
</cp:coreProperties>
</file>