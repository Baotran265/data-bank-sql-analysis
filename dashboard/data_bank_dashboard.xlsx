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Trân\data-bank-sql-analysis\dashboard\"/>
    </mc:Choice>
  </mc:AlternateContent>
  <xr:revisionPtr revIDLastSave="0" documentId="13_ncr:1_{D06DB66B-9DC6-4813-A47D-446A44D7945A}" xr6:coauthVersionLast="47" xr6:coauthVersionMax="47" xr10:uidLastSave="{00000000-0000-0000-0000-000000000000}"/>
  <bookViews>
    <workbookView xWindow="0" yWindow="24" windowWidth="12372" windowHeight="12216" firstSheet="1" activeTab="3" xr2:uid="{33594327-C413-4392-8AA4-AFC4F717FA0C}"/>
  </bookViews>
  <sheets>
    <sheet name="1. OVERVIEW" sheetId="6" r:id="rId1"/>
    <sheet name="2. BALANCE HEALTH" sheetId="7" r:id="rId2"/>
    <sheet name="3. PROVISIONING" sheetId="8" r:id="rId3"/>
    <sheet name="EXPLORE " sheetId="9" r:id="rId4"/>
    <sheet name="Sheet1" sheetId="17" r:id="rId5"/>
    <sheet name="RAW_TXN" sheetId="12" r:id="rId6"/>
    <sheet name="DATA" sheetId="5" r:id="rId7"/>
    <sheet name="LOOKUP_MONTH" sheetId="13" r:id="rId8"/>
  </sheets>
  <definedNames>
    <definedName name="ExternalData_1" localSheetId="5" hidden="1">RAW_TXN!$A$1:$H$5869</definedName>
    <definedName name="ExternalData_2" localSheetId="7" hidden="1">LOOKUP_MONTH!$A$1:$F$5</definedName>
    <definedName name="Slicer_balance_status">#N/A</definedName>
    <definedName name="Slicer_txn_type">#N/A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9" l="1"/>
  <c r="F4" i="9"/>
  <c r="G5" i="9" s="1"/>
  <c r="E4" i="9" a="1"/>
  <c r="E4" i="9" s="1"/>
  <c r="D4" i="9"/>
  <c r="C4" i="9"/>
  <c r="D5" i="9" s="1"/>
  <c r="U5" i="9"/>
  <c r="U6" i="9"/>
  <c r="U7" i="9"/>
  <c r="U4" i="9"/>
  <c r="A4" i="8" l="1"/>
  <c r="I4" i="8"/>
  <c r="E4" i="8"/>
  <c r="M4" i="7"/>
  <c r="I4" i="7"/>
  <c r="E4" i="7"/>
  <c r="A4" i="7"/>
  <c r="E4" i="6"/>
  <c r="M4" i="6"/>
  <c r="I4" i="6"/>
  <c r="A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195DAD-5F81-4A2E-ACAB-07BE4AAE5274}" keepAlive="1" name="Query - tbl_month_health" description="Connection to the 'tbl_month_health' query in the workbook." type="5" refreshedVersion="8" background="1" saveData="1">
    <dbPr connection="Provider=Microsoft.Mashup.OleDb.1;Data Source=$Workbook$;Location=tbl_month_health;Extended Properties=&quot;&quot;" command="SELECT * FROM [tbl_month_health]"/>
  </connection>
  <connection id="2" xr16:uid="{2A965BBA-F83D-4470-9FB9-CE1D512C845B}" keepAlive="1" name="Query - tbl_txn" description="Connection to the 'tbl_txn' query in the workbook." type="5" refreshedVersion="8" background="1" saveData="1">
    <dbPr connection="Provider=Microsoft.Mashup.OleDb.1;Data Source=$Workbook$;Location=tbl_txn;Extended Properties=&quot;&quot;" command="SELECT * FROM [tbl_tx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<sst xmlns="http://schemas.openxmlformats.org/spreadsheetml/2006/main" count="11856" uniqueCount="81">
  <si>
    <t>2020-01</t>
  </si>
  <si>
    <t>2020-02</t>
  </si>
  <si>
    <t>2020-03</t>
  </si>
  <si>
    <t>2020-04</t>
  </si>
  <si>
    <t>Customers</t>
  </si>
  <si>
    <t>Australia</t>
  </si>
  <si>
    <t>America</t>
  </si>
  <si>
    <t>Africa</t>
  </si>
  <si>
    <t>Asia</t>
  </si>
  <si>
    <t>Europe</t>
  </si>
  <si>
    <t>deposit</t>
  </si>
  <si>
    <t>purchase</t>
  </si>
  <si>
    <t>withdrawal</t>
  </si>
  <si>
    <t>region</t>
  </si>
  <si>
    <t>customers</t>
  </si>
  <si>
    <t>nodes</t>
  </si>
  <si>
    <t>month</t>
  </si>
  <si>
    <t>txn_count</t>
  </si>
  <si>
    <t>active_customers</t>
  </si>
  <si>
    <t>txn_type</t>
  </si>
  <si>
    <t>unique_customers</t>
  </si>
  <si>
    <t>total_amount</t>
  </si>
  <si>
    <t>avg_closing</t>
  </si>
  <si>
    <t>neg_customers</t>
  </si>
  <si>
    <t>qualifying</t>
  </si>
  <si>
    <t>up_over_5pct</t>
  </si>
  <si>
    <t>opt1</t>
  </si>
  <si>
    <t>opt2</t>
  </si>
  <si>
    <t>opt3</t>
  </si>
  <si>
    <t>simple</t>
  </si>
  <si>
    <t>compound</t>
  </si>
  <si>
    <t>interest_earned</t>
  </si>
  <si>
    <t>Nodes</t>
  </si>
  <si>
    <t>Transactions</t>
  </si>
  <si>
    <t>Net Flow</t>
  </si>
  <si>
    <t>OVERVIEW</t>
  </si>
  <si>
    <t>avg_of_min</t>
  </si>
  <si>
    <t>avg_of_avg</t>
  </si>
  <si>
    <t>avg_of_max</t>
  </si>
  <si>
    <t>pct_ever_negative</t>
  </si>
  <si>
    <t>BALANCE HEALTH</t>
  </si>
  <si>
    <t>AVG OF MIN</t>
  </si>
  <si>
    <t>AVG OF MAX</t>
  </si>
  <si>
    <t>AVG OF AVG</t>
  </si>
  <si>
    <t>PROVISIONING</t>
  </si>
  <si>
    <t>Baseline (Opt1/2)</t>
  </si>
  <si>
    <t>Peak (Opt3)</t>
  </si>
  <si>
    <t>Overhead lãi</t>
  </si>
  <si>
    <t>Khuyến nghị</t>
  </si>
  <si>
    <t>% EVER NEGATIVE</t>
  </si>
  <si>
    <t>Option 3 (Real-time)</t>
  </si>
  <si>
    <t>customer_id</t>
  </si>
  <si>
    <t>txn_date</t>
  </si>
  <si>
    <t>txn_amount</t>
  </si>
  <si>
    <t>running_balance</t>
  </si>
  <si>
    <t>signed_amount</t>
  </si>
  <si>
    <t>balance_status</t>
  </si>
  <si>
    <t>Non-negative</t>
  </si>
  <si>
    <t>Negative</t>
  </si>
  <si>
    <t>min_closing_balance</t>
  </si>
  <si>
    <t>max_closing_balance</t>
  </si>
  <si>
    <t>Month List</t>
  </si>
  <si>
    <t>Transaction Type List</t>
  </si>
  <si>
    <t>All</t>
  </si>
  <si>
    <t>Select Month</t>
  </si>
  <si>
    <t>Transaction Type</t>
  </si>
  <si>
    <t>Transaction Count</t>
  </si>
  <si>
    <t>Avg Closing</t>
  </si>
  <si>
    <t>Row Labels</t>
  </si>
  <si>
    <t>Grand Total</t>
  </si>
  <si>
    <t>Jan</t>
  </si>
  <si>
    <t>Feb</t>
  </si>
  <si>
    <t>Mar</t>
  </si>
  <si>
    <t>Apr</t>
  </si>
  <si>
    <t>Column Labels</t>
  </si>
  <si>
    <t>Sum of signed_amount</t>
  </si>
  <si>
    <t>Ad-hoc analysis layer: Power Query + Pivot + Slicer. balance_status = âm tại từng giao dịch, không phải âm cuối tháng</t>
  </si>
  <si>
    <t>EXPLORE - Raw Transaction Analysis</t>
  </si>
  <si>
    <t>Active Cust.</t>
  </si>
  <si>
    <t>Negative Cust.</t>
  </si>
  <si>
    <t>Peak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</si>
</sst>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mm/yyyy"/>
  </numFmts>
  <fonts count="14" x14ac:knownFonts="1">
    <font>
      <sz val="11"/>
      <color theme="1"/>
      <name val="Calibri"/>
      <family val="2"/>
      <scheme val="minor"/>
    </font>
    <font>
      <sz val="11"/>
      <color theme="1"/>
      <name val="Calibri"/>
      <family val="2"/>
      <scheme val="minor"/>
    </font>
    <font>
      <sz val="16"/>
      <color theme="0"/>
      <name val="Calibri"/>
      <family val="2"/>
      <scheme val="minor"/>
    </font>
    <font>
      <sz val="14"/>
      <color theme="0"/>
      <name val="Calibri"/>
      <family val="2"/>
      <scheme val="minor"/>
    </font>
    <font>
      <sz val="8"/>
      <color rgb="FF222222"/>
      <name val="Arial"/>
      <family val="2"/>
    </font>
    <font>
      <b/>
      <sz val="11"/>
      <color theme="1"/>
      <name val="Calibri"/>
      <family val="2"/>
      <scheme val="minor"/>
    </font>
    <font>
      <sz val="8"/>
      <name val="Calibri"/>
      <family val="2"/>
      <scheme val="minor"/>
    </font>
    <font>
      <sz val="18"/>
      <color theme="1"/>
      <name val="Calibri"/>
      <family val="2"/>
      <scheme val="minor"/>
    </font>
    <font>
      <b/>
      <sz val="18"/>
      <color theme="1"/>
      <name val="Calibri"/>
      <family val="2"/>
      <scheme val="minor"/>
    </font>
    <font>
      <sz val="9"/>
      <color theme="1"/>
      <name val="Calibri"/>
      <family val="2"/>
      <scheme val="minor"/>
    </font>
    <font>
      <sz val="10"/>
      <color theme="1"/>
      <name val="Calibri"/>
      <family val="2"/>
      <scheme val="minor"/>
    </font>
    <font>
      <sz val="10"/>
      <color theme="0"/>
      <name val="Calibri"/>
      <family val="2"/>
      <scheme val="minor"/>
    </font>
    <font>
      <b/>
      <sz val="16"/>
      <color theme="0"/>
      <name val="Calibri"/>
      <family val="2"/>
      <scheme val="minor"/>
    </font>
    <font>
      <b/>
      <sz val="9"/>
      <color theme="1"/>
      <name val="Calibri"/>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s>
  <borders count="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0" fillId="2" borderId="0" xfId="0" applyFill="1"/>
    <xf numFmtId="164" fontId="0" fillId="2" borderId="0" xfId="1" applyNumberFormat="1" applyFont="1" applyFill="1"/>
    <xf numFmtId="0" fontId="0" fillId="5" borderId="0" xfId="0" applyFill="1"/>
    <xf numFmtId="3" fontId="0" fillId="5" borderId="0" xfId="0" applyNumberFormat="1" applyFill="1"/>
    <xf numFmtId="14" fontId="0" fillId="0" borderId="0" xfId="0" applyNumberFormat="1"/>
    <xf numFmtId="0" fontId="5" fillId="4" borderId="0" xfId="0" applyFont="1" applyFill="1" applyAlignment="1">
      <alignment horizontal="center" vertical="center" wrapText="1"/>
    </xf>
    <xf numFmtId="0" fontId="0" fillId="6" borderId="7" xfId="0" applyFill="1" applyBorder="1" applyAlignment="1">
      <alignment vertical="top" wrapText="1"/>
    </xf>
    <xf numFmtId="166" fontId="0" fillId="6" borderId="7" xfId="0" applyNumberFormat="1" applyFill="1" applyBorder="1" applyAlignment="1">
      <alignment horizontal="center" vertical="center" wrapText="1"/>
    </xf>
    <xf numFmtId="0" fontId="0" fillId="6" borderId="7" xfId="0" applyFill="1" applyBorder="1" applyAlignment="1">
      <alignment horizontal="center" vertical="top" wrapText="1"/>
    </xf>
    <xf numFmtId="0" fontId="8" fillId="0" borderId="0" xfId="0" applyFont="1" applyAlignment="1">
      <alignment vertical="center"/>
    </xf>
    <xf numFmtId="0" fontId="10" fillId="0" borderId="0" xfId="0" applyFont="1" applyAlignment="1">
      <alignment vertical="center"/>
    </xf>
    <xf numFmtId="0" fontId="0" fillId="0" borderId="0" xfId="0" applyAlignment="1">
      <alignment vertical="top" wrapText="1"/>
    </xf>
    <xf numFmtId="4" fontId="7" fillId="0" borderId="0" xfId="0" applyNumberFormat="1" applyFont="1" applyAlignment="1">
      <alignment horizontal="center" vertical="center"/>
    </xf>
    <xf numFmtId="0" fontId="7" fillId="0" borderId="0" xfId="0" applyFont="1" applyAlignment="1">
      <alignment horizontal="center" vertical="center"/>
    </xf>
    <xf numFmtId="166" fontId="4" fillId="0" borderId="0" xfId="0" applyNumberFormat="1" applyFont="1"/>
    <xf numFmtId="0" fontId="13" fillId="0" borderId="0" xfId="0" applyFont="1" applyAlignment="1">
      <alignment horizontal="center"/>
    </xf>
    <xf numFmtId="0" fontId="9" fillId="0" borderId="0" xfId="0" applyFont="1" applyAlignment="1">
      <alignment horizontal="center"/>
    </xf>
    <xf numFmtId="14" fontId="4" fillId="0" borderId="0" xfId="0" applyNumberFormat="1" applyFont="1"/>
    <xf numFmtId="0" fontId="12" fillId="3" borderId="0" xfId="0" applyFont="1" applyFill="1" applyAlignment="1">
      <alignment horizontal="center" vertical="center"/>
    </xf>
    <xf numFmtId="0" fontId="11" fillId="3" borderId="0" xfId="0" applyFont="1" applyFill="1" applyAlignment="1">
      <alignment horizontal="center" vertical="center"/>
    </xf>
    <xf numFmtId="0" fontId="2" fillId="3" borderId="0" xfId="0" applyFont="1" applyFill="1" applyAlignment="1">
      <alignment horizontal="center" vertical="center"/>
    </xf>
    <xf numFmtId="0" fontId="0" fillId="3" borderId="0" xfId="0" applyFill="1" applyAlignment="1">
      <alignment horizontal="center" vertical="center"/>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3" fontId="0" fillId="4" borderId="4" xfId="0" applyNumberFormat="1" applyFill="1" applyBorder="1" applyAlignment="1">
      <alignment horizontal="center"/>
    </xf>
    <xf numFmtId="3" fontId="0" fillId="4" borderId="5" xfId="0" applyNumberFormat="1" applyFill="1" applyBorder="1" applyAlignment="1">
      <alignment horizontal="center"/>
    </xf>
    <xf numFmtId="3" fontId="0" fillId="4" borderId="6" xfId="0" applyNumberFormat="1" applyFill="1" applyBorder="1" applyAlignment="1">
      <alignment horizontal="center"/>
    </xf>
    <xf numFmtId="164" fontId="0" fillId="4" borderId="4" xfId="1" applyNumberFormat="1" applyFont="1" applyFill="1" applyBorder="1" applyAlignment="1">
      <alignment horizontal="center"/>
    </xf>
    <xf numFmtId="164" fontId="0" fillId="4" borderId="5" xfId="1" applyNumberFormat="1" applyFont="1" applyFill="1" applyBorder="1" applyAlignment="1">
      <alignment horizontal="center"/>
    </xf>
    <xf numFmtId="164" fontId="0" fillId="4" borderId="6" xfId="1" applyNumberFormat="1" applyFont="1" applyFill="1" applyBorder="1" applyAlignment="1">
      <alignment horizontal="center"/>
    </xf>
    <xf numFmtId="0" fontId="3" fillId="3" borderId="0" xfId="0" applyFont="1" applyFill="1" applyAlignment="1">
      <alignment horizontal="center" vertical="center"/>
    </xf>
    <xf numFmtId="3" fontId="0" fillId="4" borderId="4" xfId="0" applyNumberFormat="1" applyFill="1" applyBorder="1" applyAlignment="1">
      <alignment horizontal="center" wrapText="1"/>
    </xf>
    <xf numFmtId="10" fontId="0" fillId="4" borderId="4" xfId="1" applyNumberFormat="1" applyFont="1" applyFill="1" applyBorder="1" applyAlignment="1">
      <alignment horizontal="center" wrapText="1"/>
    </xf>
    <xf numFmtId="10" fontId="0" fillId="4" borderId="5" xfId="1" applyNumberFormat="1" applyFont="1" applyFill="1" applyBorder="1" applyAlignment="1">
      <alignment horizontal="center"/>
    </xf>
    <xf numFmtId="10" fontId="0" fillId="4" borderId="6"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7" xfId="0" applyFill="1" applyBorder="1"/>
    <xf numFmtId="0" fontId="0" fillId="0" borderId="7" xfId="0" applyFill="1" applyBorder="1" applyAlignment="1">
      <alignment horizontal="left"/>
    </xf>
    <xf numFmtId="3" fontId="0" fillId="0" borderId="7" xfId="0" applyNumberFormat="1" applyFill="1" applyBorder="1"/>
    <xf numFmtId="0" fontId="0" fillId="0" borderId="0" xfId="0" applyNumberFormat="1"/>
  </cellXfs>
  <cellStyles count="2">
    <cellStyle name="Normal" xfId="0" builtinId="0"/>
    <cellStyle name="Percent" xfId="1" builtinId="5"/>
  </cellStyles>
  <dxfs count="5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9" formatCode="m/d/yyyy"/>
    </dxf>
    <dxf>
      <numFmt numFmtId="0" formatCode="General"/>
    </dxf>
    <dxf>
      <numFmt numFmtId="19" formatCode="m/d/yyyy"/>
    </dxf>
    <dxf>
      <numFmt numFmtId="19" formatCode="m/d/yyyy"/>
    </dxf>
  </dxfs>
  <tableStyles count="0" defaultTableStyle="TableStyleMedium2" defaultPivotStyle="PivotStyleLight16"/>
  <colors>
    <mruColors>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Phân bổ customers đồng đều: 88–110/region, không region quá tải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DATA!$B$1</c:f>
              <c:strCache>
                <c:ptCount val="1"/>
                <c:pt idx="0">
                  <c:v>customers</c:v>
                </c:pt>
              </c:strCache>
            </c:strRef>
          </c:tx>
          <c:spPr>
            <a:solidFill>
              <a:schemeClr val="accent1"/>
            </a:solidFill>
            <a:ln>
              <a:noFill/>
            </a:ln>
            <a:effectLst/>
          </c:spPr>
          <c:invertIfNegative val="0"/>
          <c:cat>
            <c:strRef>
              <c:f>DATA!$A$2:$A$6</c:f>
              <c:strCache>
                <c:ptCount val="5"/>
                <c:pt idx="0">
                  <c:v>Australia</c:v>
                </c:pt>
                <c:pt idx="1">
                  <c:v>America</c:v>
                </c:pt>
                <c:pt idx="2">
                  <c:v>Africa</c:v>
                </c:pt>
                <c:pt idx="3">
                  <c:v>Asia</c:v>
                </c:pt>
                <c:pt idx="4">
                  <c:v>Europe</c:v>
                </c:pt>
              </c:strCache>
            </c:strRef>
          </c:cat>
          <c:val>
            <c:numRef>
              <c:f>DATA!$B$2:$B$6</c:f>
              <c:numCache>
                <c:formatCode>General</c:formatCode>
                <c:ptCount val="5"/>
                <c:pt idx="0">
                  <c:v>110</c:v>
                </c:pt>
                <c:pt idx="1">
                  <c:v>105</c:v>
                </c:pt>
                <c:pt idx="2">
                  <c:v>102</c:v>
                </c:pt>
                <c:pt idx="3">
                  <c:v>95</c:v>
                </c:pt>
                <c:pt idx="4">
                  <c:v>88</c:v>
                </c:pt>
              </c:numCache>
            </c:numRef>
          </c:val>
          <c:extLst>
            <c:ext xmlns:c16="http://schemas.microsoft.com/office/drawing/2014/chart" uri="{C3380CC4-5D6E-409C-BE32-E72D297353CC}">
              <c16:uniqueId val="{00000000-5F87-4C4E-B637-80C5A3EF847F}"/>
            </c:ext>
          </c:extLst>
        </c:ser>
        <c:dLbls>
          <c:showLegendKey val="0"/>
          <c:showVal val="0"/>
          <c:showCatName val="0"/>
          <c:showSerName val="0"/>
          <c:showPercent val="0"/>
          <c:showBubbleSize val="0"/>
        </c:dLbls>
        <c:gapWidth val="219"/>
        <c:overlap val="-27"/>
        <c:axId val="1796172175"/>
        <c:axId val="1674542671"/>
      </c:barChart>
      <c:catAx>
        <c:axId val="17961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42671"/>
        <c:crosses val="autoZero"/>
        <c:auto val="1"/>
        <c:lblAlgn val="ctr"/>
        <c:lblOffset val="100"/>
        <c:noMultiLvlLbl val="0"/>
      </c:catAx>
      <c:valAx>
        <c:axId val="167454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7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Giao dịch tăng đều Jan→Mar (+24.8%); April sụt do tháng cắt cụt (P-10)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DATA!$G$1</c:f>
              <c:strCache>
                <c:ptCount val="1"/>
                <c:pt idx="0">
                  <c:v>txn_count</c:v>
                </c:pt>
              </c:strCache>
            </c:strRef>
          </c:tx>
          <c:spPr>
            <a:solidFill>
              <a:schemeClr val="accent1"/>
            </a:solidFill>
            <a:ln>
              <a:noFill/>
            </a:ln>
            <a:effectLst/>
          </c:spPr>
          <c:invertIfNegative val="0"/>
          <c:cat>
            <c:strRef>
              <c:f>DATA!$F$2:$F$5</c:f>
              <c:strCache>
                <c:ptCount val="4"/>
                <c:pt idx="0">
                  <c:v>2020-01</c:v>
                </c:pt>
                <c:pt idx="1">
                  <c:v>2020-02</c:v>
                </c:pt>
                <c:pt idx="2">
                  <c:v>2020-03</c:v>
                </c:pt>
                <c:pt idx="3">
                  <c:v>2020-04</c:v>
                </c:pt>
              </c:strCache>
            </c:strRef>
          </c:cat>
          <c:val>
            <c:numRef>
              <c:f>DATA!$G$2:$G$5</c:f>
              <c:numCache>
                <c:formatCode>General</c:formatCode>
                <c:ptCount val="4"/>
                <c:pt idx="0">
                  <c:v>1497</c:v>
                </c:pt>
                <c:pt idx="1">
                  <c:v>1715</c:v>
                </c:pt>
                <c:pt idx="2">
                  <c:v>1869</c:v>
                </c:pt>
                <c:pt idx="3">
                  <c:v>787</c:v>
                </c:pt>
              </c:numCache>
            </c:numRef>
          </c:val>
          <c:extLst>
            <c:ext xmlns:c16="http://schemas.microsoft.com/office/drawing/2014/chart" uri="{C3380CC4-5D6E-409C-BE32-E72D297353CC}">
              <c16:uniqueId val="{00000000-BC66-44F6-91EF-E5D498DCFE23}"/>
            </c:ext>
          </c:extLst>
        </c:ser>
        <c:dLbls>
          <c:showLegendKey val="0"/>
          <c:showVal val="0"/>
          <c:showCatName val="0"/>
          <c:showSerName val="0"/>
          <c:showPercent val="0"/>
          <c:showBubbleSize val="0"/>
        </c:dLbls>
        <c:gapWidth val="219"/>
        <c:overlap val="-27"/>
        <c:axId val="1796175887"/>
        <c:axId val="1674527311"/>
      </c:barChart>
      <c:lineChart>
        <c:grouping val="standard"/>
        <c:varyColors val="0"/>
        <c:ser>
          <c:idx val="1"/>
          <c:order val="1"/>
          <c:tx>
            <c:strRef>
              <c:f>DATA!$H$1</c:f>
              <c:strCache>
                <c:ptCount val="1"/>
                <c:pt idx="0">
                  <c:v>active_customers</c:v>
                </c:pt>
              </c:strCache>
            </c:strRef>
          </c:tx>
          <c:spPr>
            <a:ln w="28575" cap="rnd">
              <a:solidFill>
                <a:schemeClr val="accent2"/>
              </a:solidFill>
              <a:round/>
            </a:ln>
            <a:effectLst/>
          </c:spPr>
          <c:marker>
            <c:symbol val="none"/>
          </c:marker>
          <c:cat>
            <c:strRef>
              <c:f>DATA!$F$2:$F$5</c:f>
              <c:strCache>
                <c:ptCount val="4"/>
                <c:pt idx="0">
                  <c:v>2020-01</c:v>
                </c:pt>
                <c:pt idx="1">
                  <c:v>2020-02</c:v>
                </c:pt>
                <c:pt idx="2">
                  <c:v>2020-03</c:v>
                </c:pt>
                <c:pt idx="3">
                  <c:v>2020-04</c:v>
                </c:pt>
              </c:strCache>
            </c:strRef>
          </c:cat>
          <c:val>
            <c:numRef>
              <c:f>DATA!$H$2:$H$5</c:f>
              <c:numCache>
                <c:formatCode>General</c:formatCode>
                <c:ptCount val="4"/>
                <c:pt idx="0">
                  <c:v>500</c:v>
                </c:pt>
                <c:pt idx="1">
                  <c:v>455</c:v>
                </c:pt>
                <c:pt idx="2">
                  <c:v>456</c:v>
                </c:pt>
                <c:pt idx="3">
                  <c:v>309</c:v>
                </c:pt>
              </c:numCache>
            </c:numRef>
          </c:val>
          <c:smooth val="0"/>
          <c:extLst>
            <c:ext xmlns:c16="http://schemas.microsoft.com/office/drawing/2014/chart" uri="{C3380CC4-5D6E-409C-BE32-E72D297353CC}">
              <c16:uniqueId val="{00000001-BC66-44F6-91EF-E5D498DCFE23}"/>
            </c:ext>
          </c:extLst>
        </c:ser>
        <c:dLbls>
          <c:showLegendKey val="0"/>
          <c:showVal val="0"/>
          <c:showCatName val="0"/>
          <c:showSerName val="0"/>
          <c:showPercent val="0"/>
          <c:showBubbleSize val="0"/>
        </c:dLbls>
        <c:marker val="1"/>
        <c:smooth val="0"/>
        <c:axId val="1796167999"/>
        <c:axId val="1674539311"/>
      </c:lineChart>
      <c:catAx>
        <c:axId val="179617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27311"/>
        <c:crosses val="autoZero"/>
        <c:auto val="1"/>
        <c:lblAlgn val="ctr"/>
        <c:lblOffset val="100"/>
        <c:noMultiLvlLbl val="0"/>
      </c:catAx>
      <c:valAx>
        <c:axId val="167452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75887"/>
        <c:crosses val="autoZero"/>
        <c:crossBetween val="between"/>
      </c:valAx>
      <c:valAx>
        <c:axId val="16745393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67999"/>
        <c:crosses val="max"/>
        <c:crossBetween val="between"/>
      </c:valAx>
      <c:catAx>
        <c:axId val="1796167999"/>
        <c:scaling>
          <c:orientation val="minMax"/>
        </c:scaling>
        <c:delete val="1"/>
        <c:axPos val="b"/>
        <c:numFmt formatCode="General" sourceLinked="1"/>
        <c:majorTickMark val="out"/>
        <c:minorTickMark val="none"/>
        <c:tickLblPos val="nextTo"/>
        <c:crossAx val="1674539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Deposit 45% nhưng ~90% khách dùng purchase/withdrawal → spending wallet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DATA!$K$1</c:f>
              <c:strCache>
                <c:ptCount val="1"/>
                <c:pt idx="0">
                  <c:v>txn_count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A3-4225-8C42-1F03603265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A3-4225-8C42-1F03603265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A3-4225-8C42-1F03603265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DATA!$J$2:$J$4</c:f>
              <c:strCache>
                <c:ptCount val="3"/>
                <c:pt idx="0">
                  <c:v>deposit</c:v>
                </c:pt>
                <c:pt idx="1">
                  <c:v>purchase</c:v>
                </c:pt>
                <c:pt idx="2">
                  <c:v>withdrawal</c:v>
                </c:pt>
              </c:strCache>
            </c:strRef>
          </c:cat>
          <c:val>
            <c:numRef>
              <c:f>DATA!$K$2:$K$4</c:f>
              <c:numCache>
                <c:formatCode>General</c:formatCode>
                <c:ptCount val="3"/>
                <c:pt idx="0">
                  <c:v>2671</c:v>
                </c:pt>
                <c:pt idx="1">
                  <c:v>1617</c:v>
                </c:pt>
                <c:pt idx="2">
                  <c:v>1580</c:v>
                </c:pt>
              </c:numCache>
            </c:numRef>
          </c:val>
          <c:extLst>
            <c:ext xmlns:c16="http://schemas.microsoft.com/office/drawing/2014/chart" uri="{C3380CC4-5D6E-409C-BE32-E72D297353CC}">
              <c16:uniqueId val="{00000006-91A3-4225-8C42-1F036032654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Số dư trung bình rơi từ +252 xuống −481 đúng lúc dân số âm phình 157→284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DATA!$C$10</c:f>
              <c:strCache>
                <c:ptCount val="1"/>
                <c:pt idx="0">
                  <c:v>neg_customers</c:v>
                </c:pt>
              </c:strCache>
            </c:strRef>
          </c:tx>
          <c:spPr>
            <a:solidFill>
              <a:schemeClr val="accent2"/>
            </a:solidFill>
            <a:ln>
              <a:noFill/>
            </a:ln>
            <a:effectLst/>
          </c:spPr>
          <c:invertIfNegative val="0"/>
          <c:cat>
            <c:strRef>
              <c:f>DATA!$A$11:$A$14</c:f>
              <c:strCache>
                <c:ptCount val="4"/>
                <c:pt idx="0">
                  <c:v>2020-01</c:v>
                </c:pt>
                <c:pt idx="1">
                  <c:v>2020-02</c:v>
                </c:pt>
                <c:pt idx="2">
                  <c:v>2020-03</c:v>
                </c:pt>
                <c:pt idx="3">
                  <c:v>2020-04</c:v>
                </c:pt>
              </c:strCache>
            </c:strRef>
          </c:cat>
          <c:val>
            <c:numRef>
              <c:f>DATA!$C$11:$C$14</c:f>
              <c:numCache>
                <c:formatCode>General</c:formatCode>
                <c:ptCount val="4"/>
                <c:pt idx="0">
                  <c:v>157</c:v>
                </c:pt>
                <c:pt idx="1">
                  <c:v>237</c:v>
                </c:pt>
                <c:pt idx="2">
                  <c:v>271</c:v>
                </c:pt>
                <c:pt idx="3">
                  <c:v>284</c:v>
                </c:pt>
              </c:numCache>
            </c:numRef>
          </c:val>
          <c:extLst>
            <c:ext xmlns:c16="http://schemas.microsoft.com/office/drawing/2014/chart" uri="{C3380CC4-5D6E-409C-BE32-E72D297353CC}">
              <c16:uniqueId val="{00000000-0054-40D6-BD1A-77FA5AFF765C}"/>
            </c:ext>
          </c:extLst>
        </c:ser>
        <c:dLbls>
          <c:showLegendKey val="0"/>
          <c:showVal val="0"/>
          <c:showCatName val="0"/>
          <c:showSerName val="0"/>
          <c:showPercent val="0"/>
          <c:showBubbleSize val="0"/>
        </c:dLbls>
        <c:gapWidth val="219"/>
        <c:axId val="1191173007"/>
        <c:axId val="1674564271"/>
      </c:barChart>
      <c:lineChart>
        <c:grouping val="standard"/>
        <c:varyColors val="0"/>
        <c:ser>
          <c:idx val="0"/>
          <c:order val="0"/>
          <c:tx>
            <c:strRef>
              <c:f>DATA!$B$10</c:f>
              <c:strCache>
                <c:ptCount val="1"/>
                <c:pt idx="0">
                  <c:v>avg_closing</c:v>
                </c:pt>
              </c:strCache>
            </c:strRef>
          </c:tx>
          <c:spPr>
            <a:ln w="28575" cap="rnd">
              <a:solidFill>
                <a:schemeClr val="accent1"/>
              </a:solidFill>
              <a:round/>
            </a:ln>
            <a:effectLst/>
          </c:spPr>
          <c:marker>
            <c:symbol val="none"/>
          </c:marker>
          <c:cat>
            <c:strRef>
              <c:f>DATA!$A$11:$A$14</c:f>
              <c:strCache>
                <c:ptCount val="4"/>
                <c:pt idx="0">
                  <c:v>2020-01</c:v>
                </c:pt>
                <c:pt idx="1">
                  <c:v>2020-02</c:v>
                </c:pt>
                <c:pt idx="2">
                  <c:v>2020-03</c:v>
                </c:pt>
                <c:pt idx="3">
                  <c:v>2020-04</c:v>
                </c:pt>
              </c:strCache>
            </c:strRef>
          </c:cat>
          <c:val>
            <c:numRef>
              <c:f>DATA!$B$11:$B$14</c:f>
              <c:numCache>
                <c:formatCode>General</c:formatCode>
                <c:ptCount val="4"/>
                <c:pt idx="0">
                  <c:v>252.18</c:v>
                </c:pt>
                <c:pt idx="1">
                  <c:v>-27.42</c:v>
                </c:pt>
                <c:pt idx="2">
                  <c:v>-369.18</c:v>
                </c:pt>
                <c:pt idx="3">
                  <c:v>-480.74</c:v>
                </c:pt>
              </c:numCache>
            </c:numRef>
          </c:val>
          <c:smooth val="0"/>
          <c:extLst>
            <c:ext xmlns:c16="http://schemas.microsoft.com/office/drawing/2014/chart" uri="{C3380CC4-5D6E-409C-BE32-E72D297353CC}">
              <c16:uniqueId val="{00000001-0054-40D6-BD1A-77FA5AFF765C}"/>
            </c:ext>
          </c:extLst>
        </c:ser>
        <c:dLbls>
          <c:showLegendKey val="0"/>
          <c:showVal val="0"/>
          <c:showCatName val="0"/>
          <c:showSerName val="0"/>
          <c:showPercent val="0"/>
          <c:showBubbleSize val="0"/>
        </c:dLbls>
        <c:marker val="1"/>
        <c:smooth val="0"/>
        <c:axId val="1857866607"/>
        <c:axId val="1674456271"/>
      </c:lineChart>
      <c:catAx>
        <c:axId val="119117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64271"/>
        <c:crosses val="autoZero"/>
        <c:auto val="1"/>
        <c:lblAlgn val="ctr"/>
        <c:lblOffset val="100"/>
        <c:noMultiLvlLbl val="0"/>
      </c:catAx>
      <c:valAx>
        <c:axId val="167456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73007"/>
        <c:crosses val="autoZero"/>
        <c:crossBetween val="between"/>
      </c:valAx>
      <c:valAx>
        <c:axId val="16744562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866607"/>
        <c:crosses val="max"/>
        <c:crossBetween val="between"/>
      </c:valAx>
      <c:catAx>
        <c:axId val="1857866607"/>
        <c:scaling>
          <c:orientation val="minMax"/>
        </c:scaling>
        <c:delete val="1"/>
        <c:axPos val="b"/>
        <c:numFmt formatCode="General" sourceLinked="1"/>
        <c:majorTickMark val="out"/>
        <c:minorTickMark val="none"/>
        <c:tickLblPos val="nextTo"/>
        <c:crossAx val="16744562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Engagement 'khỏe' tăng 33.6%→38.4%; April (70) là tháng cắt cụt, không phải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DATA!$A$11</c:f>
              <c:strCache>
                <c:ptCount val="1"/>
                <c:pt idx="0">
                  <c:v>2020-01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DATA!$D$10</c:f>
              <c:strCache>
                <c:ptCount val="1"/>
                <c:pt idx="0">
                  <c:v>qualifying</c:v>
                </c:pt>
              </c:strCache>
            </c:strRef>
          </c:cat>
          <c:val>
            <c:numRef>
              <c:f>DATA!$D$11</c:f>
              <c:numCache>
                <c:formatCode>General</c:formatCode>
                <c:ptCount val="1"/>
                <c:pt idx="0">
                  <c:v>168</c:v>
                </c:pt>
              </c:numCache>
            </c:numRef>
          </c:val>
          <c:extLst>
            <c:ext xmlns:c16="http://schemas.microsoft.com/office/drawing/2014/chart" uri="{C3380CC4-5D6E-409C-BE32-E72D297353CC}">
              <c16:uniqueId val="{00000000-4796-43CF-85CE-6FA32089338A}"/>
            </c:ext>
          </c:extLst>
        </c:ser>
        <c:ser>
          <c:idx val="1"/>
          <c:order val="1"/>
          <c:tx>
            <c:strRef>
              <c:f>DATA!$A$12</c:f>
              <c:strCache>
                <c:ptCount val="1"/>
                <c:pt idx="0">
                  <c:v>2020-02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DATA!$D$10</c:f>
              <c:strCache>
                <c:ptCount val="1"/>
                <c:pt idx="0">
                  <c:v>qualifying</c:v>
                </c:pt>
              </c:strCache>
            </c:strRef>
          </c:cat>
          <c:val>
            <c:numRef>
              <c:f>DATA!$D$12</c:f>
              <c:numCache>
                <c:formatCode>General</c:formatCode>
                <c:ptCount val="1"/>
                <c:pt idx="0">
                  <c:v>181</c:v>
                </c:pt>
              </c:numCache>
            </c:numRef>
          </c:val>
          <c:extLst>
            <c:ext xmlns:c16="http://schemas.microsoft.com/office/drawing/2014/chart" uri="{C3380CC4-5D6E-409C-BE32-E72D297353CC}">
              <c16:uniqueId val="{00000001-4796-43CF-85CE-6FA32089338A}"/>
            </c:ext>
          </c:extLst>
        </c:ser>
        <c:ser>
          <c:idx val="2"/>
          <c:order val="2"/>
          <c:tx>
            <c:strRef>
              <c:f>DATA!$A$13</c:f>
              <c:strCache>
                <c:ptCount val="1"/>
                <c:pt idx="0">
                  <c:v>2020-03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DATA!$D$10</c:f>
              <c:strCache>
                <c:ptCount val="1"/>
                <c:pt idx="0">
                  <c:v>qualifying</c:v>
                </c:pt>
              </c:strCache>
            </c:strRef>
          </c:cat>
          <c:val>
            <c:numRef>
              <c:f>DATA!$D$13</c:f>
              <c:numCache>
                <c:formatCode>General</c:formatCode>
                <c:ptCount val="1"/>
                <c:pt idx="0">
                  <c:v>192</c:v>
                </c:pt>
              </c:numCache>
            </c:numRef>
          </c:val>
          <c:extLst>
            <c:ext xmlns:c16="http://schemas.microsoft.com/office/drawing/2014/chart" uri="{C3380CC4-5D6E-409C-BE32-E72D297353CC}">
              <c16:uniqueId val="{00000002-4796-43CF-85CE-6FA32089338A}"/>
            </c:ext>
          </c:extLst>
        </c:ser>
        <c:ser>
          <c:idx val="3"/>
          <c:order val="3"/>
          <c:tx>
            <c:strRef>
              <c:f>DATA!$A$14</c:f>
              <c:strCache>
                <c:ptCount val="1"/>
                <c:pt idx="0">
                  <c:v>2020-04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DATA!$D$10</c:f>
              <c:strCache>
                <c:ptCount val="1"/>
                <c:pt idx="0">
                  <c:v>qualifying</c:v>
                </c:pt>
              </c:strCache>
            </c:strRef>
          </c:cat>
          <c:val>
            <c:numRef>
              <c:f>DATA!$D$14</c:f>
              <c:numCache>
                <c:formatCode>General</c:formatCode>
                <c:ptCount val="1"/>
                <c:pt idx="0">
                  <c:v>70</c:v>
                </c:pt>
              </c:numCache>
            </c:numRef>
          </c:val>
          <c:extLst>
            <c:ext xmlns:c16="http://schemas.microsoft.com/office/drawing/2014/chart" uri="{C3380CC4-5D6E-409C-BE32-E72D297353CC}">
              <c16:uniqueId val="{00000003-4796-43CF-85CE-6FA32089338A}"/>
            </c:ext>
          </c:extLst>
        </c:ser>
        <c:dLbls>
          <c:dLblPos val="outEnd"/>
          <c:showLegendKey val="0"/>
          <c:showVal val="1"/>
          <c:showCatName val="0"/>
          <c:showSerName val="0"/>
          <c:showPercent val="0"/>
          <c:showBubbleSize val="0"/>
        </c:dLbls>
        <c:gapWidth val="219"/>
        <c:overlap val="-27"/>
        <c:axId val="1726848831"/>
        <c:axId val="1674498031"/>
      </c:barChart>
      <c:catAx>
        <c:axId val="172684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98031"/>
        <c:crosses val="autoZero"/>
        <c:auto val="1"/>
        <c:lblAlgn val="ctr"/>
        <c:lblOffset val="100"/>
        <c:noMultiLvlLbl val="0"/>
      </c:catAx>
      <c:valAx>
        <c:axId val="16744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848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Số khách tăng &gt;5%/tháng giảm dần: 127 → 85 → 48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DATA!$E$10</c:f>
              <c:strCache>
                <c:ptCount val="1"/>
                <c:pt idx="0">
                  <c:v>up_over_5pct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DATA!$A$11:$A$14</c15:sqref>
                  </c15:fullRef>
                </c:ext>
              </c:extLst>
              <c:f>DATA!$A$12:$A$14</c:f>
              <c:strCache>
                <c:ptCount val="3"/>
                <c:pt idx="0">
                  <c:v>2020-02</c:v>
                </c:pt>
                <c:pt idx="1">
                  <c:v>2020-03</c:v>
                </c:pt>
                <c:pt idx="2">
                  <c:v>2020-04</c:v>
                </c:pt>
              </c:strCache>
            </c:strRef>
          </c:cat>
          <c:val>
            <c:numRef>
              <c:extLst>
                <c:ext xmlns:c15="http://schemas.microsoft.com/office/drawing/2012/chart" uri="{02D57815-91ED-43cb-92C2-25804820EDAC}">
                  <c15:fullRef>
                    <c15:sqref>DATA!$E$11:$E$14</c15:sqref>
                  </c15:fullRef>
                </c:ext>
              </c:extLst>
              <c:f>DATA!$E$12:$E$14</c:f>
              <c:numCache>
                <c:formatCode>General</c:formatCode>
                <c:ptCount val="3"/>
                <c:pt idx="0">
                  <c:v>127</c:v>
                </c:pt>
                <c:pt idx="1">
                  <c:v>85</c:v>
                </c:pt>
                <c:pt idx="2">
                  <c:v>48</c:v>
                </c:pt>
              </c:numCache>
            </c:numRef>
          </c:val>
          <c:smooth val="0"/>
          <c:extLst>
            <c:ext xmlns:c16="http://schemas.microsoft.com/office/drawing/2014/chart" uri="{C3380CC4-5D6E-409C-BE32-E72D297353CC}">
              <c16:uniqueId val="{00000000-5917-41B5-9637-021762AA9BB8}"/>
            </c:ext>
          </c:extLst>
        </c:ser>
        <c:dLbls>
          <c:showLegendKey val="0"/>
          <c:showVal val="0"/>
          <c:showCatName val="0"/>
          <c:showSerName val="0"/>
          <c:showPercent val="0"/>
          <c:showBubbleSize val="0"/>
        </c:dLbls>
        <c:marker val="1"/>
        <c:smooth val="0"/>
        <c:axId val="1858996223"/>
        <c:axId val="1674547471"/>
      </c:lineChart>
      <c:catAx>
        <c:axId val="185899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47471"/>
        <c:crosses val="autoZero"/>
        <c:auto val="1"/>
        <c:lblAlgn val="ctr"/>
        <c:lblOffset val="100"/>
        <c:noMultiLvlLbl val="0"/>
      </c:catAx>
      <c:valAx>
        <c:axId val="167454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9962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Option 3 luôn cao nhất (314k–410k) — cái giá của cam kết real-time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DATA!$H$10</c:f>
              <c:strCache>
                <c:ptCount val="1"/>
                <c:pt idx="0">
                  <c:v>opt1</c:v>
                </c:pt>
              </c:strCache>
            </c:strRef>
          </c:tx>
          <c:spPr>
            <a:solidFill>
              <a:schemeClr val="accent1"/>
            </a:solidFill>
            <a:ln>
              <a:noFill/>
            </a:ln>
            <a:effectLst/>
          </c:spPr>
          <c:invertIfNegative val="0"/>
          <c:cat>
            <c:strRef>
              <c:f>DATA!$G$11:$G$14</c:f>
              <c:strCache>
                <c:ptCount val="4"/>
                <c:pt idx="0">
                  <c:v>2020-01</c:v>
                </c:pt>
                <c:pt idx="1">
                  <c:v>2020-02</c:v>
                </c:pt>
                <c:pt idx="2">
                  <c:v>2020-03</c:v>
                </c:pt>
                <c:pt idx="3">
                  <c:v>2020-04</c:v>
                </c:pt>
              </c:strCache>
            </c:strRef>
          </c:cat>
          <c:val>
            <c:numRef>
              <c:f>DATA!$H$11:$H$14</c:f>
              <c:numCache>
                <c:formatCode>General</c:formatCode>
                <c:ptCount val="4"/>
                <c:pt idx="1">
                  <c:v>235595</c:v>
                </c:pt>
                <c:pt idx="2">
                  <c:v>261508</c:v>
                </c:pt>
                <c:pt idx="3">
                  <c:v>260971</c:v>
                </c:pt>
              </c:numCache>
            </c:numRef>
          </c:val>
          <c:extLst>
            <c:ext xmlns:c16="http://schemas.microsoft.com/office/drawing/2014/chart" uri="{C3380CC4-5D6E-409C-BE32-E72D297353CC}">
              <c16:uniqueId val="{00000000-8CE8-43CF-8C01-2E839B296CB9}"/>
            </c:ext>
          </c:extLst>
        </c:ser>
        <c:ser>
          <c:idx val="1"/>
          <c:order val="1"/>
          <c:tx>
            <c:strRef>
              <c:f>DATA!$I$10</c:f>
              <c:strCache>
                <c:ptCount val="1"/>
                <c:pt idx="0">
                  <c:v>opt2</c:v>
                </c:pt>
              </c:strCache>
            </c:strRef>
          </c:tx>
          <c:spPr>
            <a:solidFill>
              <a:schemeClr val="accent2"/>
            </a:solidFill>
            <a:ln>
              <a:noFill/>
            </a:ln>
            <a:effectLst/>
          </c:spPr>
          <c:invertIfNegative val="0"/>
          <c:cat>
            <c:strRef>
              <c:f>DATA!$G$11:$G$14</c:f>
              <c:strCache>
                <c:ptCount val="4"/>
                <c:pt idx="0">
                  <c:v>2020-01</c:v>
                </c:pt>
                <c:pt idx="1">
                  <c:v>2020-02</c:v>
                </c:pt>
                <c:pt idx="2">
                  <c:v>2020-03</c:v>
                </c:pt>
                <c:pt idx="3">
                  <c:v>2020-04</c:v>
                </c:pt>
              </c:strCache>
            </c:strRef>
          </c:cat>
          <c:val>
            <c:numRef>
              <c:f>DATA!$I$11:$I$14</c:f>
              <c:numCache>
                <c:formatCode>General</c:formatCode>
                <c:ptCount val="4"/>
                <c:pt idx="1">
                  <c:v>128433</c:v>
                </c:pt>
                <c:pt idx="2">
                  <c:v>244605</c:v>
                </c:pt>
                <c:pt idx="3">
                  <c:v>257327</c:v>
                </c:pt>
              </c:numCache>
            </c:numRef>
          </c:val>
          <c:extLst>
            <c:ext xmlns:c16="http://schemas.microsoft.com/office/drawing/2014/chart" uri="{C3380CC4-5D6E-409C-BE32-E72D297353CC}">
              <c16:uniqueId val="{00000001-8CE8-43CF-8C01-2E839B296CB9}"/>
            </c:ext>
          </c:extLst>
        </c:ser>
        <c:ser>
          <c:idx val="2"/>
          <c:order val="2"/>
          <c:tx>
            <c:strRef>
              <c:f>DATA!$J$10</c:f>
              <c:strCache>
                <c:ptCount val="1"/>
                <c:pt idx="0">
                  <c:v>opt3</c:v>
                </c:pt>
              </c:strCache>
            </c:strRef>
          </c:tx>
          <c:spPr>
            <a:solidFill>
              <a:schemeClr val="accent3"/>
            </a:solidFill>
            <a:ln>
              <a:noFill/>
            </a:ln>
            <a:effectLst/>
          </c:spPr>
          <c:invertIfNegative val="0"/>
          <c:cat>
            <c:strRef>
              <c:f>DATA!$G$11:$G$14</c:f>
              <c:strCache>
                <c:ptCount val="4"/>
                <c:pt idx="0">
                  <c:v>2020-01</c:v>
                </c:pt>
                <c:pt idx="1">
                  <c:v>2020-02</c:v>
                </c:pt>
                <c:pt idx="2">
                  <c:v>2020-03</c:v>
                </c:pt>
                <c:pt idx="3">
                  <c:v>2020-04</c:v>
                </c:pt>
              </c:strCache>
            </c:strRef>
          </c:cat>
          <c:val>
            <c:numRef>
              <c:f>DATA!$J$11:$J$14</c:f>
              <c:numCache>
                <c:formatCode>General</c:formatCode>
                <c:ptCount val="4"/>
                <c:pt idx="0">
                  <c:v>356618</c:v>
                </c:pt>
                <c:pt idx="1">
                  <c:v>410126</c:v>
                </c:pt>
                <c:pt idx="2">
                  <c:v>399620</c:v>
                </c:pt>
                <c:pt idx="3">
                  <c:v>314374</c:v>
                </c:pt>
              </c:numCache>
            </c:numRef>
          </c:val>
          <c:extLst>
            <c:ext xmlns:c16="http://schemas.microsoft.com/office/drawing/2014/chart" uri="{C3380CC4-5D6E-409C-BE32-E72D297353CC}">
              <c16:uniqueId val="{00000002-8CE8-43CF-8C01-2E839B296CB9}"/>
            </c:ext>
          </c:extLst>
        </c:ser>
        <c:dLbls>
          <c:showLegendKey val="0"/>
          <c:showVal val="0"/>
          <c:showCatName val="0"/>
          <c:showSerName val="0"/>
          <c:showPercent val="0"/>
          <c:showBubbleSize val="0"/>
        </c:dLbls>
        <c:gapWidth val="150"/>
        <c:axId val="1855534783"/>
        <c:axId val="1674487471"/>
      </c:barChart>
      <c:catAx>
        <c:axId val="1855534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87471"/>
        <c:crosses val="autoZero"/>
        <c:auto val="1"/>
        <c:lblAlgn val="ctr"/>
        <c:lblOffset val="100"/>
        <c:noMultiLvlLbl val="0"/>
      </c:catAx>
      <c:valAx>
        <c:axId val="167448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53478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Nghịch lý: lãi kép &lt; lãi đơn ở mọi tháng (net-spenders 'ăn' mất lãi nhập gốc)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825033007134385E-2"/>
          <c:y val="0.16353127258764791"/>
          <c:w val="0.92558876028616832"/>
          <c:h val="0.633329352468333"/>
        </c:manualLayout>
      </c:layout>
      <c:lineChart>
        <c:grouping val="standard"/>
        <c:varyColors val="0"/>
        <c:ser>
          <c:idx val="0"/>
          <c:order val="0"/>
          <c:tx>
            <c:strRef>
              <c:f>DATA!$M$10</c:f>
              <c:strCache>
                <c:ptCount val="1"/>
                <c:pt idx="0">
                  <c:v>simple</c:v>
                </c:pt>
              </c:strCache>
            </c:strRef>
          </c:tx>
          <c:spPr>
            <a:ln w="28575" cap="rnd">
              <a:solidFill>
                <a:schemeClr val="accent1"/>
              </a:solidFill>
              <a:round/>
            </a:ln>
            <a:effectLst/>
          </c:spPr>
          <c:marker>
            <c:symbol val="none"/>
          </c:marker>
          <c:cat>
            <c:strRef>
              <c:f>DATA!$L$11:$L$14</c:f>
              <c:strCache>
                <c:ptCount val="4"/>
                <c:pt idx="0">
                  <c:v>2020-01</c:v>
                </c:pt>
                <c:pt idx="1">
                  <c:v>2020-02</c:v>
                </c:pt>
                <c:pt idx="2">
                  <c:v>2020-03</c:v>
                </c:pt>
                <c:pt idx="3">
                  <c:v>2020-04</c:v>
                </c:pt>
              </c:strCache>
            </c:strRef>
          </c:cat>
          <c:val>
            <c:numRef>
              <c:f>DATA!$M$11:$M$14</c:f>
              <c:numCache>
                <c:formatCode>General</c:formatCode>
                <c:ptCount val="4"/>
                <c:pt idx="0">
                  <c:v>236276.51</c:v>
                </c:pt>
                <c:pt idx="1">
                  <c:v>263436.93</c:v>
                </c:pt>
                <c:pt idx="2">
                  <c:v>264265.67</c:v>
                </c:pt>
                <c:pt idx="3">
                  <c:v>269352.8</c:v>
                </c:pt>
              </c:numCache>
            </c:numRef>
          </c:val>
          <c:smooth val="0"/>
          <c:extLst>
            <c:ext xmlns:c16="http://schemas.microsoft.com/office/drawing/2014/chart" uri="{C3380CC4-5D6E-409C-BE32-E72D297353CC}">
              <c16:uniqueId val="{00000000-B2F2-4C0E-93AE-999F86716159}"/>
            </c:ext>
          </c:extLst>
        </c:ser>
        <c:ser>
          <c:idx val="1"/>
          <c:order val="1"/>
          <c:tx>
            <c:strRef>
              <c:f>DATA!$N$10</c:f>
              <c:strCache>
                <c:ptCount val="1"/>
                <c:pt idx="0">
                  <c:v>compound</c:v>
                </c:pt>
              </c:strCache>
            </c:strRef>
          </c:tx>
          <c:spPr>
            <a:ln w="28575" cap="rnd">
              <a:solidFill>
                <a:schemeClr val="accent2"/>
              </a:solidFill>
              <a:round/>
            </a:ln>
            <a:effectLst/>
          </c:spPr>
          <c:marker>
            <c:symbol val="none"/>
          </c:marker>
          <c:cat>
            <c:strRef>
              <c:f>DATA!$L$11:$L$14</c:f>
              <c:strCache>
                <c:ptCount val="4"/>
                <c:pt idx="0">
                  <c:v>2020-01</c:v>
                </c:pt>
                <c:pt idx="1">
                  <c:v>2020-02</c:v>
                </c:pt>
                <c:pt idx="2">
                  <c:v>2020-03</c:v>
                </c:pt>
                <c:pt idx="3">
                  <c:v>2020-04</c:v>
                </c:pt>
              </c:strCache>
            </c:strRef>
          </c:cat>
          <c:val>
            <c:numRef>
              <c:f>DATA!$N$11:$N$14</c:f>
              <c:numCache>
                <c:formatCode>General</c:formatCode>
                <c:ptCount val="4"/>
                <c:pt idx="0">
                  <c:v>236185.32</c:v>
                </c:pt>
                <c:pt idx="1">
                  <c:v>263094.77</c:v>
                </c:pt>
                <c:pt idx="2">
                  <c:v>263549.34999999998</c:v>
                </c:pt>
                <c:pt idx="3">
                  <c:v>268469.18</c:v>
                </c:pt>
              </c:numCache>
            </c:numRef>
          </c:val>
          <c:smooth val="0"/>
          <c:extLst>
            <c:ext xmlns:c16="http://schemas.microsoft.com/office/drawing/2014/chart" uri="{C3380CC4-5D6E-409C-BE32-E72D297353CC}">
              <c16:uniqueId val="{00000001-B2F2-4C0E-93AE-999F86716159}"/>
            </c:ext>
          </c:extLst>
        </c:ser>
        <c:dLbls>
          <c:showLegendKey val="0"/>
          <c:showVal val="0"/>
          <c:showCatName val="0"/>
          <c:showSerName val="0"/>
          <c:showPercent val="0"/>
          <c:showBubbleSize val="0"/>
        </c:dLbls>
        <c:smooth val="0"/>
        <c:axId val="1815021375"/>
        <c:axId val="1674565711"/>
      </c:lineChart>
      <c:catAx>
        <c:axId val="18150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65711"/>
        <c:crosses val="autoZero"/>
        <c:auto val="1"/>
        <c:lblAlgn val="ctr"/>
        <c:lblOffset val="100"/>
        <c:noMultiLvlLbl val="0"/>
      </c:catAx>
      <c:valAx>
        <c:axId val="167456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2137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40927701437117964"/>
          <c:y val="0.89914270220653325"/>
          <c:w val="0.18575863954505686"/>
          <c:h val="7.71825700513016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a:effectLst/>
              </a:rPr>
              <a:t>Lãi chỉ thêm ~1.7% nhu cầu storage — nhỏ, mượt, dự báo được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DATA!$O$10</c:f>
              <c:strCache>
                <c:ptCount val="1"/>
                <c:pt idx="0">
                  <c:v>interest_earned</c:v>
                </c:pt>
              </c:strCache>
            </c:strRef>
          </c:tx>
          <c:spPr>
            <a:solidFill>
              <a:schemeClr val="accent1"/>
            </a:solidFill>
            <a:ln>
              <a:noFill/>
            </a:ln>
            <a:effectLst/>
          </c:spPr>
          <c:invertIfNegative val="0"/>
          <c:cat>
            <c:strRef>
              <c:f>DATA!$L$11:$L$14</c:f>
              <c:strCache>
                <c:ptCount val="4"/>
                <c:pt idx="0">
                  <c:v>2020-01</c:v>
                </c:pt>
                <c:pt idx="1">
                  <c:v>2020-02</c:v>
                </c:pt>
                <c:pt idx="2">
                  <c:v>2020-03</c:v>
                </c:pt>
                <c:pt idx="3">
                  <c:v>2020-04</c:v>
                </c:pt>
              </c:strCache>
            </c:strRef>
          </c:cat>
          <c:val>
            <c:numRef>
              <c:f>DATA!$O$11:$O$14</c:f>
              <c:numCache>
                <c:formatCode>General</c:formatCode>
                <c:ptCount val="4"/>
                <c:pt idx="0">
                  <c:v>681.51</c:v>
                </c:pt>
                <c:pt idx="1">
                  <c:v>1247.4100000000001</c:v>
                </c:pt>
                <c:pt idx="2">
                  <c:v>1365.74</c:v>
                </c:pt>
                <c:pt idx="3">
                  <c:v>1201.1300000000001</c:v>
                </c:pt>
              </c:numCache>
            </c:numRef>
          </c:val>
          <c:extLst>
            <c:ext xmlns:c16="http://schemas.microsoft.com/office/drawing/2014/chart" uri="{C3380CC4-5D6E-409C-BE32-E72D297353CC}">
              <c16:uniqueId val="{00000000-677D-414A-BCF5-D7BED0FCBC49}"/>
            </c:ext>
          </c:extLst>
        </c:ser>
        <c:dLbls>
          <c:showLegendKey val="0"/>
          <c:showVal val="0"/>
          <c:showCatName val="0"/>
          <c:showSerName val="0"/>
          <c:showPercent val="0"/>
          <c:showBubbleSize val="0"/>
        </c:dLbls>
        <c:gapWidth val="219"/>
        <c:overlap val="-27"/>
        <c:axId val="1815048751"/>
        <c:axId val="1674484591"/>
      </c:barChart>
      <c:catAx>
        <c:axId val="18150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84591"/>
        <c:crosses val="autoZero"/>
        <c:auto val="1"/>
        <c:lblAlgn val="ctr"/>
        <c:lblOffset val="100"/>
        <c:noMultiLvlLbl val="0"/>
      </c:catAx>
      <c:valAx>
        <c:axId val="167448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4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[data_bank_dashboard.xlsx]LOOKUP_MONTH!PivotTable1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Monthly Net Flow by Transaction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LOOKUP_MONTH!$B$8:$B$9</c:f>
              <c:strCache>
                <c:ptCount val="1"/>
                <c:pt idx="0">
                  <c:v>deposit</c:v>
                </c:pt>
              </c:strCache>
            </c:strRef>
          </c:tx>
          <c:spPr>
            <a:solidFill>
              <a:schemeClr val="accent1"/>
            </a:solidFill>
            <a:ln>
              <a:noFill/>
            </a:ln>
            <a:effectLst/>
          </c:spPr>
          <c:invertIfNegative val="0"/>
          <c:cat>
            <c:strRef>
              <c:f>LOOKUP_MONTH!$A$10:$A$14</c:f>
              <c:strCache>
                <c:ptCount val="4"/>
                <c:pt idx="0">
                  <c:v>Jan</c:v>
                </c:pt>
                <c:pt idx="1">
                  <c:v>Feb</c:v>
                </c:pt>
                <c:pt idx="2">
                  <c:v>Mar</c:v>
                </c:pt>
                <c:pt idx="3">
                  <c:v>Apr</c:v>
                </c:pt>
              </c:strCache>
            </c:strRef>
          </c:cat>
          <c:val>
            <c:numRef>
              <c:f>LOOKUP_MONTH!$B$10:$B$14</c:f>
              <c:numCache>
                <c:formatCode>#,##0</c:formatCode>
                <c:ptCount val="4"/>
                <c:pt idx="0">
                  <c:v>437894</c:v>
                </c:pt>
                <c:pt idx="1">
                  <c:v>357040</c:v>
                </c:pt>
                <c:pt idx="2">
                  <c:v>390103</c:v>
                </c:pt>
                <c:pt idx="3">
                  <c:v>174131</c:v>
                </c:pt>
              </c:numCache>
            </c:numRef>
          </c:val>
          <c:extLst>
            <c:ext xmlns:c16="http://schemas.microsoft.com/office/drawing/2014/chart" uri="{C3380CC4-5D6E-409C-BE32-E72D297353CC}">
              <c16:uniqueId val="{00000000-2039-4FBE-BED2-17F4664E9DD1}"/>
            </c:ext>
          </c:extLst>
        </c:ser>
        <c:ser>
          <c:idx val="1"/>
          <c:order val="1"/>
          <c:tx>
            <c:strRef>
              <c:f>LOOKUP_MONTH!$C$8:$C$9</c:f>
              <c:strCache>
                <c:ptCount val="1"/>
                <c:pt idx="0">
                  <c:v>purchase</c:v>
                </c:pt>
              </c:strCache>
            </c:strRef>
          </c:tx>
          <c:spPr>
            <a:solidFill>
              <a:schemeClr val="accent2"/>
            </a:solidFill>
            <a:ln>
              <a:noFill/>
            </a:ln>
            <a:effectLst/>
          </c:spPr>
          <c:invertIfNegative val="0"/>
          <c:cat>
            <c:strRef>
              <c:f>LOOKUP_MONTH!$A$10:$A$14</c:f>
              <c:strCache>
                <c:ptCount val="4"/>
                <c:pt idx="0">
                  <c:v>Jan</c:v>
                </c:pt>
                <c:pt idx="1">
                  <c:v>Feb</c:v>
                </c:pt>
                <c:pt idx="2">
                  <c:v>Mar</c:v>
                </c:pt>
                <c:pt idx="3">
                  <c:v>Apr</c:v>
                </c:pt>
              </c:strCache>
            </c:strRef>
          </c:cat>
          <c:val>
            <c:numRef>
              <c:f>LOOKUP_MONTH!$C$10:$C$14</c:f>
              <c:numCache>
                <c:formatCode>#,##0</c:formatCode>
                <c:ptCount val="4"/>
                <c:pt idx="0">
                  <c:v>-152761</c:v>
                </c:pt>
                <c:pt idx="1">
                  <c:v>-252227</c:v>
                </c:pt>
                <c:pt idx="2">
                  <c:v>-276914</c:v>
                </c:pt>
                <c:pt idx="3">
                  <c:v>-124635</c:v>
                </c:pt>
              </c:numCache>
            </c:numRef>
          </c:val>
          <c:extLst>
            <c:ext xmlns:c16="http://schemas.microsoft.com/office/drawing/2014/chart" uri="{C3380CC4-5D6E-409C-BE32-E72D297353CC}">
              <c16:uniqueId val="{00000008-2039-4FBE-BED2-17F4664E9DD1}"/>
            </c:ext>
          </c:extLst>
        </c:ser>
        <c:ser>
          <c:idx val="2"/>
          <c:order val="2"/>
          <c:tx>
            <c:strRef>
              <c:f>LOOKUP_MONTH!$D$8:$D$9</c:f>
              <c:strCache>
                <c:ptCount val="1"/>
                <c:pt idx="0">
                  <c:v>withdrawal</c:v>
                </c:pt>
              </c:strCache>
            </c:strRef>
          </c:tx>
          <c:spPr>
            <a:solidFill>
              <a:schemeClr val="accent3"/>
            </a:solidFill>
            <a:ln>
              <a:noFill/>
            </a:ln>
            <a:effectLst/>
          </c:spPr>
          <c:invertIfNegative val="0"/>
          <c:cat>
            <c:strRef>
              <c:f>LOOKUP_MONTH!$A$10:$A$14</c:f>
              <c:strCache>
                <c:ptCount val="4"/>
                <c:pt idx="0">
                  <c:v>Jan</c:v>
                </c:pt>
                <c:pt idx="1">
                  <c:v>Feb</c:v>
                </c:pt>
                <c:pt idx="2">
                  <c:v>Mar</c:v>
                </c:pt>
                <c:pt idx="3">
                  <c:v>Apr</c:v>
                </c:pt>
              </c:strCache>
            </c:strRef>
          </c:cat>
          <c:val>
            <c:numRef>
              <c:f>LOOKUP_MONTH!$D$10:$D$14</c:f>
              <c:numCache>
                <c:formatCode>#,##0</c:formatCode>
                <c:ptCount val="4"/>
                <c:pt idx="0">
                  <c:v>-159042</c:v>
                </c:pt>
                <c:pt idx="1">
                  <c:v>-244612</c:v>
                </c:pt>
                <c:pt idx="2">
                  <c:v>-284073</c:v>
                </c:pt>
                <c:pt idx="3">
                  <c:v>-105276</c:v>
                </c:pt>
              </c:numCache>
            </c:numRef>
          </c:val>
          <c:extLst>
            <c:ext xmlns:c16="http://schemas.microsoft.com/office/drawing/2014/chart" uri="{C3380CC4-5D6E-409C-BE32-E72D297353CC}">
              <c16:uniqueId val="{00000009-2039-4FBE-BED2-17F4664E9DD1}"/>
            </c:ext>
          </c:extLst>
        </c:ser>
        <c:dLbls>
          <c:showLegendKey val="0"/>
          <c:showVal val="0"/>
          <c:showCatName val="0"/>
          <c:showSerName val="0"/>
          <c:showPercent val="0"/>
          <c:showBubbleSize val="0"/>
        </c:dLbls>
        <c:gapWidth val="219"/>
        <c:overlap val="-27"/>
        <c:axId val="520546319"/>
        <c:axId val="102250223"/>
      </c:barChart>
      <c:catAx>
        <c:axId val="52054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0223"/>
        <c:crosses val="autoZero"/>
        <c:auto val="1"/>
        <c:lblAlgn val="ctr"/>
        <c:lblOffset val="100"/>
        <c:noMultiLvlLbl val="0"/>
      </c:catAx>
      <c:valAx>
        <c:axId val="102250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546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[data_bank_dashboard.xlsx]LOOKUP_MONTH!PivotTable2</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i="0">
                <a:effectLst/>
              </a:rPr>
              <a:t>Line chart net flow </a:t>
            </a:r>
            <a:r>
              <a:rPr lang="en-US" b="1" i="0" baseline="0">
                <a:effectLst/>
              </a:rPr>
              <a:t>by month</a:t>
            </a:r>
            <a:endParaRPr lang="en-US" b="1" i="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1.4792899408284023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2.1400394477317553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2.1400394477317553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1.4792899408284023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2.1400394477317553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1.4792899408284023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7.3320060511342836E-2"/>
              <c:y val="4.0821299843583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LOOKUP_MONTH!$B$20</c:f>
              <c:strCache>
                <c:ptCount val="1"/>
                <c:pt idx="0">
                  <c:v>Total</c:v>
                </c:pt>
              </c:strCache>
            </c:strRef>
          </c:tx>
          <c:spPr>
            <a:ln w="28575" cap="rnd">
              <a:solidFill>
                <a:schemeClr val="accent1"/>
              </a:solidFill>
              <a:round/>
            </a:ln>
            <a:effectLst/>
          </c:spPr>
          <c:marker>
            <c:symbol val="none"/>
          </c:marker>
          <c:dLbls>
            <c:dLbl>
              <c:idx val="1"/>
              <c:layout>
                <c:manualLayout>
                  <c:x val="-2.1400394477317553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A7-42C6-B877-3D167DF13AA1}"/>
                </c:ext>
              </c:extLst>
            </c:dLbl>
            <c:dLbl>
              <c:idx val="2"/>
              <c:layout>
                <c:manualLayout>
                  <c:x val="-7.3320060511342836E-2"/>
                  <c:y val="4.0821299843583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A7-42C6-B877-3D167DF13AA1}"/>
                </c:ext>
              </c:extLst>
            </c:dLbl>
            <c:dLbl>
              <c:idx val="3"/>
              <c:layout>
                <c:manualLayout>
                  <c:x val="1.4792899408284023E-3"/>
                  <c:y val="6.979075532225138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A7-42C6-B877-3D167DF13A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LOOKUP_MONTH!$A$21:$A$25</c:f>
              <c:strCache>
                <c:ptCount val="4"/>
                <c:pt idx="0">
                  <c:v>Jan</c:v>
                </c:pt>
                <c:pt idx="1">
                  <c:v>Feb</c:v>
                </c:pt>
                <c:pt idx="2">
                  <c:v>Mar</c:v>
                </c:pt>
                <c:pt idx="3">
                  <c:v>Apr</c:v>
                </c:pt>
              </c:strCache>
            </c:strRef>
          </c:cat>
          <c:val>
            <c:numRef>
              <c:f>LOOKUP_MONTH!$B$21:$B$25</c:f>
              <c:numCache>
                <c:formatCode>#,##0</c:formatCode>
                <c:ptCount val="4"/>
                <c:pt idx="0">
                  <c:v>126091</c:v>
                </c:pt>
                <c:pt idx="1">
                  <c:v>-139799</c:v>
                </c:pt>
                <c:pt idx="2">
                  <c:v>-170884</c:v>
                </c:pt>
                <c:pt idx="3">
                  <c:v>-55780</c:v>
                </c:pt>
              </c:numCache>
            </c:numRef>
          </c:val>
          <c:smooth val="0"/>
          <c:extLst>
            <c:ext xmlns:c16="http://schemas.microsoft.com/office/drawing/2014/chart" uri="{C3380CC4-5D6E-409C-BE32-E72D297353CC}">
              <c16:uniqueId val="{00000002-9DA7-42C6-B877-3D167DF13AA1}"/>
            </c:ext>
          </c:extLst>
        </c:ser>
        <c:dLbls>
          <c:dLblPos val="t"/>
          <c:showLegendKey val="0"/>
          <c:showVal val="1"/>
          <c:showCatName val="0"/>
          <c:showSerName val="0"/>
          <c:showPercent val="0"/>
          <c:showBubbleSize val="0"/>
        </c:dLbls>
        <c:smooth val="0"/>
        <c:axId val="957303135"/>
        <c:axId val="102380303"/>
      </c:lineChart>
      <c:catAx>
        <c:axId val="95730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0303"/>
        <c:crosses val="autoZero"/>
        <c:auto val="1"/>
        <c:lblAlgn val="ctr"/>
        <c:lblOffset val="100"/>
        <c:noMultiLvlLbl val="0"/>
      </c:catAx>
      <c:valAx>
        <c:axId val="102380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0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[data_bank_dashboard.xlsx]Sheet1!PivotTable4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a:effectLst/>
              </a:rPr>
              <a:t>Top 10 clients with massive losses: from peak highs to deep negative balances.</a:t>
            </a:r>
          </a:p>
          <a:p>
            <a:pPr>
              <a:defRPr/>
            </a:pPr>
            <a:br>
              <a:rPr lang="en-US"/>
            </a:b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3381452318461"/>
          <c:y val="0.14443642461358996"/>
          <c:w val="0.85721062992125985"/>
          <c:h val="0.65706765820939061"/>
        </c:manualLayout>
      </c:layout>
      <c:barChart>
        <c:barDir val="col"/>
        <c:grouping val="clustered"/>
        <c:varyColors val="0"/>
        <c:ser>
          <c:idx val="0"/>
          <c:order val="0"/>
          <c:tx>
            <c:strRef>
              <c:f>Sheet1!$B$3</c:f>
              <c:strCache>
                <c:ptCount val="1"/>
                <c:pt idx="0">
                  <c:v>Sum of signed_amount</c:v>
                </c:pt>
              </c:strCache>
            </c:strRef>
          </c:tx>
          <c:spPr>
            <a:solidFill>
              <a:schemeClr val="accent1"/>
            </a:solidFill>
            <a:ln>
              <a:noFill/>
            </a:ln>
            <a:effectLst/>
          </c:spPr>
          <c:invertIfNegative val="0"/>
          <c:cat>
            <c:strRef>
              <c:f>Sheet1!$A$4:$A$14</c:f>
              <c:strCache>
                <c:ptCount val="10"/>
                <c:pt idx="0">
                  <c:v>179</c:v>
                </c:pt>
                <c:pt idx="1">
                  <c:v>283</c:v>
                </c:pt>
                <c:pt idx="2">
                  <c:v>405</c:v>
                </c:pt>
                <c:pt idx="3">
                  <c:v>356</c:v>
                </c:pt>
                <c:pt idx="4">
                  <c:v>183</c:v>
                </c:pt>
                <c:pt idx="5">
                  <c:v>477</c:v>
                </c:pt>
                <c:pt idx="6">
                  <c:v>473</c:v>
                </c:pt>
                <c:pt idx="7">
                  <c:v>132</c:v>
                </c:pt>
                <c:pt idx="8">
                  <c:v>442</c:v>
                </c:pt>
                <c:pt idx="9">
                  <c:v>206</c:v>
                </c:pt>
              </c:strCache>
            </c:strRef>
          </c:cat>
          <c:val>
            <c:numRef>
              <c:f>Sheet1!$B$4:$B$14</c:f>
              <c:numCache>
                <c:formatCode>General</c:formatCode>
                <c:ptCount val="10"/>
                <c:pt idx="0">
                  <c:v>-7953</c:v>
                </c:pt>
                <c:pt idx="1">
                  <c:v>-7145</c:v>
                </c:pt>
                <c:pt idx="2">
                  <c:v>-7070</c:v>
                </c:pt>
                <c:pt idx="3">
                  <c:v>-6882</c:v>
                </c:pt>
                <c:pt idx="4">
                  <c:v>-6560</c:v>
                </c:pt>
                <c:pt idx="5">
                  <c:v>-6538</c:v>
                </c:pt>
                <c:pt idx="6">
                  <c:v>-5772</c:v>
                </c:pt>
                <c:pt idx="7">
                  <c:v>-5585</c:v>
                </c:pt>
                <c:pt idx="8">
                  <c:v>-5499</c:v>
                </c:pt>
                <c:pt idx="9">
                  <c:v>-5374</c:v>
                </c:pt>
              </c:numCache>
            </c:numRef>
          </c:val>
          <c:extLst>
            <c:ext xmlns:c16="http://schemas.microsoft.com/office/drawing/2014/chart" uri="{C3380CC4-5D6E-409C-BE32-E72D297353CC}">
              <c16:uniqueId val="{00000000-8ADD-4FF7-8AEE-7B76E2255622}"/>
            </c:ext>
          </c:extLst>
        </c:ser>
        <c:ser>
          <c:idx val="1"/>
          <c:order val="1"/>
          <c:tx>
            <c:strRef>
              <c:f>Sheet1!$C$3</c:f>
              <c:strCache>
                <c:ptCount val="1"/>
                <c:pt idx="0">
                  <c:v>Peak Balance</c:v>
                </c:pt>
              </c:strCache>
            </c:strRef>
          </c:tx>
          <c:spPr>
            <a:solidFill>
              <a:schemeClr val="accent2"/>
            </a:solidFill>
            <a:ln>
              <a:noFill/>
            </a:ln>
            <a:effectLst/>
          </c:spPr>
          <c:invertIfNegative val="0"/>
          <c:cat>
            <c:strRef>
              <c:f>Sheet1!$A$4:$A$14</c:f>
              <c:strCache>
                <c:ptCount val="10"/>
                <c:pt idx="0">
                  <c:v>179</c:v>
                </c:pt>
                <c:pt idx="1">
                  <c:v>283</c:v>
                </c:pt>
                <c:pt idx="2">
                  <c:v>405</c:v>
                </c:pt>
                <c:pt idx="3">
                  <c:v>356</c:v>
                </c:pt>
                <c:pt idx="4">
                  <c:v>183</c:v>
                </c:pt>
                <c:pt idx="5">
                  <c:v>477</c:v>
                </c:pt>
                <c:pt idx="6">
                  <c:v>473</c:v>
                </c:pt>
                <c:pt idx="7">
                  <c:v>132</c:v>
                </c:pt>
                <c:pt idx="8">
                  <c:v>442</c:v>
                </c:pt>
                <c:pt idx="9">
                  <c:v>206</c:v>
                </c:pt>
              </c:strCache>
            </c:strRef>
          </c:cat>
          <c:val>
            <c:numRef>
              <c:f>Sheet1!$C$4:$C$14</c:f>
              <c:numCache>
                <c:formatCode>General</c:formatCode>
                <c:ptCount val="10"/>
                <c:pt idx="0">
                  <c:v>19</c:v>
                </c:pt>
                <c:pt idx="1">
                  <c:v>947</c:v>
                </c:pt>
                <c:pt idx="2">
                  <c:v>413</c:v>
                </c:pt>
                <c:pt idx="3">
                  <c:v>568</c:v>
                </c:pt>
                <c:pt idx="4">
                  <c:v>452</c:v>
                </c:pt>
                <c:pt idx="5">
                  <c:v>101</c:v>
                </c:pt>
                <c:pt idx="6">
                  <c:v>1566</c:v>
                </c:pt>
                <c:pt idx="7">
                  <c:v>14</c:v>
                </c:pt>
                <c:pt idx="8">
                  <c:v>553</c:v>
                </c:pt>
                <c:pt idx="9">
                  <c:v>811</c:v>
                </c:pt>
              </c:numCache>
            </c:numRef>
          </c:val>
          <c:extLst>
            <c:ext xmlns:c16="http://schemas.microsoft.com/office/drawing/2014/chart" uri="{C3380CC4-5D6E-409C-BE32-E72D297353CC}">
              <c16:uniqueId val="{00000001-8ADD-4FF7-8AEE-7B76E2255622}"/>
            </c:ext>
          </c:extLst>
        </c:ser>
        <c:dLbls>
          <c:showLegendKey val="0"/>
          <c:showVal val="0"/>
          <c:showCatName val="0"/>
          <c:showSerName val="0"/>
          <c:showPercent val="0"/>
          <c:showBubbleSize val="0"/>
        </c:dLbls>
        <c:gapWidth val="219"/>
        <c:overlap val="-27"/>
        <c:axId val="522295295"/>
        <c:axId val="102327503"/>
      </c:barChart>
      <c:catAx>
        <c:axId val="52229529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7503"/>
        <c:crosses val="autoZero"/>
        <c:auto val="1"/>
        <c:lblAlgn val="ctr"/>
        <c:lblOffset val="100"/>
        <c:noMultiLvlLbl val="0"/>
      </c:catAx>
      <c:valAx>
        <c:axId val="10232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9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[data_bank_dashboard.xlsx]Sheet1!PivotTable4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a:effectLst/>
              </a:rPr>
              <a:t>Top 10 clients with massive losses: from peak highs to deep negative balances.</a:t>
            </a:r>
          </a:p>
          <a:p>
            <a:pPr>
              <a:defRPr/>
            </a:pPr>
            <a:br>
              <a:rPr lang="en-US"/>
            </a:b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3381452318461"/>
          <c:y val="0.14443642461358996"/>
          <c:w val="0.85721062992125985"/>
          <c:h val="0.65706765820939061"/>
        </c:manualLayout>
      </c:layout>
      <c:barChart>
        <c:barDir val="col"/>
        <c:grouping val="clustered"/>
        <c:varyColors val="0"/>
        <c:ser>
          <c:idx val="0"/>
          <c:order val="0"/>
          <c:tx>
            <c:strRef>
              <c:f>Sheet1!$B$3</c:f>
              <c:strCache>
                <c:ptCount val="1"/>
                <c:pt idx="0">
                  <c:v>Sum of signed_amount</c:v>
                </c:pt>
              </c:strCache>
            </c:strRef>
          </c:tx>
          <c:spPr>
            <a:solidFill>
              <a:schemeClr val="accent1"/>
            </a:solidFill>
            <a:ln>
              <a:noFill/>
            </a:ln>
            <a:effectLst/>
          </c:spPr>
          <c:invertIfNegative val="0"/>
          <c:cat>
            <c:strRef>
              <c:f>Sheet1!$A$4:$A$14</c:f>
              <c:strCache>
                <c:ptCount val="10"/>
                <c:pt idx="0">
                  <c:v>179</c:v>
                </c:pt>
                <c:pt idx="1">
                  <c:v>283</c:v>
                </c:pt>
                <c:pt idx="2">
                  <c:v>405</c:v>
                </c:pt>
                <c:pt idx="3">
                  <c:v>356</c:v>
                </c:pt>
                <c:pt idx="4">
                  <c:v>183</c:v>
                </c:pt>
                <c:pt idx="5">
                  <c:v>477</c:v>
                </c:pt>
                <c:pt idx="6">
                  <c:v>473</c:v>
                </c:pt>
                <c:pt idx="7">
                  <c:v>132</c:v>
                </c:pt>
                <c:pt idx="8">
                  <c:v>442</c:v>
                </c:pt>
                <c:pt idx="9">
                  <c:v>206</c:v>
                </c:pt>
              </c:strCache>
            </c:strRef>
          </c:cat>
          <c:val>
            <c:numRef>
              <c:f>Sheet1!$B$4:$B$14</c:f>
              <c:numCache>
                <c:formatCode>General</c:formatCode>
                <c:ptCount val="10"/>
                <c:pt idx="0">
                  <c:v>-7953</c:v>
                </c:pt>
                <c:pt idx="1">
                  <c:v>-7145</c:v>
                </c:pt>
                <c:pt idx="2">
                  <c:v>-7070</c:v>
                </c:pt>
                <c:pt idx="3">
                  <c:v>-6882</c:v>
                </c:pt>
                <c:pt idx="4">
                  <c:v>-6560</c:v>
                </c:pt>
                <c:pt idx="5">
                  <c:v>-6538</c:v>
                </c:pt>
                <c:pt idx="6">
                  <c:v>-5772</c:v>
                </c:pt>
                <c:pt idx="7">
                  <c:v>-5585</c:v>
                </c:pt>
                <c:pt idx="8">
                  <c:v>-5499</c:v>
                </c:pt>
                <c:pt idx="9">
                  <c:v>-5374</c:v>
                </c:pt>
              </c:numCache>
            </c:numRef>
          </c:val>
          <c:extLst>
            <c:ext xmlns:c16="http://schemas.microsoft.com/office/drawing/2014/chart" uri="{C3380CC4-5D6E-409C-BE32-E72D297353CC}">
              <c16:uniqueId val="{00000000-12BC-41B9-8895-1E6C1B65D1F7}"/>
            </c:ext>
          </c:extLst>
        </c:ser>
        <c:ser>
          <c:idx val="1"/>
          <c:order val="1"/>
          <c:tx>
            <c:strRef>
              <c:f>Sheet1!$C$3</c:f>
              <c:strCache>
                <c:ptCount val="1"/>
                <c:pt idx="0">
                  <c:v>Peak Balance</c:v>
                </c:pt>
              </c:strCache>
            </c:strRef>
          </c:tx>
          <c:spPr>
            <a:solidFill>
              <a:schemeClr val="accent2"/>
            </a:solidFill>
            <a:ln>
              <a:noFill/>
            </a:ln>
            <a:effectLst/>
          </c:spPr>
          <c:invertIfNegative val="0"/>
          <c:cat>
            <c:strRef>
              <c:f>Sheet1!$A$4:$A$14</c:f>
              <c:strCache>
                <c:ptCount val="10"/>
                <c:pt idx="0">
                  <c:v>179</c:v>
                </c:pt>
                <c:pt idx="1">
                  <c:v>283</c:v>
                </c:pt>
                <c:pt idx="2">
                  <c:v>405</c:v>
                </c:pt>
                <c:pt idx="3">
                  <c:v>356</c:v>
                </c:pt>
                <c:pt idx="4">
                  <c:v>183</c:v>
                </c:pt>
                <c:pt idx="5">
                  <c:v>477</c:v>
                </c:pt>
                <c:pt idx="6">
                  <c:v>473</c:v>
                </c:pt>
                <c:pt idx="7">
                  <c:v>132</c:v>
                </c:pt>
                <c:pt idx="8">
                  <c:v>442</c:v>
                </c:pt>
                <c:pt idx="9">
                  <c:v>206</c:v>
                </c:pt>
              </c:strCache>
            </c:strRef>
          </c:cat>
          <c:val>
            <c:numRef>
              <c:f>Sheet1!$C$4:$C$14</c:f>
              <c:numCache>
                <c:formatCode>General</c:formatCode>
                <c:ptCount val="10"/>
                <c:pt idx="0">
                  <c:v>19</c:v>
                </c:pt>
                <c:pt idx="1">
                  <c:v>947</c:v>
                </c:pt>
                <c:pt idx="2">
                  <c:v>413</c:v>
                </c:pt>
                <c:pt idx="3">
                  <c:v>568</c:v>
                </c:pt>
                <c:pt idx="4">
                  <c:v>452</c:v>
                </c:pt>
                <c:pt idx="5">
                  <c:v>101</c:v>
                </c:pt>
                <c:pt idx="6">
                  <c:v>1566</c:v>
                </c:pt>
                <c:pt idx="7">
                  <c:v>14</c:v>
                </c:pt>
                <c:pt idx="8">
                  <c:v>553</c:v>
                </c:pt>
                <c:pt idx="9">
                  <c:v>811</c:v>
                </c:pt>
              </c:numCache>
            </c:numRef>
          </c:val>
          <c:extLst>
            <c:ext xmlns:c16="http://schemas.microsoft.com/office/drawing/2014/chart" uri="{C3380CC4-5D6E-409C-BE32-E72D297353CC}">
              <c16:uniqueId val="{00000001-12BC-41B9-8895-1E6C1B65D1F7}"/>
            </c:ext>
          </c:extLst>
        </c:ser>
        <c:dLbls>
          <c:showLegendKey val="0"/>
          <c:showVal val="0"/>
          <c:showCatName val="0"/>
          <c:showSerName val="0"/>
          <c:showPercent val="0"/>
          <c:showBubbleSize val="0"/>
        </c:dLbls>
        <c:gapWidth val="219"/>
        <c:overlap val="-27"/>
        <c:axId val="522295295"/>
        <c:axId val="102327503"/>
      </c:barChart>
      <c:catAx>
        <c:axId val="52229529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7503"/>
        <c:crosses val="autoZero"/>
        <c:auto val="1"/>
        <c:lblAlgn val="ctr"/>
        <c:lblOffset val="100"/>
        <c:noMultiLvlLbl val="0"/>
      </c:catAx>
      <c:valAx>
        <c:axId val="10232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9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[data_bank_dashboard.xlsx]LOOKUP_MONTH!PivotTable1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Monthly Net Flow by Transaction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LOOKUP_MONTH!$B$8:$B$9</c:f>
              <c:strCache>
                <c:ptCount val="1"/>
                <c:pt idx="0">
                  <c:v>deposit</c:v>
                </c:pt>
              </c:strCache>
            </c:strRef>
          </c:tx>
          <c:spPr>
            <a:solidFill>
              <a:schemeClr val="accent1"/>
            </a:solidFill>
            <a:ln>
              <a:noFill/>
            </a:ln>
            <a:effectLst/>
          </c:spPr>
          <c:invertIfNegative val="0"/>
          <c:cat>
            <c:strRef>
              <c:f>LOOKUP_MONTH!$A$10:$A$14</c:f>
              <c:strCache>
                <c:ptCount val="4"/>
                <c:pt idx="0">
                  <c:v>Jan</c:v>
                </c:pt>
                <c:pt idx="1">
                  <c:v>Feb</c:v>
                </c:pt>
                <c:pt idx="2">
                  <c:v>Mar</c:v>
                </c:pt>
                <c:pt idx="3">
                  <c:v>Apr</c:v>
                </c:pt>
              </c:strCache>
            </c:strRef>
          </c:cat>
          <c:val>
            <c:numRef>
              <c:f>LOOKUP_MONTH!$B$10:$B$14</c:f>
              <c:numCache>
                <c:formatCode>#,##0</c:formatCode>
                <c:ptCount val="4"/>
                <c:pt idx="0">
                  <c:v>437894</c:v>
                </c:pt>
                <c:pt idx="1">
                  <c:v>357040</c:v>
                </c:pt>
                <c:pt idx="2">
                  <c:v>390103</c:v>
                </c:pt>
                <c:pt idx="3">
                  <c:v>174131</c:v>
                </c:pt>
              </c:numCache>
            </c:numRef>
          </c:val>
          <c:extLst>
            <c:ext xmlns:c16="http://schemas.microsoft.com/office/drawing/2014/chart" uri="{C3380CC4-5D6E-409C-BE32-E72D297353CC}">
              <c16:uniqueId val="{00000000-8755-4A0F-9995-67D803EFBDBA}"/>
            </c:ext>
          </c:extLst>
        </c:ser>
        <c:ser>
          <c:idx val="1"/>
          <c:order val="1"/>
          <c:tx>
            <c:strRef>
              <c:f>LOOKUP_MONTH!$C$8:$C$9</c:f>
              <c:strCache>
                <c:ptCount val="1"/>
                <c:pt idx="0">
                  <c:v>purchase</c:v>
                </c:pt>
              </c:strCache>
            </c:strRef>
          </c:tx>
          <c:spPr>
            <a:solidFill>
              <a:schemeClr val="accent2"/>
            </a:solidFill>
            <a:ln>
              <a:noFill/>
            </a:ln>
            <a:effectLst/>
          </c:spPr>
          <c:invertIfNegative val="0"/>
          <c:cat>
            <c:strRef>
              <c:f>LOOKUP_MONTH!$A$10:$A$14</c:f>
              <c:strCache>
                <c:ptCount val="4"/>
                <c:pt idx="0">
                  <c:v>Jan</c:v>
                </c:pt>
                <c:pt idx="1">
                  <c:v>Feb</c:v>
                </c:pt>
                <c:pt idx="2">
                  <c:v>Mar</c:v>
                </c:pt>
                <c:pt idx="3">
                  <c:v>Apr</c:v>
                </c:pt>
              </c:strCache>
            </c:strRef>
          </c:cat>
          <c:val>
            <c:numRef>
              <c:f>LOOKUP_MONTH!$C$10:$C$14</c:f>
              <c:numCache>
                <c:formatCode>#,##0</c:formatCode>
                <c:ptCount val="4"/>
                <c:pt idx="0">
                  <c:v>-152761</c:v>
                </c:pt>
                <c:pt idx="1">
                  <c:v>-252227</c:v>
                </c:pt>
                <c:pt idx="2">
                  <c:v>-276914</c:v>
                </c:pt>
                <c:pt idx="3">
                  <c:v>-124635</c:v>
                </c:pt>
              </c:numCache>
            </c:numRef>
          </c:val>
          <c:extLst>
            <c:ext xmlns:c16="http://schemas.microsoft.com/office/drawing/2014/chart" uri="{C3380CC4-5D6E-409C-BE32-E72D297353CC}">
              <c16:uniqueId val="{00000008-8755-4A0F-9995-67D803EFBDBA}"/>
            </c:ext>
          </c:extLst>
        </c:ser>
        <c:ser>
          <c:idx val="2"/>
          <c:order val="2"/>
          <c:tx>
            <c:strRef>
              <c:f>LOOKUP_MONTH!$D$8:$D$9</c:f>
              <c:strCache>
                <c:ptCount val="1"/>
                <c:pt idx="0">
                  <c:v>withdrawal</c:v>
                </c:pt>
              </c:strCache>
            </c:strRef>
          </c:tx>
          <c:spPr>
            <a:solidFill>
              <a:schemeClr val="accent3"/>
            </a:solidFill>
            <a:ln>
              <a:noFill/>
            </a:ln>
            <a:effectLst/>
          </c:spPr>
          <c:invertIfNegative val="0"/>
          <c:cat>
            <c:strRef>
              <c:f>LOOKUP_MONTH!$A$10:$A$14</c:f>
              <c:strCache>
                <c:ptCount val="4"/>
                <c:pt idx="0">
                  <c:v>Jan</c:v>
                </c:pt>
                <c:pt idx="1">
                  <c:v>Feb</c:v>
                </c:pt>
                <c:pt idx="2">
                  <c:v>Mar</c:v>
                </c:pt>
                <c:pt idx="3">
                  <c:v>Apr</c:v>
                </c:pt>
              </c:strCache>
            </c:strRef>
          </c:cat>
          <c:val>
            <c:numRef>
              <c:f>LOOKUP_MONTH!$D$10:$D$14</c:f>
              <c:numCache>
                <c:formatCode>#,##0</c:formatCode>
                <c:ptCount val="4"/>
                <c:pt idx="0">
                  <c:v>-159042</c:v>
                </c:pt>
                <c:pt idx="1">
                  <c:v>-244612</c:v>
                </c:pt>
                <c:pt idx="2">
                  <c:v>-284073</c:v>
                </c:pt>
                <c:pt idx="3">
                  <c:v>-105276</c:v>
                </c:pt>
              </c:numCache>
            </c:numRef>
          </c:val>
          <c:extLst>
            <c:ext xmlns:c16="http://schemas.microsoft.com/office/drawing/2014/chart" uri="{C3380CC4-5D6E-409C-BE32-E72D297353CC}">
              <c16:uniqueId val="{00000009-8755-4A0F-9995-67D803EFBDBA}"/>
            </c:ext>
          </c:extLst>
        </c:ser>
        <c:dLbls>
          <c:showLegendKey val="0"/>
          <c:showVal val="0"/>
          <c:showCatName val="0"/>
          <c:showSerName val="0"/>
          <c:showPercent val="0"/>
          <c:showBubbleSize val="0"/>
        </c:dLbls>
        <c:gapWidth val="219"/>
        <c:overlap val="-27"/>
        <c:axId val="520546319"/>
        <c:axId val="102250223"/>
      </c:barChart>
      <c:catAx>
        <c:axId val="52054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0223"/>
        <c:crosses val="autoZero"/>
        <c:auto val="1"/>
        <c:lblAlgn val="ctr"/>
        <c:lblOffset val="100"/>
        <c:noMultiLvlLbl val="0"/>
      </c:catAx>
      <c:valAx>
        <c:axId val="102250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546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[data_bank_dashboard.xlsx]LOOKUP_MONTH!PivotTable2</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i="0">
                <a:effectLst/>
              </a:rPr>
              <a:t>Line chart net flow </a:t>
            </a:r>
            <a:r>
              <a:rPr lang="en-US" b="1" i="0" baseline="0">
                <a:effectLst/>
              </a:rPr>
              <a:t>by month</a:t>
            </a:r>
            <a:endParaRPr lang="en-US" b="1" i="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1.4792899408284023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2.1400394477317553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LOOKUP_MONTH!$B$20</c:f>
              <c:strCache>
                <c:ptCount val="1"/>
                <c:pt idx="0">
                  <c:v>Total</c:v>
                </c:pt>
              </c:strCache>
            </c:strRef>
          </c:tx>
          <c:spPr>
            <a:ln w="28575" cap="rnd">
              <a:solidFill>
                <a:schemeClr val="accent1"/>
              </a:solidFill>
              <a:round/>
            </a:ln>
            <a:effectLst/>
          </c:spPr>
          <c:marker>
            <c:symbol val="none"/>
          </c:marker>
          <c:dLbls>
            <c:dLbl>
              <c:idx val="1"/>
              <c:layout>
                <c:manualLayout>
                  <c:x val="-2.1400394477317553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DA-49EF-894C-153CBC4A3C8F}"/>
                </c:ext>
              </c:extLst>
            </c:dLbl>
            <c:dLbl>
              <c:idx val="3"/>
              <c:layout>
                <c:manualLayout>
                  <c:x val="1.4792899408284023E-3"/>
                  <c:y val="6.979075532225138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DA-49EF-894C-153CBC4A3C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LOOKUP_MONTH!$A$21:$A$25</c:f>
              <c:strCache>
                <c:ptCount val="4"/>
                <c:pt idx="0">
                  <c:v>Jan</c:v>
                </c:pt>
                <c:pt idx="1">
                  <c:v>Feb</c:v>
                </c:pt>
                <c:pt idx="2">
                  <c:v>Mar</c:v>
                </c:pt>
                <c:pt idx="3">
                  <c:v>Apr</c:v>
                </c:pt>
              </c:strCache>
            </c:strRef>
          </c:cat>
          <c:val>
            <c:numRef>
              <c:f>LOOKUP_MONTH!$B$21:$B$25</c:f>
              <c:numCache>
                <c:formatCode>#,##0</c:formatCode>
                <c:ptCount val="4"/>
                <c:pt idx="0">
                  <c:v>126091</c:v>
                </c:pt>
                <c:pt idx="1">
                  <c:v>-139799</c:v>
                </c:pt>
                <c:pt idx="2">
                  <c:v>-170884</c:v>
                </c:pt>
                <c:pt idx="3">
                  <c:v>-55780</c:v>
                </c:pt>
              </c:numCache>
            </c:numRef>
          </c:val>
          <c:smooth val="0"/>
          <c:extLst>
            <c:ext xmlns:c16="http://schemas.microsoft.com/office/drawing/2014/chart" uri="{C3380CC4-5D6E-409C-BE32-E72D297353CC}">
              <c16:uniqueId val="{00000000-DCDA-49EF-894C-153CBC4A3C8F}"/>
            </c:ext>
          </c:extLst>
        </c:ser>
        <c:dLbls>
          <c:dLblPos val="t"/>
          <c:showLegendKey val="0"/>
          <c:showVal val="1"/>
          <c:showCatName val="0"/>
          <c:showSerName val="0"/>
          <c:showPercent val="0"/>
          <c:showBubbleSize val="0"/>
        </c:dLbls>
        <c:smooth val="0"/>
        <c:axId val="957303135"/>
        <c:axId val="102380303"/>
      </c:lineChart>
      <c:catAx>
        <c:axId val="95730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80303"/>
        <c:crosses val="autoZero"/>
        <c:auto val="1"/>
        <c:lblAlgn val="ctr"/>
        <c:lblOffset val="100"/>
        <c:noMultiLvlLbl val="0"/>
      </c:catAx>
      <c:valAx>
        <c:axId val="102380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0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483220</xdr:colOff>
      <xdr:row>19</xdr:row>
      <xdr:rowOff>170659</xdr:rowOff>
    </xdr:from>
    <xdr:to>
      <xdr:col>14</xdr:col>
      <xdr:colOff>594732</xdr:colOff>
      <xdr:row>35</xdr:row>
      <xdr:rowOff>19168</xdr:rowOff>
    </xdr:to>
    <xdr:graphicFrame macro="">
      <xdr:nvGraphicFramePr>
        <xdr:cNvPr id="2" name="Chart 1">
          <a:extLst>
            <a:ext uri="{FF2B5EF4-FFF2-40B4-BE49-F238E27FC236}">
              <a16:creationId xmlns:a16="http://schemas.microsoft.com/office/drawing/2014/main" id="{4B2B4895-960E-4E4B-AE96-61FC6776E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493380</xdr:colOff>
      <xdr:row>4</xdr:row>
      <xdr:rowOff>54137</xdr:rowOff>
    </xdr:from>
    <xdr:to>
      <xdr:col>14</xdr:col>
      <xdr:colOff>604892</xdr:colOff>
      <xdr:row>19</xdr:row>
      <xdr:rowOff>90232</xdr:rowOff>
    </xdr:to>
    <xdr:graphicFrame macro="">
      <xdr:nvGraphicFramePr>
        <xdr:cNvPr id="3" name="Chart 2">
          <a:extLst>
            <a:ext uri="{FF2B5EF4-FFF2-40B4-BE49-F238E27FC236}">
              <a16:creationId xmlns:a16="http://schemas.microsoft.com/office/drawing/2014/main" id="{8E6158CD-BF0F-477F-ACAD-273C8568E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55647</xdr:rowOff>
    </xdr:from>
    <xdr:to>
      <xdr:col>6</xdr:col>
      <xdr:colOff>408878</xdr:colOff>
      <xdr:row>35</xdr:row>
      <xdr:rowOff>0</xdr:rowOff>
    </xdr:to>
    <xdr:graphicFrame macro="">
      <xdr:nvGraphicFramePr>
        <xdr:cNvPr id="4" name="Chart 3">
          <a:extLst>
            <a:ext uri="{FF2B5EF4-FFF2-40B4-BE49-F238E27FC236}">
              <a16:creationId xmlns:a16="http://schemas.microsoft.com/office/drawing/2014/main" id="{C0796A58-1C0D-4AF0-9ED3-34AFC9834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19</xdr:row>
      <xdr:rowOff>139654</xdr:rowOff>
    </xdr:from>
    <xdr:to>
      <xdr:col>14</xdr:col>
      <xdr:colOff>592666</xdr:colOff>
      <xdr:row>34</xdr:row>
      <xdr:rowOff>139654</xdr:rowOff>
    </xdr:to>
    <xdr:graphicFrame macro="">
      <xdr:nvGraphicFramePr>
        <xdr:cNvPr id="2" name="Chart 1">
          <a:extLst>
            <a:ext uri="{FF2B5EF4-FFF2-40B4-BE49-F238E27FC236}">
              <a16:creationId xmlns:a16="http://schemas.microsoft.com/office/drawing/2014/main" id="{543CF6E7-7F29-47AE-BBF8-F66A476B7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69426</xdr:rowOff>
    </xdr:from>
    <xdr:to>
      <xdr:col>7</xdr:col>
      <xdr:colOff>304800</xdr:colOff>
      <xdr:row>19</xdr:row>
      <xdr:rowOff>69426</xdr:rowOff>
    </xdr:to>
    <xdr:graphicFrame macro="">
      <xdr:nvGraphicFramePr>
        <xdr:cNvPr id="3" name="Chart 2">
          <a:extLst>
            <a:ext uri="{FF2B5EF4-FFF2-40B4-BE49-F238E27FC236}">
              <a16:creationId xmlns:a16="http://schemas.microsoft.com/office/drawing/2014/main" id="{46123402-88AB-4910-A91A-97642E713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354838</xdr:colOff>
      <xdr:row>4</xdr:row>
      <xdr:rowOff>74485</xdr:rowOff>
    </xdr:from>
    <xdr:to>
      <xdr:col>14</xdr:col>
      <xdr:colOff>592666</xdr:colOff>
      <xdr:row>19</xdr:row>
      <xdr:rowOff>74486</xdr:rowOff>
    </xdr:to>
    <xdr:graphicFrame macro="">
      <xdr:nvGraphicFramePr>
        <xdr:cNvPr id="4" name="Chart 3">
          <a:extLst>
            <a:ext uri="{FF2B5EF4-FFF2-40B4-BE49-F238E27FC236}">
              <a16:creationId xmlns:a16="http://schemas.microsoft.com/office/drawing/2014/main" id="{1ED85B85-D6C4-4254-98DB-605F7A46B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162463</xdr:colOff>
      <xdr:row>4</xdr:row>
      <xdr:rowOff>73358</xdr:rowOff>
    </xdr:from>
    <xdr:to>
      <xdr:col>14</xdr:col>
      <xdr:colOff>602225</xdr:colOff>
      <xdr:row>19</xdr:row>
      <xdr:rowOff>135448</xdr:rowOff>
    </xdr:to>
    <xdr:graphicFrame macro="">
      <xdr:nvGraphicFramePr>
        <xdr:cNvPr id="2" name="Chart 1">
          <a:extLst>
            <a:ext uri="{FF2B5EF4-FFF2-40B4-BE49-F238E27FC236}">
              <a16:creationId xmlns:a16="http://schemas.microsoft.com/office/drawing/2014/main" id="{44855FFD-3028-4E5E-8CFE-A4A0B5DBF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12291</xdr:colOff>
      <xdr:row>20</xdr:row>
      <xdr:rowOff>0</xdr:rowOff>
    </xdr:from>
    <xdr:to>
      <xdr:col>15</xdr:col>
      <xdr:colOff>12291</xdr:colOff>
      <xdr:row>35</xdr:row>
      <xdr:rowOff>62090</xdr:rowOff>
    </xdr:to>
    <xdr:graphicFrame macro="">
      <xdr:nvGraphicFramePr>
        <xdr:cNvPr id="3" name="Chart 2">
          <a:extLst>
            <a:ext uri="{FF2B5EF4-FFF2-40B4-BE49-F238E27FC236}">
              <a16:creationId xmlns:a16="http://schemas.microsoft.com/office/drawing/2014/main" id="{A5726CD5-FE3F-4CAB-8EC0-A05C7E2EA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73357</xdr:rowOff>
    </xdr:from>
    <xdr:to>
      <xdr:col>6</xdr:col>
      <xdr:colOff>98322</xdr:colOff>
      <xdr:row>19</xdr:row>
      <xdr:rowOff>135446</xdr:rowOff>
    </xdr:to>
    <xdr:graphicFrame macro="">
      <xdr:nvGraphicFramePr>
        <xdr:cNvPr id="4" name="Chart 3">
          <a:extLst>
            <a:ext uri="{FF2B5EF4-FFF2-40B4-BE49-F238E27FC236}">
              <a16:creationId xmlns:a16="http://schemas.microsoft.com/office/drawing/2014/main" id="{06D636D4-7F14-4CAB-864D-BE0D6BD0E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76274</xdr:colOff>
      <xdr:row>2</xdr:row>
      <xdr:rowOff>45389</xdr:rowOff>
    </xdr:from>
    <xdr:to>
      <xdr:col>10</xdr:col>
      <xdr:colOff>148442</xdr:colOff>
      <xdr:row>4</xdr:row>
      <xdr:rowOff>19793</xdr:rowOff>
    </xdr:to>
    <mc:AlternateContent xmlns:mc="http://schemas.openxmlformats.org/markup-compatibility/2006">
      <mc:Choice xmlns:a14="http://schemas.microsoft.com/office/drawing/2010/main" Requires="a14">
        <xdr:graphicFrame macro="">
          <xdr:nvGraphicFramePr>
            <xdr:cNvPr id="3" name="txn_type">
              <a:extLst>
                <a:ext uri="{FF2B5EF4-FFF2-40B4-BE49-F238E27FC236}">
                  <a16:creationId xmlns:a16="http://schemas.microsoft.com/office/drawing/2014/main" id="{A0FD5107-35A7-7CAA-6682-BFC44B08F37F}"/>
                </a:ext>
              </a:extLst>
            </xdr:cNvPr>
            <xdr:cNvGraphicFramePr/>
          </xdr:nvGraphicFramePr>
          <xdr:xfrm>
            <a:off x="0" y="0"/>
            <a:ext cx="0" cy="0"/>
          </xdr:xfrm>
          <a:graphic>
            <a:graphicData uri="http://schemas.microsoft.com/office/drawing/2010/slicer">
              <sle:slicer xmlns:sle="http://schemas.microsoft.com/office/drawing/2010/slicer" name="txn_type"/>
            </a:graphicData>
          </a:graphic>
        </xdr:graphicFrame>
      </mc:Choice>
      <mc:Fallback>
        <xdr:sp macro="" textlink="">
          <xdr:nvSpPr>
            <xdr:cNvPr id="0" name=""/>
            <xdr:cNvSpPr>
              <a:spLocks noTextEdit="1"/>
            </xdr:cNvSpPr>
          </xdr:nvSpPr>
          <xdr:spPr>
            <a:xfrm>
              <a:off x="7732133" y="556377"/>
              <a:ext cx="2528497" cy="637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214738</xdr:colOff>
      <xdr:row>2</xdr:row>
      <xdr:rowOff>58027</xdr:rowOff>
    </xdr:from>
    <xdr:to>
      <xdr:col>13</xdr:col>
      <xdr:colOff>547079</xdr:colOff>
      <xdr:row>4</xdr:row>
      <xdr:rowOff>0</xdr:rowOff>
    </xdr:to>
    <mc:AlternateContent xmlns:mc="http://schemas.openxmlformats.org/markup-compatibility/2006">
      <mc:Choice xmlns:a14="http://schemas.microsoft.com/office/drawing/2010/main" Requires="a14">
        <xdr:graphicFrame macro="">
          <xdr:nvGraphicFramePr>
            <xdr:cNvPr id="4" name="balance_status">
              <a:extLst>
                <a:ext uri="{FF2B5EF4-FFF2-40B4-BE49-F238E27FC236}">
                  <a16:creationId xmlns:a16="http://schemas.microsoft.com/office/drawing/2014/main" id="{60338C83-78CE-BEE0-F6C8-551B6FBA1AAB}"/>
                </a:ext>
              </a:extLst>
            </xdr:cNvPr>
            <xdr:cNvGraphicFramePr/>
          </xdr:nvGraphicFramePr>
          <xdr:xfrm>
            <a:off x="0" y="0"/>
            <a:ext cx="0" cy="0"/>
          </xdr:xfrm>
          <a:graphic>
            <a:graphicData uri="http://schemas.microsoft.com/office/drawing/2010/slicer">
              <sle:slicer xmlns:sle="http://schemas.microsoft.com/office/drawing/2010/slicer" name="balance_status"/>
            </a:graphicData>
          </a:graphic>
        </xdr:graphicFrame>
      </mc:Choice>
      <mc:Fallback>
        <xdr:sp macro="" textlink="">
          <xdr:nvSpPr>
            <xdr:cNvPr id="0" name=""/>
            <xdr:cNvSpPr>
              <a:spLocks noTextEdit="1"/>
            </xdr:cNvSpPr>
          </xdr:nvSpPr>
          <xdr:spPr>
            <a:xfrm>
              <a:off x="10326926" y="569015"/>
              <a:ext cx="2161141" cy="605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93902</xdr:colOff>
      <xdr:row>5</xdr:row>
      <xdr:rowOff>62125</xdr:rowOff>
    </xdr:from>
    <xdr:to>
      <xdr:col>3</xdr:col>
      <xdr:colOff>1138053</xdr:colOff>
      <xdr:row>19</xdr:row>
      <xdr:rowOff>87525</xdr:rowOff>
    </xdr:to>
    <xdr:graphicFrame macro="">
      <xdr:nvGraphicFramePr>
        <xdr:cNvPr id="7" name="Chart 6">
          <a:extLst>
            <a:ext uri="{FF2B5EF4-FFF2-40B4-BE49-F238E27FC236}">
              <a16:creationId xmlns:a16="http://schemas.microsoft.com/office/drawing/2014/main" id="{FA810FE1-C02E-495C-869B-45B7552F4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639620</xdr:colOff>
      <xdr:row>5</xdr:row>
      <xdr:rowOff>68942</xdr:rowOff>
    </xdr:from>
    <xdr:to>
      <xdr:col>14</xdr:col>
      <xdr:colOff>19792</xdr:colOff>
      <xdr:row>19</xdr:row>
      <xdr:rowOff>89064</xdr:rowOff>
    </xdr:to>
    <xdr:graphicFrame macro="">
      <xdr:nvGraphicFramePr>
        <xdr:cNvPr id="8" name="Chart 7">
          <a:extLst>
            <a:ext uri="{FF2B5EF4-FFF2-40B4-BE49-F238E27FC236}">
              <a16:creationId xmlns:a16="http://schemas.microsoft.com/office/drawing/2014/main" id="{F3CAD1E8-4E5A-47F6-A555-E51315C5C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27707</xdr:colOff>
      <xdr:row>5</xdr:row>
      <xdr:rowOff>70592</xdr:rowOff>
    </xdr:from>
    <xdr:to>
      <xdr:col>7</xdr:col>
      <xdr:colOff>573973</xdr:colOff>
      <xdr:row>19</xdr:row>
      <xdr:rowOff>95992</xdr:rowOff>
    </xdr:to>
    <xdr:graphicFrame macro="">
      <xdr:nvGraphicFramePr>
        <xdr:cNvPr id="9" name="Chart 8">
          <a:extLst>
            <a:ext uri="{FF2B5EF4-FFF2-40B4-BE49-F238E27FC236}">
              <a16:creationId xmlns:a16="http://schemas.microsoft.com/office/drawing/2014/main" id="{E8D25A06-2769-4DEA-97C5-4FA536B5B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6</xdr:row>
      <xdr:rowOff>45720</xdr:rowOff>
    </xdr:from>
    <xdr:to>
      <xdr:col>10</xdr:col>
      <xdr:colOff>320040</xdr:colOff>
      <xdr:row>21</xdr:row>
      <xdr:rowOff>45720</xdr:rowOff>
    </xdr:to>
    <xdr:graphicFrame macro="">
      <xdr:nvGraphicFramePr>
        <xdr:cNvPr id="2" name="Chart 1">
          <a:extLst>
            <a:ext uri="{FF2B5EF4-FFF2-40B4-BE49-F238E27FC236}">
              <a16:creationId xmlns:a16="http://schemas.microsoft.com/office/drawing/2014/main" id="{1E699DB7-269F-8BF0-32C8-8F2D0CCDF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160020</xdr:colOff>
      <xdr:row>7</xdr:row>
      <xdr:rowOff>30480</xdr:rowOff>
    </xdr:from>
    <xdr:to>
      <xdr:col>8</xdr:col>
      <xdr:colOff>723900</xdr:colOff>
      <xdr:row>22</xdr:row>
      <xdr:rowOff>30480</xdr:rowOff>
    </xdr:to>
    <xdr:graphicFrame macro="">
      <xdr:nvGraphicFramePr>
        <xdr:cNvPr id="3" name="Chart 2">
          <a:extLst>
            <a:ext uri="{FF2B5EF4-FFF2-40B4-BE49-F238E27FC236}">
              <a16:creationId xmlns:a16="http://schemas.microsoft.com/office/drawing/2014/main" id="{9081E2A7-E9C6-A1D2-8112-376A0BD50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25</xdr:row>
      <xdr:rowOff>45720</xdr:rowOff>
    </xdr:from>
    <xdr:to>
      <xdr:col>5</xdr:col>
      <xdr:colOff>883920</xdr:colOff>
      <xdr:row>40</xdr:row>
      <xdr:rowOff>45720</xdr:rowOff>
    </xdr:to>
    <xdr:graphicFrame macro="">
      <xdr:nvGraphicFramePr>
        <xdr:cNvPr id="4" name="Chart 3">
          <a:extLst>
            <a:ext uri="{FF2B5EF4-FFF2-40B4-BE49-F238E27FC236}">
              <a16:creationId xmlns:a16="http://schemas.microsoft.com/office/drawing/2014/main" id="{CB9891B9-3599-0E3C-F6EF-30184144E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GDD" refreshedDate="46271.802126041664" createdVersion="8" refreshedVersion="8" minRefreshableVersion="3" recordCount="5868" xr:uid="{A2AA32B7-9662-4103-9B67-6DE1511E72F9}">
  <cacheSource type="worksheet">
    <worksheetSource name="tbl_txn"/>
  </cacheSource>
  <cacheFields count="10">
    <cacheField name="customer_id"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txn_date" numFmtId="14">
      <sharedItems containsSemiMixedTypes="0" containsNonDate="0" containsDate="1" containsString="0" minDate="2020-01-01T00:00:00" maxDate="2020-04-29T00:00:00"/>
    </cacheField>
    <cacheField name="txn_type" numFmtId="0">
      <sharedItems count="3">
        <s v="deposit"/>
        <s v="purchase"/>
        <s v="withdrawal"/>
      </sharedItems>
    </cacheField>
    <cacheField name="txn_amount" numFmtId="0">
      <sharedItems containsSemiMixedTypes="0" containsString="0" containsNumber="1" containsInteger="1" minValue="0" maxValue="1000"/>
    </cacheField>
    <cacheField name="running_balance" numFmtId="0">
      <sharedItems containsSemiMixedTypes="0" containsString="0" containsNumber="1" containsInteger="1" minValue="-7953" maxValue="5338"/>
    </cacheField>
    <cacheField name="month" numFmtId="14">
      <sharedItems containsSemiMixedTypes="0" containsNonDate="0" containsDate="1" containsString="0" minDate="2020-01-01T00:00:00" maxDate="2020-04-02T00:00:00" count="4">
        <d v="2020-01-01T00:00:00"/>
        <d v="2020-03-01T00:00:00"/>
        <d v="2020-02-01T00:00:00"/>
        <d v="2020-04-01T00:00:00"/>
      </sharedItems>
      <fieldGroup par="9"/>
    </cacheField>
    <cacheField name="signed_amount" numFmtId="0">
      <sharedItems containsSemiMixedTypes="0" containsString="0" containsNumber="1" containsInteger="1" minValue="-999" maxValue="1000"/>
    </cacheField>
    <cacheField name="balance_status" numFmtId="0">
      <sharedItems count="2">
        <s v="Non-negative"/>
        <s v="Negative"/>
      </sharedItems>
    </cacheField>
    <cacheField name="Days (month)" numFmtId="0" databaseField="0">
      <fieldGroup base="5">
        <rangePr groupBy="days" startDate="2020-01-01T00:00:00" endDate="2020-04-02T00:00:00"/>
        <groupItems count="368">
          <s v="&lt;1/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2/2020"/>
        </groupItems>
      </fieldGroup>
    </cacheField>
    <cacheField name="Months (month)" numFmtId="0" databaseField="0">
      <fieldGroup base="5">
        <rangePr groupBy="months" startDate="2020-01-01T00:00:00" endDate="2020-04-02T00:00:00"/>
        <groupItems count="14">
          <s v="&lt;1/1/2020"/>
          <s v="Jan"/>
          <s v="Feb"/>
          <s v="Mar"/>
          <s v="Apr"/>
          <s v="May"/>
          <s v="Jun"/>
          <s v="Jul"/>
          <s v="Aug"/>
          <s v="Sep"/>
          <s v="Oct"/>
          <s v="Nov"/>
          <s v="Dec"/>
          <s v="&gt;4/2/2020"/>
        </groupItems>
      </fieldGroup>
    </cacheField>
  </cacheFields>
  <extLst>
    <ext xmlns:x14="http://schemas.microsoft.com/office/spreadsheetml/2009/9/main" uri="{725AE2AE-9491-48be-B2B4-4EB974FC3084}">
      <x14:pivotCacheDefinition pivotCacheId="1420231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68">
  <r>
    <x v="0"/>
    <d v="2020-01-02T00:00:00"/>
    <x v="0"/>
    <n v="312"/>
    <n v="312"/>
    <x v="0"/>
    <n v="312"/>
    <x v="0"/>
  </r>
  <r>
    <x v="0"/>
    <d v="2020-03-05T00:00:00"/>
    <x v="1"/>
    <n v="612"/>
    <n v="-300"/>
    <x v="1"/>
    <n v="-612"/>
    <x v="1"/>
  </r>
  <r>
    <x v="0"/>
    <d v="2020-03-17T00:00:00"/>
    <x v="0"/>
    <n v="324"/>
    <n v="24"/>
    <x v="1"/>
    <n v="324"/>
    <x v="0"/>
  </r>
  <r>
    <x v="0"/>
    <d v="2020-03-19T00:00:00"/>
    <x v="1"/>
    <n v="664"/>
    <n v="-640"/>
    <x v="1"/>
    <n v="-664"/>
    <x v="1"/>
  </r>
  <r>
    <x v="1"/>
    <d v="2020-01-03T00:00:00"/>
    <x v="0"/>
    <n v="549"/>
    <n v="549"/>
    <x v="0"/>
    <n v="549"/>
    <x v="0"/>
  </r>
  <r>
    <x v="1"/>
    <d v="2020-03-24T00:00:00"/>
    <x v="0"/>
    <n v="61"/>
    <n v="610"/>
    <x v="1"/>
    <n v="61"/>
    <x v="0"/>
  </r>
  <r>
    <x v="2"/>
    <d v="2020-01-27T00:00:00"/>
    <x v="0"/>
    <n v="144"/>
    <n v="144"/>
    <x v="0"/>
    <n v="144"/>
    <x v="0"/>
  </r>
  <r>
    <x v="2"/>
    <d v="2020-02-22T00:00:00"/>
    <x v="1"/>
    <n v="965"/>
    <n v="-821"/>
    <x v="2"/>
    <n v="-965"/>
    <x v="1"/>
  </r>
  <r>
    <x v="2"/>
    <d v="2020-03-05T00:00:00"/>
    <x v="2"/>
    <n v="213"/>
    <n v="-1034"/>
    <x v="1"/>
    <n v="-213"/>
    <x v="1"/>
  </r>
  <r>
    <x v="2"/>
    <d v="2020-03-19T00:00:00"/>
    <x v="2"/>
    <n v="188"/>
    <n v="-1222"/>
    <x v="1"/>
    <n v="-188"/>
    <x v="1"/>
  </r>
  <r>
    <x v="2"/>
    <d v="2020-04-12T00:00:00"/>
    <x v="0"/>
    <n v="493"/>
    <n v="-729"/>
    <x v="3"/>
    <n v="493"/>
    <x v="1"/>
  </r>
  <r>
    <x v="3"/>
    <d v="2020-01-07T00:00:00"/>
    <x v="0"/>
    <n v="458"/>
    <n v="458"/>
    <x v="0"/>
    <n v="458"/>
    <x v="0"/>
  </r>
  <r>
    <x v="3"/>
    <d v="2020-01-21T00:00:00"/>
    <x v="0"/>
    <n v="390"/>
    <n v="848"/>
    <x v="0"/>
    <n v="390"/>
    <x v="0"/>
  </r>
  <r>
    <x v="3"/>
    <d v="2020-03-25T00:00:00"/>
    <x v="1"/>
    <n v="193"/>
    <n v="655"/>
    <x v="1"/>
    <n v="-193"/>
    <x v="0"/>
  </r>
  <r>
    <x v="4"/>
    <d v="2020-01-15T00:00:00"/>
    <x v="0"/>
    <n v="974"/>
    <n v="974"/>
    <x v="0"/>
    <n v="974"/>
    <x v="0"/>
  </r>
  <r>
    <x v="4"/>
    <d v="2020-01-25T00:00:00"/>
    <x v="0"/>
    <n v="806"/>
    <n v="1780"/>
    <x v="0"/>
    <n v="806"/>
    <x v="0"/>
  </r>
  <r>
    <x v="4"/>
    <d v="2020-01-31T00:00:00"/>
    <x v="2"/>
    <n v="826"/>
    <n v="954"/>
    <x v="0"/>
    <n v="-826"/>
    <x v="0"/>
  </r>
  <r>
    <x v="4"/>
    <d v="2020-03-02T00:00:00"/>
    <x v="1"/>
    <n v="886"/>
    <n v="68"/>
    <x v="1"/>
    <n v="-886"/>
    <x v="0"/>
  </r>
  <r>
    <x v="4"/>
    <d v="2020-03-19T00:00:00"/>
    <x v="0"/>
    <n v="718"/>
    <n v="786"/>
    <x v="1"/>
    <n v="718"/>
    <x v="0"/>
  </r>
  <r>
    <x v="4"/>
    <d v="2020-03-26T00:00:00"/>
    <x v="2"/>
    <n v="786"/>
    <n v="0"/>
    <x v="1"/>
    <n v="-786"/>
    <x v="0"/>
  </r>
  <r>
    <x v="4"/>
    <d v="2020-03-27T00:00:00"/>
    <x v="2"/>
    <n v="700"/>
    <n v="-700"/>
    <x v="1"/>
    <n v="-700"/>
    <x v="1"/>
  </r>
  <r>
    <x v="4"/>
    <d v="2020-03-27T00:00:00"/>
    <x v="0"/>
    <n v="412"/>
    <n v="-288"/>
    <x v="1"/>
    <n v="412"/>
    <x v="1"/>
  </r>
  <r>
    <x v="4"/>
    <d v="2020-03-29T00:00:00"/>
    <x v="1"/>
    <n v="852"/>
    <n v="-1140"/>
    <x v="1"/>
    <n v="-852"/>
    <x v="1"/>
  </r>
  <r>
    <x v="4"/>
    <d v="2020-03-31T00:00:00"/>
    <x v="1"/>
    <n v="783"/>
    <n v="-1923"/>
    <x v="1"/>
    <n v="-783"/>
    <x v="1"/>
  </r>
  <r>
    <x v="4"/>
    <d v="2020-04-02T00:00:00"/>
    <x v="2"/>
    <n v="490"/>
    <n v="-2413"/>
    <x v="3"/>
    <n v="-490"/>
    <x v="1"/>
  </r>
  <r>
    <x v="5"/>
    <d v="2020-01-11T00:00:00"/>
    <x v="0"/>
    <n v="831"/>
    <n v="831"/>
    <x v="0"/>
    <n v="831"/>
    <x v="0"/>
  </r>
  <r>
    <x v="5"/>
    <d v="2020-01-14T00:00:00"/>
    <x v="1"/>
    <n v="11"/>
    <n v="820"/>
    <x v="0"/>
    <n v="-11"/>
    <x v="0"/>
  </r>
  <r>
    <x v="5"/>
    <d v="2020-01-14T00:00:00"/>
    <x v="1"/>
    <n v="40"/>
    <n v="780"/>
    <x v="0"/>
    <n v="-40"/>
    <x v="0"/>
  </r>
  <r>
    <x v="5"/>
    <d v="2020-01-18T00:00:00"/>
    <x v="1"/>
    <n v="66"/>
    <n v="714"/>
    <x v="0"/>
    <n v="-66"/>
    <x v="0"/>
  </r>
  <r>
    <x v="5"/>
    <d v="2020-01-25T00:00:00"/>
    <x v="0"/>
    <n v="796"/>
    <n v="1510"/>
    <x v="0"/>
    <n v="796"/>
    <x v="0"/>
  </r>
  <r>
    <x v="5"/>
    <d v="2020-01-28T00:00:00"/>
    <x v="1"/>
    <n v="777"/>
    <n v="733"/>
    <x v="0"/>
    <n v="-777"/>
    <x v="0"/>
  </r>
  <r>
    <x v="5"/>
    <d v="2020-02-10T00:00:00"/>
    <x v="1"/>
    <n v="962"/>
    <n v="-229"/>
    <x v="2"/>
    <n v="-962"/>
    <x v="1"/>
  </r>
  <r>
    <x v="5"/>
    <d v="2020-02-24T00:00:00"/>
    <x v="0"/>
    <n v="240"/>
    <n v="11"/>
    <x v="2"/>
    <n v="240"/>
    <x v="0"/>
  </r>
  <r>
    <x v="5"/>
    <d v="2020-02-27T00:00:00"/>
    <x v="0"/>
    <n v="106"/>
    <n v="117"/>
    <x v="2"/>
    <n v="106"/>
    <x v="0"/>
  </r>
  <r>
    <x v="5"/>
    <d v="2020-02-27T00:00:00"/>
    <x v="2"/>
    <n v="169"/>
    <n v="-52"/>
    <x v="2"/>
    <n v="-169"/>
    <x v="1"/>
  </r>
  <r>
    <x v="5"/>
    <d v="2020-03-01T00:00:00"/>
    <x v="2"/>
    <n v="500"/>
    <n v="-552"/>
    <x v="1"/>
    <n v="-500"/>
    <x v="1"/>
  </r>
  <r>
    <x v="5"/>
    <d v="2020-03-03T00:00:00"/>
    <x v="0"/>
    <n v="582"/>
    <n v="30"/>
    <x v="1"/>
    <n v="582"/>
    <x v="0"/>
  </r>
  <r>
    <x v="5"/>
    <d v="2020-03-04T00:00:00"/>
    <x v="0"/>
    <n v="250"/>
    <n v="280"/>
    <x v="1"/>
    <n v="250"/>
    <x v="0"/>
  </r>
  <r>
    <x v="5"/>
    <d v="2020-03-10T00:00:00"/>
    <x v="0"/>
    <n v="619"/>
    <n v="899"/>
    <x v="1"/>
    <n v="619"/>
    <x v="0"/>
  </r>
  <r>
    <x v="5"/>
    <d v="2020-03-15T00:00:00"/>
    <x v="0"/>
    <n v="763"/>
    <n v="1662"/>
    <x v="1"/>
    <n v="763"/>
    <x v="0"/>
  </r>
  <r>
    <x v="5"/>
    <d v="2020-03-16T00:00:00"/>
    <x v="0"/>
    <n v="535"/>
    <n v="2197"/>
    <x v="1"/>
    <n v="535"/>
    <x v="0"/>
  </r>
  <r>
    <x v="5"/>
    <d v="2020-03-23T00:00:00"/>
    <x v="1"/>
    <n v="968"/>
    <n v="1229"/>
    <x v="1"/>
    <n v="-968"/>
    <x v="0"/>
  </r>
  <r>
    <x v="5"/>
    <d v="2020-03-26T00:00:00"/>
    <x v="2"/>
    <n v="484"/>
    <n v="745"/>
    <x v="1"/>
    <n v="-484"/>
    <x v="0"/>
  </r>
  <r>
    <x v="5"/>
    <d v="2020-03-31T00:00:00"/>
    <x v="2"/>
    <n v="405"/>
    <n v="340"/>
    <x v="1"/>
    <n v="-405"/>
    <x v="0"/>
  </r>
  <r>
    <x v="6"/>
    <d v="2020-01-20T00:00:00"/>
    <x v="0"/>
    <n v="964"/>
    <n v="964"/>
    <x v="0"/>
    <n v="964"/>
    <x v="0"/>
  </r>
  <r>
    <x v="6"/>
    <d v="2020-02-03T00:00:00"/>
    <x v="1"/>
    <n v="77"/>
    <n v="887"/>
    <x v="2"/>
    <n v="-77"/>
    <x v="0"/>
  </r>
  <r>
    <x v="6"/>
    <d v="2020-02-06T00:00:00"/>
    <x v="0"/>
    <n v="688"/>
    <n v="1575"/>
    <x v="2"/>
    <n v="688"/>
    <x v="0"/>
  </r>
  <r>
    <x v="6"/>
    <d v="2020-02-11T00:00:00"/>
    <x v="0"/>
    <n v="93"/>
    <n v="1668"/>
    <x v="2"/>
    <n v="93"/>
    <x v="0"/>
  </r>
  <r>
    <x v="6"/>
    <d v="2020-02-22T00:00:00"/>
    <x v="0"/>
    <n v="617"/>
    <n v="2285"/>
    <x v="2"/>
    <n v="617"/>
    <x v="0"/>
  </r>
  <r>
    <x v="6"/>
    <d v="2020-02-29T00:00:00"/>
    <x v="0"/>
    <n v="888"/>
    <n v="3173"/>
    <x v="2"/>
    <n v="888"/>
    <x v="0"/>
  </r>
  <r>
    <x v="6"/>
    <d v="2020-03-03T00:00:00"/>
    <x v="1"/>
    <n v="328"/>
    <n v="2845"/>
    <x v="1"/>
    <n v="-328"/>
    <x v="0"/>
  </r>
  <r>
    <x v="6"/>
    <d v="2020-03-04T00:00:00"/>
    <x v="2"/>
    <n v="29"/>
    <n v="2816"/>
    <x v="1"/>
    <n v="-29"/>
    <x v="0"/>
  </r>
  <r>
    <x v="6"/>
    <d v="2020-03-10T00:00:00"/>
    <x v="0"/>
    <n v="723"/>
    <n v="3539"/>
    <x v="1"/>
    <n v="723"/>
    <x v="0"/>
  </r>
  <r>
    <x v="6"/>
    <d v="2020-03-16T00:00:00"/>
    <x v="1"/>
    <n v="962"/>
    <n v="2577"/>
    <x v="1"/>
    <n v="-962"/>
    <x v="0"/>
  </r>
  <r>
    <x v="6"/>
    <d v="2020-03-22T00:00:00"/>
    <x v="2"/>
    <n v="44"/>
    <n v="2533"/>
    <x v="1"/>
    <n v="-44"/>
    <x v="0"/>
  </r>
  <r>
    <x v="6"/>
    <d v="2020-04-04T00:00:00"/>
    <x v="2"/>
    <n v="525"/>
    <n v="2008"/>
    <x v="3"/>
    <n v="-525"/>
    <x v="0"/>
  </r>
  <r>
    <x v="6"/>
    <d v="2020-04-17T00:00:00"/>
    <x v="0"/>
    <n v="615"/>
    <n v="2623"/>
    <x v="3"/>
    <n v="615"/>
    <x v="0"/>
  </r>
  <r>
    <x v="7"/>
    <d v="2020-01-15T00:00:00"/>
    <x v="0"/>
    <n v="207"/>
    <n v="207"/>
    <x v="0"/>
    <n v="207"/>
    <x v="0"/>
  </r>
  <r>
    <x v="7"/>
    <d v="2020-01-28T00:00:00"/>
    <x v="1"/>
    <n v="566"/>
    <n v="-359"/>
    <x v="0"/>
    <n v="-566"/>
    <x v="1"/>
  </r>
  <r>
    <x v="7"/>
    <d v="2020-01-30T00:00:00"/>
    <x v="0"/>
    <n v="946"/>
    <n v="587"/>
    <x v="0"/>
    <n v="946"/>
    <x v="0"/>
  </r>
  <r>
    <x v="7"/>
    <d v="2020-02-06T00:00:00"/>
    <x v="2"/>
    <n v="180"/>
    <n v="407"/>
    <x v="2"/>
    <n v="-180"/>
    <x v="0"/>
  </r>
  <r>
    <x v="7"/>
    <d v="2020-03-05T00:00:00"/>
    <x v="0"/>
    <n v="956"/>
    <n v="1363"/>
    <x v="1"/>
    <n v="956"/>
    <x v="0"/>
  </r>
  <r>
    <x v="7"/>
    <d v="2020-03-27T00:00:00"/>
    <x v="2"/>
    <n v="775"/>
    <n v="588"/>
    <x v="1"/>
    <n v="-775"/>
    <x v="0"/>
  </r>
  <r>
    <x v="7"/>
    <d v="2020-03-28T00:00:00"/>
    <x v="2"/>
    <n v="178"/>
    <n v="410"/>
    <x v="1"/>
    <n v="-178"/>
    <x v="0"/>
  </r>
  <r>
    <x v="7"/>
    <d v="2020-03-30T00:00:00"/>
    <x v="1"/>
    <n v="467"/>
    <n v="-57"/>
    <x v="1"/>
    <n v="-467"/>
    <x v="1"/>
  </r>
  <r>
    <x v="7"/>
    <d v="2020-04-11T00:00:00"/>
    <x v="1"/>
    <n v="323"/>
    <n v="-380"/>
    <x v="3"/>
    <n v="-323"/>
    <x v="1"/>
  </r>
  <r>
    <x v="7"/>
    <d v="2020-04-13T00:00:00"/>
    <x v="1"/>
    <n v="649"/>
    <n v="-1029"/>
    <x v="3"/>
    <n v="-649"/>
    <x v="1"/>
  </r>
  <r>
    <x v="8"/>
    <d v="2020-01-21T00:00:00"/>
    <x v="0"/>
    <n v="669"/>
    <n v="669"/>
    <x v="0"/>
    <n v="669"/>
    <x v="0"/>
  </r>
  <r>
    <x v="8"/>
    <d v="2020-01-25T00:00:00"/>
    <x v="0"/>
    <n v="180"/>
    <n v="849"/>
    <x v="0"/>
    <n v="180"/>
    <x v="0"/>
  </r>
  <r>
    <x v="8"/>
    <d v="2020-02-15T00:00:00"/>
    <x v="2"/>
    <n v="195"/>
    <n v="654"/>
    <x v="2"/>
    <n v="-195"/>
    <x v="0"/>
  </r>
  <r>
    <x v="8"/>
    <d v="2020-03-04T00:00:00"/>
    <x v="0"/>
    <n v="381"/>
    <n v="1035"/>
    <x v="1"/>
    <n v="381"/>
    <x v="0"/>
  </r>
  <r>
    <x v="8"/>
    <d v="2020-03-05T00:00:00"/>
    <x v="0"/>
    <n v="982"/>
    <n v="2017"/>
    <x v="1"/>
    <n v="982"/>
    <x v="0"/>
  </r>
  <r>
    <x v="8"/>
    <d v="2020-03-10T00:00:00"/>
    <x v="0"/>
    <n v="13"/>
    <n v="2030"/>
    <x v="1"/>
    <n v="13"/>
    <x v="0"/>
  </r>
  <r>
    <x v="8"/>
    <d v="2020-03-16T00:00:00"/>
    <x v="2"/>
    <n v="446"/>
    <n v="1584"/>
    <x v="1"/>
    <n v="-446"/>
    <x v="0"/>
  </r>
  <r>
    <x v="8"/>
    <d v="2020-04-09T00:00:00"/>
    <x v="2"/>
    <n v="976"/>
    <n v="608"/>
    <x v="3"/>
    <n v="-976"/>
    <x v="0"/>
  </r>
  <r>
    <x v="8"/>
    <d v="2020-04-10T00:00:00"/>
    <x v="2"/>
    <n v="699"/>
    <n v="-91"/>
    <x v="3"/>
    <n v="-699"/>
    <x v="1"/>
  </r>
  <r>
    <x v="8"/>
    <d v="2020-04-16T00:00:00"/>
    <x v="0"/>
    <n v="953"/>
    <n v="862"/>
    <x v="3"/>
    <n v="953"/>
    <x v="0"/>
  </r>
  <r>
    <x v="9"/>
    <d v="2020-01-13T00:00:00"/>
    <x v="0"/>
    <n v="556"/>
    <n v="556"/>
    <x v="0"/>
    <n v="556"/>
    <x v="0"/>
  </r>
  <r>
    <x v="9"/>
    <d v="2020-01-15T00:00:00"/>
    <x v="1"/>
    <n v="775"/>
    <n v="-219"/>
    <x v="0"/>
    <n v="-775"/>
    <x v="1"/>
  </r>
  <r>
    <x v="9"/>
    <d v="2020-01-18T00:00:00"/>
    <x v="2"/>
    <n v="738"/>
    <n v="-957"/>
    <x v="0"/>
    <n v="-738"/>
    <x v="1"/>
  </r>
  <r>
    <x v="9"/>
    <d v="2020-01-18T00:00:00"/>
    <x v="1"/>
    <n v="437"/>
    <n v="-1394"/>
    <x v="0"/>
    <n v="-437"/>
    <x v="1"/>
  </r>
  <r>
    <x v="9"/>
    <d v="2020-01-24T00:00:00"/>
    <x v="2"/>
    <n v="746"/>
    <n v="-2140"/>
    <x v="0"/>
    <n v="-746"/>
    <x v="1"/>
  </r>
  <r>
    <x v="9"/>
    <d v="2020-01-26T00:00:00"/>
    <x v="0"/>
    <n v="518"/>
    <n v="-1622"/>
    <x v="0"/>
    <n v="518"/>
    <x v="1"/>
  </r>
  <r>
    <x v="9"/>
    <d v="2020-02-04T00:00:00"/>
    <x v="2"/>
    <n v="830"/>
    <n v="-2452"/>
    <x v="2"/>
    <n v="-830"/>
    <x v="1"/>
  </r>
  <r>
    <x v="9"/>
    <d v="2020-02-05T00:00:00"/>
    <x v="0"/>
    <n v="925"/>
    <n v="-1527"/>
    <x v="2"/>
    <n v="925"/>
    <x v="1"/>
  </r>
  <r>
    <x v="9"/>
    <d v="2020-02-08T00:00:00"/>
    <x v="1"/>
    <n v="214"/>
    <n v="-1741"/>
    <x v="2"/>
    <n v="-214"/>
    <x v="1"/>
  </r>
  <r>
    <x v="9"/>
    <d v="2020-02-13T00:00:00"/>
    <x v="0"/>
    <n v="399"/>
    <n v="-1342"/>
    <x v="2"/>
    <n v="399"/>
    <x v="1"/>
  </r>
  <r>
    <x v="9"/>
    <d v="2020-03-03T00:00:00"/>
    <x v="1"/>
    <n v="983"/>
    <n v="-2325"/>
    <x v="1"/>
    <n v="-983"/>
    <x v="1"/>
  </r>
  <r>
    <x v="9"/>
    <d v="2020-03-04T00:00:00"/>
    <x v="2"/>
    <n v="282"/>
    <n v="-2607"/>
    <x v="1"/>
    <n v="-282"/>
    <x v="1"/>
  </r>
  <r>
    <x v="9"/>
    <d v="2020-03-26T00:00:00"/>
    <x v="1"/>
    <n v="146"/>
    <n v="-2753"/>
    <x v="1"/>
    <n v="-146"/>
    <x v="1"/>
  </r>
  <r>
    <x v="9"/>
    <d v="2020-04-04T00:00:00"/>
    <x v="2"/>
    <n v="328"/>
    <n v="-3081"/>
    <x v="3"/>
    <n v="-328"/>
    <x v="1"/>
  </r>
  <r>
    <x v="9"/>
    <d v="2020-04-06T00:00:00"/>
    <x v="0"/>
    <n v="307"/>
    <n v="-2774"/>
    <x v="3"/>
    <n v="307"/>
    <x v="1"/>
  </r>
  <r>
    <x v="9"/>
    <d v="2020-04-09T00:00:00"/>
    <x v="2"/>
    <n v="492"/>
    <n v="-3266"/>
    <x v="3"/>
    <n v="-492"/>
    <x v="1"/>
  </r>
  <r>
    <x v="9"/>
    <d v="2020-04-09T00:00:00"/>
    <x v="1"/>
    <n v="850"/>
    <n v="-4116"/>
    <x v="3"/>
    <n v="-850"/>
    <x v="1"/>
  </r>
  <r>
    <x v="9"/>
    <d v="2020-04-10T00:00:00"/>
    <x v="1"/>
    <n v="974"/>
    <n v="-5090"/>
    <x v="3"/>
    <n v="-974"/>
    <x v="1"/>
  </r>
  <r>
    <x v="10"/>
    <d v="2020-01-19T00:00:00"/>
    <x v="0"/>
    <n v="60"/>
    <n v="60"/>
    <x v="0"/>
    <n v="60"/>
    <x v="0"/>
  </r>
  <r>
    <x v="10"/>
    <d v="2020-01-20T00:00:00"/>
    <x v="1"/>
    <n v="409"/>
    <n v="-349"/>
    <x v="0"/>
    <n v="-409"/>
    <x v="1"/>
  </r>
  <r>
    <x v="10"/>
    <d v="2020-01-20T00:00:00"/>
    <x v="1"/>
    <n v="947"/>
    <n v="-1296"/>
    <x v="0"/>
    <n v="-947"/>
    <x v="1"/>
  </r>
  <r>
    <x v="10"/>
    <d v="2020-01-20T00:00:00"/>
    <x v="1"/>
    <n v="448"/>
    <n v="-1744"/>
    <x v="0"/>
    <n v="-448"/>
    <x v="1"/>
  </r>
  <r>
    <x v="10"/>
    <d v="2020-02-04T00:00:00"/>
    <x v="2"/>
    <n v="350"/>
    <n v="-2094"/>
    <x v="2"/>
    <n v="-350"/>
    <x v="1"/>
  </r>
  <r>
    <x v="10"/>
    <d v="2020-02-25T00:00:00"/>
    <x v="2"/>
    <n v="375"/>
    <n v="-2469"/>
    <x v="2"/>
    <n v="-375"/>
    <x v="1"/>
  </r>
  <r>
    <x v="10"/>
    <d v="2020-03-07T00:00:00"/>
    <x v="0"/>
    <n v="320"/>
    <n v="-2149"/>
    <x v="1"/>
    <n v="320"/>
    <x v="1"/>
  </r>
  <r>
    <x v="10"/>
    <d v="2020-03-15T00:00:00"/>
    <x v="0"/>
    <n v="549"/>
    <n v="-1600"/>
    <x v="1"/>
    <n v="549"/>
    <x v="1"/>
  </r>
  <r>
    <x v="10"/>
    <d v="2020-03-19T00:00:00"/>
    <x v="1"/>
    <n v="806"/>
    <n v="-2406"/>
    <x v="1"/>
    <n v="-806"/>
    <x v="1"/>
  </r>
  <r>
    <x v="10"/>
    <d v="2020-03-19T00:00:00"/>
    <x v="0"/>
    <n v="316"/>
    <n v="-2090"/>
    <x v="1"/>
    <n v="316"/>
    <x v="1"/>
  </r>
  <r>
    <x v="10"/>
    <d v="2020-03-20T00:00:00"/>
    <x v="1"/>
    <n v="302"/>
    <n v="-2392"/>
    <x v="1"/>
    <n v="-302"/>
    <x v="1"/>
  </r>
  <r>
    <x v="10"/>
    <d v="2020-03-20T00:00:00"/>
    <x v="2"/>
    <n v="137"/>
    <n v="-2529"/>
    <x v="1"/>
    <n v="-137"/>
    <x v="1"/>
  </r>
  <r>
    <x v="10"/>
    <d v="2020-03-23T00:00:00"/>
    <x v="0"/>
    <n v="178"/>
    <n v="-2351"/>
    <x v="1"/>
    <n v="178"/>
    <x v="1"/>
  </r>
  <r>
    <x v="10"/>
    <d v="2020-03-24T00:00:00"/>
    <x v="0"/>
    <n v="852"/>
    <n v="-1499"/>
    <x v="1"/>
    <n v="852"/>
    <x v="1"/>
  </r>
  <r>
    <x v="10"/>
    <d v="2020-03-31T00:00:00"/>
    <x v="1"/>
    <n v="10"/>
    <n v="-1509"/>
    <x v="1"/>
    <n v="-10"/>
    <x v="1"/>
  </r>
  <r>
    <x v="10"/>
    <d v="2020-03-31T00:00:00"/>
    <x v="1"/>
    <n v="579"/>
    <n v="-2088"/>
    <x v="1"/>
    <n v="-579"/>
    <x v="1"/>
  </r>
  <r>
    <x v="10"/>
    <d v="2020-04-16T00:00:00"/>
    <x v="2"/>
    <n v="328"/>
    <n v="-2416"/>
    <x v="3"/>
    <n v="-328"/>
    <x v="1"/>
  </r>
  <r>
    <x v="11"/>
    <d v="2020-01-13T00:00:00"/>
    <x v="0"/>
    <n v="202"/>
    <n v="202"/>
    <x v="0"/>
    <n v="202"/>
    <x v="0"/>
  </r>
  <r>
    <x v="11"/>
    <d v="2020-01-28T00:00:00"/>
    <x v="2"/>
    <n v="110"/>
    <n v="92"/>
    <x v="0"/>
    <n v="-110"/>
    <x v="0"/>
  </r>
  <r>
    <x v="11"/>
    <d v="2020-03-18T00:00:00"/>
    <x v="2"/>
    <n v="739"/>
    <n v="-647"/>
    <x v="1"/>
    <n v="-739"/>
    <x v="1"/>
  </r>
  <r>
    <x v="11"/>
    <d v="2020-03-23T00:00:00"/>
    <x v="0"/>
    <n v="942"/>
    <n v="295"/>
    <x v="1"/>
    <n v="942"/>
    <x v="0"/>
  </r>
  <r>
    <x v="12"/>
    <d v="2020-01-02T00:00:00"/>
    <x v="0"/>
    <n v="566"/>
    <n v="566"/>
    <x v="0"/>
    <n v="566"/>
    <x v="0"/>
  </r>
  <r>
    <x v="12"/>
    <d v="2020-01-04T00:00:00"/>
    <x v="2"/>
    <n v="87"/>
    <n v="479"/>
    <x v="0"/>
    <n v="-87"/>
    <x v="0"/>
  </r>
  <r>
    <x v="12"/>
    <d v="2020-01-08T00:00:00"/>
    <x v="0"/>
    <n v="107"/>
    <n v="586"/>
    <x v="0"/>
    <n v="107"/>
    <x v="0"/>
  </r>
  <r>
    <x v="12"/>
    <d v="2020-01-22T00:00:00"/>
    <x v="0"/>
    <n v="858"/>
    <n v="1444"/>
    <x v="0"/>
    <n v="858"/>
    <x v="0"/>
  </r>
  <r>
    <x v="12"/>
    <d v="2020-01-28T00:00:00"/>
    <x v="1"/>
    <n v="664"/>
    <n v="780"/>
    <x v="0"/>
    <n v="-664"/>
    <x v="0"/>
  </r>
  <r>
    <x v="12"/>
    <d v="2020-02-04T00:00:00"/>
    <x v="0"/>
    <n v="55"/>
    <n v="835"/>
    <x v="2"/>
    <n v="55"/>
    <x v="0"/>
  </r>
  <r>
    <x v="12"/>
    <d v="2020-02-12T00:00:00"/>
    <x v="2"/>
    <n v="456"/>
    <n v="379"/>
    <x v="2"/>
    <n v="-456"/>
    <x v="0"/>
  </r>
  <r>
    <x v="12"/>
    <d v="2020-02-13T00:00:00"/>
    <x v="0"/>
    <n v="149"/>
    <n v="528"/>
    <x v="2"/>
    <n v="149"/>
    <x v="0"/>
  </r>
  <r>
    <x v="12"/>
    <d v="2020-02-13T00:00:00"/>
    <x v="0"/>
    <n v="751"/>
    <n v="1279"/>
    <x v="2"/>
    <n v="751"/>
    <x v="0"/>
  </r>
  <r>
    <x v="12"/>
    <d v="2020-03-09T00:00:00"/>
    <x v="2"/>
    <n v="543"/>
    <n v="736"/>
    <x v="1"/>
    <n v="-543"/>
    <x v="0"/>
  </r>
  <r>
    <x v="12"/>
    <d v="2020-03-13T00:00:00"/>
    <x v="2"/>
    <n v="95"/>
    <n v="641"/>
    <x v="1"/>
    <n v="-95"/>
    <x v="0"/>
  </r>
  <r>
    <x v="12"/>
    <d v="2020-03-14T00:00:00"/>
    <x v="0"/>
    <n v="665"/>
    <n v="1306"/>
    <x v="1"/>
    <n v="665"/>
    <x v="0"/>
  </r>
  <r>
    <x v="12"/>
    <d v="2020-03-16T00:00:00"/>
    <x v="0"/>
    <n v="99"/>
    <n v="1405"/>
    <x v="1"/>
    <n v="99"/>
    <x v="0"/>
  </r>
  <r>
    <x v="13"/>
    <d v="2020-01-25T00:00:00"/>
    <x v="0"/>
    <n v="205"/>
    <n v="205"/>
    <x v="0"/>
    <n v="205"/>
    <x v="0"/>
  </r>
  <r>
    <x v="13"/>
    <d v="2020-02-22T00:00:00"/>
    <x v="0"/>
    <n v="616"/>
    <n v="821"/>
    <x v="2"/>
    <n v="616"/>
    <x v="0"/>
  </r>
  <r>
    <x v="13"/>
    <d v="2020-04-05T00:00:00"/>
    <x v="0"/>
    <n v="756"/>
    <n v="1577"/>
    <x v="3"/>
    <n v="756"/>
    <x v="0"/>
  </r>
  <r>
    <x v="13"/>
    <d v="2020-04-05T00:00:00"/>
    <x v="2"/>
    <n v="588"/>
    <n v="989"/>
    <x v="3"/>
    <n v="-588"/>
    <x v="0"/>
  </r>
  <r>
    <x v="14"/>
    <d v="2020-01-25T00:00:00"/>
    <x v="0"/>
    <n v="379"/>
    <n v="379"/>
    <x v="0"/>
    <n v="379"/>
    <x v="0"/>
  </r>
  <r>
    <x v="14"/>
    <d v="2020-04-02T00:00:00"/>
    <x v="0"/>
    <n v="723"/>
    <n v="1102"/>
    <x v="3"/>
    <n v="723"/>
    <x v="0"/>
  </r>
  <r>
    <x v="15"/>
    <d v="2020-01-13T00:00:00"/>
    <x v="0"/>
    <n v="421"/>
    <n v="421"/>
    <x v="0"/>
    <n v="421"/>
    <x v="0"/>
  </r>
  <r>
    <x v="15"/>
    <d v="2020-01-17T00:00:00"/>
    <x v="1"/>
    <n v="529"/>
    <n v="-108"/>
    <x v="0"/>
    <n v="-529"/>
    <x v="1"/>
  </r>
  <r>
    <x v="15"/>
    <d v="2020-01-17T00:00:00"/>
    <x v="2"/>
    <n v="814"/>
    <n v="-922"/>
    <x v="0"/>
    <n v="-814"/>
    <x v="1"/>
  </r>
  <r>
    <x v="15"/>
    <d v="2020-01-20T00:00:00"/>
    <x v="1"/>
    <n v="159"/>
    <n v="-1081"/>
    <x v="0"/>
    <n v="-159"/>
    <x v="1"/>
  </r>
  <r>
    <x v="15"/>
    <d v="2020-01-22T00:00:00"/>
    <x v="0"/>
    <n v="239"/>
    <n v="-842"/>
    <x v="0"/>
    <n v="239"/>
    <x v="1"/>
  </r>
  <r>
    <x v="15"/>
    <d v="2020-01-22T00:00:00"/>
    <x v="1"/>
    <n v="730"/>
    <n v="-1572"/>
    <x v="0"/>
    <n v="-730"/>
    <x v="1"/>
  </r>
  <r>
    <x v="15"/>
    <d v="2020-01-25T00:00:00"/>
    <x v="1"/>
    <n v="160"/>
    <n v="-1732"/>
    <x v="0"/>
    <n v="-160"/>
    <x v="1"/>
  </r>
  <r>
    <x v="15"/>
    <d v="2020-01-30T00:00:00"/>
    <x v="0"/>
    <n v="391"/>
    <n v="-1341"/>
    <x v="0"/>
    <n v="391"/>
    <x v="1"/>
  </r>
  <r>
    <x v="15"/>
    <d v="2020-02-02T00:00:00"/>
    <x v="0"/>
    <n v="919"/>
    <n v="-422"/>
    <x v="2"/>
    <n v="919"/>
    <x v="1"/>
  </r>
  <r>
    <x v="15"/>
    <d v="2020-02-09T00:00:00"/>
    <x v="2"/>
    <n v="429"/>
    <n v="-851"/>
    <x v="2"/>
    <n v="-429"/>
    <x v="1"/>
  </r>
  <r>
    <x v="15"/>
    <d v="2020-02-13T00:00:00"/>
    <x v="1"/>
    <n v="599"/>
    <n v="-1450"/>
    <x v="2"/>
    <n v="-599"/>
    <x v="1"/>
  </r>
  <r>
    <x v="15"/>
    <d v="2020-02-13T00:00:00"/>
    <x v="2"/>
    <n v="928"/>
    <n v="-2378"/>
    <x v="2"/>
    <n v="-928"/>
    <x v="1"/>
  </r>
  <r>
    <x v="15"/>
    <d v="2020-02-26T00:00:00"/>
    <x v="1"/>
    <n v="515"/>
    <n v="-2893"/>
    <x v="2"/>
    <n v="-515"/>
    <x v="1"/>
  </r>
  <r>
    <x v="15"/>
    <d v="2020-03-01T00:00:00"/>
    <x v="2"/>
    <n v="314"/>
    <n v="-3207"/>
    <x v="1"/>
    <n v="-314"/>
    <x v="1"/>
  </r>
  <r>
    <x v="15"/>
    <d v="2020-03-13T00:00:00"/>
    <x v="1"/>
    <n v="903"/>
    <n v="-4110"/>
    <x v="1"/>
    <n v="-903"/>
    <x v="1"/>
  </r>
  <r>
    <x v="15"/>
    <d v="2020-03-23T00:00:00"/>
    <x v="2"/>
    <n v="174"/>
    <n v="-4284"/>
    <x v="1"/>
    <n v="-174"/>
    <x v="1"/>
  </r>
  <r>
    <x v="15"/>
    <d v="2020-04-11T00:00:00"/>
    <x v="0"/>
    <n v="862"/>
    <n v="-3422"/>
    <x v="3"/>
    <n v="862"/>
    <x v="1"/>
  </r>
  <r>
    <x v="16"/>
    <d v="2020-01-19T00:00:00"/>
    <x v="0"/>
    <n v="465"/>
    <n v="465"/>
    <x v="0"/>
    <n v="465"/>
    <x v="0"/>
  </r>
  <r>
    <x v="16"/>
    <d v="2020-02-09T00:00:00"/>
    <x v="2"/>
    <n v="915"/>
    <n v="-450"/>
    <x v="2"/>
    <n v="-915"/>
    <x v="1"/>
  </r>
  <r>
    <x v="16"/>
    <d v="2020-02-28T00:00:00"/>
    <x v="1"/>
    <n v="442"/>
    <n v="-892"/>
    <x v="2"/>
    <n v="-442"/>
    <x v="1"/>
  </r>
  <r>
    <x v="17"/>
    <d v="2020-01-17T00:00:00"/>
    <x v="0"/>
    <n v="757"/>
    <n v="757"/>
    <x v="0"/>
    <n v="757"/>
    <x v="0"/>
  </r>
  <r>
    <x v="17"/>
    <d v="2020-02-06T00:00:00"/>
    <x v="2"/>
    <n v="865"/>
    <n v="-108"/>
    <x v="2"/>
    <n v="-865"/>
    <x v="1"/>
  </r>
  <r>
    <x v="17"/>
    <d v="2020-02-13T00:00:00"/>
    <x v="1"/>
    <n v="316"/>
    <n v="-424"/>
    <x v="2"/>
    <n v="-316"/>
    <x v="1"/>
  </r>
  <r>
    <x v="17"/>
    <d v="2020-03-08T00:00:00"/>
    <x v="2"/>
    <n v="588"/>
    <n v="-1012"/>
    <x v="1"/>
    <n v="-588"/>
    <x v="1"/>
  </r>
  <r>
    <x v="17"/>
    <d v="2020-03-12T00:00:00"/>
    <x v="0"/>
    <n v="354"/>
    <n v="-658"/>
    <x v="1"/>
    <n v="354"/>
    <x v="1"/>
  </r>
  <r>
    <x v="17"/>
    <d v="2020-03-17T00:00:00"/>
    <x v="2"/>
    <n v="558"/>
    <n v="-1216"/>
    <x v="1"/>
    <n v="-558"/>
    <x v="1"/>
  </r>
  <r>
    <x v="17"/>
    <d v="2020-03-25T00:00:00"/>
    <x v="0"/>
    <n v="374"/>
    <n v="-842"/>
    <x v="1"/>
    <n v="374"/>
    <x v="1"/>
  </r>
  <r>
    <x v="17"/>
    <d v="2020-04-03T00:00:00"/>
    <x v="0"/>
    <n v="27"/>
    <n v="-815"/>
    <x v="3"/>
    <n v="27"/>
    <x v="1"/>
  </r>
  <r>
    <x v="18"/>
    <d v="2020-01-17T00:00:00"/>
    <x v="0"/>
    <n v="47"/>
    <n v="47"/>
    <x v="0"/>
    <n v="47"/>
    <x v="0"/>
  </r>
  <r>
    <x v="18"/>
    <d v="2020-01-22T00:00:00"/>
    <x v="1"/>
    <n v="59"/>
    <n v="-12"/>
    <x v="0"/>
    <n v="-59"/>
    <x v="1"/>
  </r>
  <r>
    <x v="18"/>
    <d v="2020-02-06T00:00:00"/>
    <x v="2"/>
    <n v="61"/>
    <n v="-73"/>
    <x v="2"/>
    <n v="-61"/>
    <x v="1"/>
  </r>
  <r>
    <x v="18"/>
    <d v="2020-02-21T00:00:00"/>
    <x v="1"/>
    <n v="178"/>
    <n v="-251"/>
    <x v="2"/>
    <n v="-178"/>
    <x v="1"/>
  </r>
  <r>
    <x v="18"/>
    <d v="2020-03-03T00:00:00"/>
    <x v="0"/>
    <n v="509"/>
    <n v="258"/>
    <x v="1"/>
    <n v="509"/>
    <x v="0"/>
  </r>
  <r>
    <x v="18"/>
    <d v="2020-03-10T00:00:00"/>
    <x v="2"/>
    <n v="559"/>
    <n v="-301"/>
    <x v="1"/>
    <n v="-559"/>
    <x v="1"/>
  </r>
  <r>
    <x v="18"/>
    <d v="2020-04-07T00:00:00"/>
    <x v="0"/>
    <n v="343"/>
    <n v="42"/>
    <x v="3"/>
    <n v="343"/>
    <x v="0"/>
  </r>
  <r>
    <x v="19"/>
    <d v="2020-01-18T00:00:00"/>
    <x v="0"/>
    <n v="868"/>
    <n v="868"/>
    <x v="0"/>
    <n v="868"/>
    <x v="0"/>
  </r>
  <r>
    <x v="19"/>
    <d v="2020-01-28T00:00:00"/>
    <x v="2"/>
    <n v="403"/>
    <n v="465"/>
    <x v="0"/>
    <n v="-403"/>
    <x v="0"/>
  </r>
  <r>
    <x v="19"/>
    <d v="2020-02-06T00:00:00"/>
    <x v="0"/>
    <n v="512"/>
    <n v="977"/>
    <x v="2"/>
    <n v="512"/>
    <x v="0"/>
  </r>
  <r>
    <x v="19"/>
    <d v="2020-02-13T00:00:00"/>
    <x v="0"/>
    <n v="40"/>
    <n v="1017"/>
    <x v="2"/>
    <n v="40"/>
    <x v="0"/>
  </r>
  <r>
    <x v="19"/>
    <d v="2020-02-15T00:00:00"/>
    <x v="2"/>
    <n v="156"/>
    <n v="861"/>
    <x v="2"/>
    <n v="-156"/>
    <x v="0"/>
  </r>
  <r>
    <x v="19"/>
    <d v="2020-02-24T00:00:00"/>
    <x v="2"/>
    <n v="342"/>
    <n v="519"/>
    <x v="2"/>
    <n v="-342"/>
    <x v="0"/>
  </r>
  <r>
    <x v="19"/>
    <d v="2020-03-10T00:00:00"/>
    <x v="0"/>
    <n v="257"/>
    <n v="776"/>
    <x v="1"/>
    <n v="257"/>
    <x v="0"/>
  </r>
  <r>
    <x v="20"/>
    <d v="2020-01-12T00:00:00"/>
    <x v="0"/>
    <n v="298"/>
    <n v="298"/>
    <x v="0"/>
    <n v="298"/>
    <x v="0"/>
  </r>
  <r>
    <x v="20"/>
    <d v="2020-01-12T00:00:00"/>
    <x v="0"/>
    <n v="28"/>
    <n v="326"/>
    <x v="0"/>
    <n v="28"/>
    <x v="0"/>
  </r>
  <r>
    <x v="20"/>
    <d v="2020-01-15T00:00:00"/>
    <x v="2"/>
    <n v="497"/>
    <n v="-171"/>
    <x v="0"/>
    <n v="-497"/>
    <x v="1"/>
  </r>
  <r>
    <x v="20"/>
    <d v="2020-01-20T00:00:00"/>
    <x v="1"/>
    <n v="445"/>
    <n v="-616"/>
    <x v="0"/>
    <n v="-445"/>
    <x v="1"/>
  </r>
  <r>
    <x v="20"/>
    <d v="2020-01-27T00:00:00"/>
    <x v="0"/>
    <n v="412"/>
    <n v="-204"/>
    <x v="0"/>
    <n v="412"/>
    <x v="1"/>
  </r>
  <r>
    <x v="20"/>
    <d v="2020-02-07T00:00:00"/>
    <x v="1"/>
    <n v="637"/>
    <n v="-841"/>
    <x v="2"/>
    <n v="-637"/>
    <x v="1"/>
  </r>
  <r>
    <x v="20"/>
    <d v="2020-02-18T00:00:00"/>
    <x v="1"/>
    <n v="348"/>
    <n v="-1189"/>
    <x v="2"/>
    <n v="-348"/>
    <x v="1"/>
  </r>
  <r>
    <x v="20"/>
    <d v="2020-02-26T00:00:00"/>
    <x v="0"/>
    <n v="694"/>
    <n v="-495"/>
    <x v="2"/>
    <n v="694"/>
    <x v="1"/>
  </r>
  <r>
    <x v="20"/>
    <d v="2020-02-28T00:00:00"/>
    <x v="2"/>
    <n v="269"/>
    <n v="-764"/>
    <x v="2"/>
    <n v="-269"/>
    <x v="1"/>
  </r>
  <r>
    <x v="20"/>
    <d v="2020-03-03T00:00:00"/>
    <x v="2"/>
    <n v="605"/>
    <n v="-1369"/>
    <x v="1"/>
    <n v="-605"/>
    <x v="1"/>
  </r>
  <r>
    <x v="20"/>
    <d v="2020-03-03T00:00:00"/>
    <x v="1"/>
    <n v="28"/>
    <n v="-1397"/>
    <x v="1"/>
    <n v="-28"/>
    <x v="1"/>
  </r>
  <r>
    <x v="20"/>
    <d v="2020-03-06T00:00:00"/>
    <x v="0"/>
    <n v="713"/>
    <n v="-684"/>
    <x v="1"/>
    <n v="713"/>
    <x v="1"/>
  </r>
  <r>
    <x v="20"/>
    <d v="2020-03-17T00:00:00"/>
    <x v="0"/>
    <n v="103"/>
    <n v="-581"/>
    <x v="1"/>
    <n v="103"/>
    <x v="1"/>
  </r>
  <r>
    <x v="20"/>
    <d v="2020-03-22T00:00:00"/>
    <x v="2"/>
    <n v="406"/>
    <n v="-987"/>
    <x v="1"/>
    <n v="-406"/>
    <x v="1"/>
  </r>
  <r>
    <x v="20"/>
    <d v="2020-03-23T00:00:00"/>
    <x v="1"/>
    <n v="489"/>
    <n v="-1476"/>
    <x v="1"/>
    <n v="-489"/>
    <x v="1"/>
  </r>
  <r>
    <x v="20"/>
    <d v="2020-03-30T00:00:00"/>
    <x v="2"/>
    <n v="398"/>
    <n v="-1874"/>
    <x v="1"/>
    <n v="-398"/>
    <x v="1"/>
  </r>
  <r>
    <x v="20"/>
    <d v="2020-04-03T00:00:00"/>
    <x v="2"/>
    <n v="531"/>
    <n v="-2405"/>
    <x v="3"/>
    <n v="-531"/>
    <x v="1"/>
  </r>
  <r>
    <x v="20"/>
    <d v="2020-04-04T00:00:00"/>
    <x v="2"/>
    <n v="848"/>
    <n v="-3253"/>
    <x v="3"/>
    <n v="-848"/>
    <x v="1"/>
  </r>
  <r>
    <x v="21"/>
    <d v="2020-01-19T00:00:00"/>
    <x v="0"/>
    <n v="794"/>
    <n v="794"/>
    <x v="0"/>
    <n v="794"/>
    <x v="0"/>
  </r>
  <r>
    <x v="21"/>
    <d v="2020-01-28T00:00:00"/>
    <x v="1"/>
    <n v="559"/>
    <n v="235"/>
    <x v="0"/>
    <n v="-559"/>
    <x v="0"/>
  </r>
  <r>
    <x v="21"/>
    <d v="2020-02-02T00:00:00"/>
    <x v="0"/>
    <n v="490"/>
    <n v="725"/>
    <x v="2"/>
    <n v="490"/>
    <x v="0"/>
  </r>
  <r>
    <x v="21"/>
    <d v="2020-02-04T00:00:00"/>
    <x v="2"/>
    <n v="544"/>
    <n v="181"/>
    <x v="2"/>
    <n v="-544"/>
    <x v="0"/>
  </r>
  <r>
    <x v="21"/>
    <d v="2020-02-09T00:00:00"/>
    <x v="1"/>
    <n v="842"/>
    <n v="-661"/>
    <x v="2"/>
    <n v="-842"/>
    <x v="1"/>
  </r>
  <r>
    <x v="21"/>
    <d v="2020-02-11T00:00:00"/>
    <x v="1"/>
    <n v="783"/>
    <n v="-1444"/>
    <x v="2"/>
    <n v="-783"/>
    <x v="1"/>
  </r>
  <r>
    <x v="21"/>
    <d v="2020-02-24T00:00:00"/>
    <x v="0"/>
    <n v="272"/>
    <n v="-1172"/>
    <x v="2"/>
    <n v="272"/>
    <x v="1"/>
  </r>
  <r>
    <x v="21"/>
    <d v="2020-02-26T00:00:00"/>
    <x v="0"/>
    <n v="863"/>
    <n v="-309"/>
    <x v="2"/>
    <n v="863"/>
    <x v="1"/>
  </r>
  <r>
    <x v="21"/>
    <d v="2020-02-29T00:00:00"/>
    <x v="2"/>
    <n v="730"/>
    <n v="-1039"/>
    <x v="2"/>
    <n v="-730"/>
    <x v="1"/>
  </r>
  <r>
    <x v="21"/>
    <d v="2020-03-05T00:00:00"/>
    <x v="0"/>
    <n v="532"/>
    <n v="-507"/>
    <x v="1"/>
    <n v="532"/>
    <x v="1"/>
  </r>
  <r>
    <x v="21"/>
    <d v="2020-03-16T00:00:00"/>
    <x v="0"/>
    <n v="865"/>
    <n v="358"/>
    <x v="1"/>
    <n v="865"/>
    <x v="0"/>
  </r>
  <r>
    <x v="21"/>
    <d v="2020-03-17T00:00:00"/>
    <x v="2"/>
    <n v="370"/>
    <n v="-12"/>
    <x v="1"/>
    <n v="-370"/>
    <x v="1"/>
  </r>
  <r>
    <x v="21"/>
    <d v="2020-03-27T00:00:00"/>
    <x v="1"/>
    <n v="394"/>
    <n v="-406"/>
    <x v="1"/>
    <n v="-394"/>
    <x v="1"/>
  </r>
  <r>
    <x v="21"/>
    <d v="2020-03-29T00:00:00"/>
    <x v="0"/>
    <n v="801"/>
    <n v="395"/>
    <x v="1"/>
    <n v="801"/>
    <x v="0"/>
  </r>
  <r>
    <x v="21"/>
    <d v="2020-03-30T00:00:00"/>
    <x v="2"/>
    <n v="544"/>
    <n v="-149"/>
    <x v="1"/>
    <n v="-544"/>
    <x v="1"/>
  </r>
  <r>
    <x v="21"/>
    <d v="2020-04-05T00:00:00"/>
    <x v="2"/>
    <n v="80"/>
    <n v="-229"/>
    <x v="3"/>
    <n v="-80"/>
    <x v="1"/>
  </r>
  <r>
    <x v="21"/>
    <d v="2020-04-09T00:00:00"/>
    <x v="0"/>
    <n v="728"/>
    <n v="499"/>
    <x v="3"/>
    <n v="728"/>
    <x v="0"/>
  </r>
  <r>
    <x v="21"/>
    <d v="2020-04-14T00:00:00"/>
    <x v="2"/>
    <n v="875"/>
    <n v="-376"/>
    <x v="3"/>
    <n v="-875"/>
    <x v="1"/>
  </r>
  <r>
    <x v="21"/>
    <d v="2020-04-17T00:00:00"/>
    <x v="1"/>
    <n v="982"/>
    <n v="-1358"/>
    <x v="3"/>
    <n v="-982"/>
    <x v="1"/>
  </r>
  <r>
    <x v="22"/>
    <d v="2020-01-21T00:00:00"/>
    <x v="0"/>
    <n v="334"/>
    <n v="334"/>
    <x v="0"/>
    <n v="334"/>
    <x v="0"/>
  </r>
  <r>
    <x v="22"/>
    <d v="2020-01-22T00:00:00"/>
    <x v="1"/>
    <n v="240"/>
    <n v="94"/>
    <x v="0"/>
    <n v="-240"/>
    <x v="0"/>
  </r>
  <r>
    <x v="22"/>
    <d v="2020-02-12T00:00:00"/>
    <x v="2"/>
    <n v="408"/>
    <n v="-314"/>
    <x v="2"/>
    <n v="-408"/>
    <x v="1"/>
  </r>
  <r>
    <x v="22"/>
    <d v="2020-03-08T00:00:00"/>
    <x v="0"/>
    <n v="834"/>
    <n v="520"/>
    <x v="1"/>
    <n v="834"/>
    <x v="0"/>
  </r>
  <r>
    <x v="22"/>
    <d v="2020-03-31T00:00:00"/>
    <x v="1"/>
    <n v="676"/>
    <n v="-156"/>
    <x v="1"/>
    <n v="-676"/>
    <x v="1"/>
  </r>
  <r>
    <x v="22"/>
    <d v="2020-04-08T00:00:00"/>
    <x v="2"/>
    <n v="522"/>
    <n v="-678"/>
    <x v="3"/>
    <n v="-522"/>
    <x v="1"/>
  </r>
  <r>
    <x v="23"/>
    <d v="2020-01-26T00:00:00"/>
    <x v="0"/>
    <n v="615"/>
    <n v="615"/>
    <x v="0"/>
    <n v="615"/>
    <x v="0"/>
  </r>
  <r>
    <x v="23"/>
    <d v="2020-02-07T00:00:00"/>
    <x v="2"/>
    <n v="505"/>
    <n v="110"/>
    <x v="2"/>
    <n v="-505"/>
    <x v="0"/>
  </r>
  <r>
    <x v="23"/>
    <d v="2020-02-09T00:00:00"/>
    <x v="2"/>
    <n v="149"/>
    <n v="-39"/>
    <x v="2"/>
    <n v="-149"/>
    <x v="1"/>
  </r>
  <r>
    <x v="23"/>
    <d v="2020-02-12T00:00:00"/>
    <x v="0"/>
    <n v="440"/>
    <n v="401"/>
    <x v="2"/>
    <n v="440"/>
    <x v="0"/>
  </r>
  <r>
    <x v="23"/>
    <d v="2020-02-12T00:00:00"/>
    <x v="1"/>
    <n v="218"/>
    <n v="183"/>
    <x v="2"/>
    <n v="-218"/>
    <x v="0"/>
  </r>
  <r>
    <x v="23"/>
    <d v="2020-02-17T00:00:00"/>
    <x v="0"/>
    <n v="275"/>
    <n v="458"/>
    <x v="2"/>
    <n v="275"/>
    <x v="0"/>
  </r>
  <r>
    <x v="23"/>
    <d v="2020-02-29T00:00:00"/>
    <x v="0"/>
    <n v="355"/>
    <n v="813"/>
    <x v="2"/>
    <n v="355"/>
    <x v="0"/>
  </r>
  <r>
    <x v="23"/>
    <d v="2020-03-06T00:00:00"/>
    <x v="1"/>
    <n v="289"/>
    <n v="524"/>
    <x v="1"/>
    <n v="-289"/>
    <x v="0"/>
  </r>
  <r>
    <x v="23"/>
    <d v="2020-03-09T00:00:00"/>
    <x v="0"/>
    <n v="275"/>
    <n v="799"/>
    <x v="1"/>
    <n v="275"/>
    <x v="0"/>
  </r>
  <r>
    <x v="23"/>
    <d v="2020-03-09T00:00:00"/>
    <x v="1"/>
    <n v="545"/>
    <n v="254"/>
    <x v="1"/>
    <n v="-545"/>
    <x v="0"/>
  </r>
  <r>
    <x v="24"/>
    <d v="2020-01-28T00:00:00"/>
    <x v="0"/>
    <n v="174"/>
    <n v="174"/>
    <x v="0"/>
    <n v="174"/>
    <x v="0"/>
  </r>
  <r>
    <x v="24"/>
    <d v="2020-02-08T00:00:00"/>
    <x v="0"/>
    <n v="259"/>
    <n v="433"/>
    <x v="2"/>
    <n v="259"/>
    <x v="0"/>
  </r>
  <r>
    <x v="24"/>
    <d v="2020-02-13T00:00:00"/>
    <x v="2"/>
    <n v="833"/>
    <n v="-400"/>
    <x v="2"/>
    <n v="-833"/>
    <x v="1"/>
  </r>
  <r>
    <x v="24"/>
    <d v="2020-03-05T00:00:00"/>
    <x v="0"/>
    <n v="430"/>
    <n v="30"/>
    <x v="1"/>
    <n v="430"/>
    <x v="0"/>
  </r>
  <r>
    <x v="24"/>
    <d v="2020-03-09T00:00:00"/>
    <x v="2"/>
    <n v="123"/>
    <n v="-93"/>
    <x v="1"/>
    <n v="-123"/>
    <x v="1"/>
  </r>
  <r>
    <x v="24"/>
    <d v="2020-03-18T00:00:00"/>
    <x v="2"/>
    <n v="629"/>
    <n v="-722"/>
    <x v="1"/>
    <n v="-629"/>
    <x v="1"/>
  </r>
  <r>
    <x v="24"/>
    <d v="2020-03-19T00:00:00"/>
    <x v="0"/>
    <n v="185"/>
    <n v="-537"/>
    <x v="1"/>
    <n v="185"/>
    <x v="1"/>
  </r>
  <r>
    <x v="24"/>
    <d v="2020-03-21T00:00:00"/>
    <x v="1"/>
    <n v="683"/>
    <n v="-1220"/>
    <x v="1"/>
    <n v="-683"/>
    <x v="1"/>
  </r>
  <r>
    <x v="24"/>
    <d v="2020-04-09T00:00:00"/>
    <x v="0"/>
    <n v="769"/>
    <n v="-451"/>
    <x v="3"/>
    <n v="769"/>
    <x v="1"/>
  </r>
  <r>
    <x v="24"/>
    <d v="2020-04-17T00:00:00"/>
    <x v="0"/>
    <n v="432"/>
    <n v="-19"/>
    <x v="3"/>
    <n v="432"/>
    <x v="1"/>
  </r>
  <r>
    <x v="24"/>
    <d v="2020-04-24T00:00:00"/>
    <x v="2"/>
    <n v="285"/>
    <n v="-304"/>
    <x v="3"/>
    <n v="-285"/>
    <x v="1"/>
  </r>
  <r>
    <x v="25"/>
    <d v="2020-01-17T00:00:00"/>
    <x v="0"/>
    <n v="878"/>
    <n v="878"/>
    <x v="0"/>
    <n v="878"/>
    <x v="0"/>
  </r>
  <r>
    <x v="25"/>
    <d v="2020-01-26T00:00:00"/>
    <x v="2"/>
    <n v="338"/>
    <n v="540"/>
    <x v="0"/>
    <n v="-338"/>
    <x v="0"/>
  </r>
  <r>
    <x v="25"/>
    <d v="2020-01-26T00:00:00"/>
    <x v="0"/>
    <n v="98"/>
    <n v="638"/>
    <x v="0"/>
    <n v="98"/>
    <x v="0"/>
  </r>
  <r>
    <x v="25"/>
    <d v="2020-02-06T00:00:00"/>
    <x v="1"/>
    <n v="352"/>
    <n v="286"/>
    <x v="2"/>
    <n v="-352"/>
    <x v="0"/>
  </r>
  <r>
    <x v="25"/>
    <d v="2020-02-27T00:00:00"/>
    <x v="2"/>
    <n v="300"/>
    <n v="-14"/>
    <x v="2"/>
    <n v="-300"/>
    <x v="1"/>
  </r>
  <r>
    <x v="25"/>
    <d v="2020-02-27T00:00:00"/>
    <x v="2"/>
    <n v="17"/>
    <n v="-31"/>
    <x v="2"/>
    <n v="-17"/>
    <x v="1"/>
  </r>
  <r>
    <x v="25"/>
    <d v="2020-03-06T00:00:00"/>
    <x v="0"/>
    <n v="192"/>
    <n v="161"/>
    <x v="1"/>
    <n v="192"/>
    <x v="0"/>
  </r>
  <r>
    <x v="25"/>
    <d v="2020-03-10T00:00:00"/>
    <x v="2"/>
    <n v="381"/>
    <n v="-220"/>
    <x v="1"/>
    <n v="-381"/>
    <x v="1"/>
  </r>
  <r>
    <x v="25"/>
    <d v="2020-03-11T00:00:00"/>
    <x v="2"/>
    <n v="437"/>
    <n v="-657"/>
    <x v="1"/>
    <n v="-437"/>
    <x v="1"/>
  </r>
  <r>
    <x v="25"/>
    <d v="2020-03-13T00:00:00"/>
    <x v="0"/>
    <n v="35"/>
    <n v="-622"/>
    <x v="1"/>
    <n v="35"/>
    <x v="1"/>
  </r>
  <r>
    <x v="25"/>
    <d v="2020-04-04T00:00:00"/>
    <x v="2"/>
    <n v="456"/>
    <n v="-1078"/>
    <x v="3"/>
    <n v="-456"/>
    <x v="1"/>
  </r>
  <r>
    <x v="25"/>
    <d v="2020-04-13T00:00:00"/>
    <x v="2"/>
    <n v="792"/>
    <n v="-1870"/>
    <x v="3"/>
    <n v="-792"/>
    <x v="1"/>
  </r>
  <r>
    <x v="26"/>
    <d v="2020-01-01T00:00:00"/>
    <x v="0"/>
    <n v="809"/>
    <n v="809"/>
    <x v="0"/>
    <n v="809"/>
    <x v="0"/>
  </r>
  <r>
    <x v="26"/>
    <d v="2020-01-02T00:00:00"/>
    <x v="2"/>
    <n v="604"/>
    <n v="205"/>
    <x v="0"/>
    <n v="-604"/>
    <x v="0"/>
  </r>
  <r>
    <x v="26"/>
    <d v="2020-01-05T00:00:00"/>
    <x v="0"/>
    <n v="161"/>
    <n v="366"/>
    <x v="0"/>
    <n v="161"/>
    <x v="0"/>
  </r>
  <r>
    <x v="26"/>
    <d v="2020-01-08T00:00:00"/>
    <x v="0"/>
    <n v="134"/>
    <n v="500"/>
    <x v="0"/>
    <n v="134"/>
    <x v="0"/>
  </r>
  <r>
    <x v="26"/>
    <d v="2020-01-16T00:00:00"/>
    <x v="2"/>
    <n v="263"/>
    <n v="237"/>
    <x v="0"/>
    <n v="-263"/>
    <x v="0"/>
  </r>
  <r>
    <x v="26"/>
    <d v="2020-01-21T00:00:00"/>
    <x v="1"/>
    <n v="843"/>
    <n v="-606"/>
    <x v="0"/>
    <n v="-843"/>
    <x v="1"/>
  </r>
  <r>
    <x v="26"/>
    <d v="2020-01-25T00:00:00"/>
    <x v="2"/>
    <n v="583"/>
    <n v="-1189"/>
    <x v="0"/>
    <n v="-583"/>
    <x v="1"/>
  </r>
  <r>
    <x v="26"/>
    <d v="2020-02-02T00:00:00"/>
    <x v="2"/>
    <n v="666"/>
    <n v="-1855"/>
    <x v="2"/>
    <n v="-666"/>
    <x v="1"/>
  </r>
  <r>
    <x v="26"/>
    <d v="2020-02-07T00:00:00"/>
    <x v="0"/>
    <n v="734"/>
    <n v="-1121"/>
    <x v="2"/>
    <n v="734"/>
    <x v="1"/>
  </r>
  <r>
    <x v="26"/>
    <d v="2020-02-14T00:00:00"/>
    <x v="2"/>
    <n v="690"/>
    <n v="-1811"/>
    <x v="2"/>
    <n v="-690"/>
    <x v="1"/>
  </r>
  <r>
    <x v="26"/>
    <d v="2020-02-16T00:00:00"/>
    <x v="1"/>
    <n v="505"/>
    <n v="-2316"/>
    <x v="2"/>
    <n v="-505"/>
    <x v="1"/>
  </r>
  <r>
    <x v="26"/>
    <d v="2020-02-25T00:00:00"/>
    <x v="0"/>
    <n v="692"/>
    <n v="-1624"/>
    <x v="2"/>
    <n v="692"/>
    <x v="1"/>
  </r>
  <r>
    <x v="26"/>
    <d v="2020-02-28T00:00:00"/>
    <x v="0"/>
    <n v="911"/>
    <n v="-713"/>
    <x v="2"/>
    <n v="911"/>
    <x v="1"/>
  </r>
  <r>
    <x v="26"/>
    <d v="2020-03-03T00:00:00"/>
    <x v="1"/>
    <n v="769"/>
    <n v="-1482"/>
    <x v="1"/>
    <n v="-769"/>
    <x v="1"/>
  </r>
  <r>
    <x v="26"/>
    <d v="2020-03-11T00:00:00"/>
    <x v="2"/>
    <n v="992"/>
    <n v="-2474"/>
    <x v="1"/>
    <n v="-992"/>
    <x v="1"/>
  </r>
  <r>
    <x v="26"/>
    <d v="2020-03-12T00:00:00"/>
    <x v="1"/>
    <n v="175"/>
    <n v="-2649"/>
    <x v="1"/>
    <n v="-175"/>
    <x v="1"/>
  </r>
  <r>
    <x v="26"/>
    <d v="2020-03-13T00:00:00"/>
    <x v="0"/>
    <n v="71"/>
    <n v="-2578"/>
    <x v="1"/>
    <n v="71"/>
    <x v="1"/>
  </r>
  <r>
    <x v="26"/>
    <d v="2020-03-14T00:00:00"/>
    <x v="1"/>
    <n v="490"/>
    <n v="-3068"/>
    <x v="1"/>
    <n v="-490"/>
    <x v="1"/>
  </r>
  <r>
    <x v="26"/>
    <d v="2020-03-16T00:00:00"/>
    <x v="0"/>
    <n v="521"/>
    <n v="-2547"/>
    <x v="1"/>
    <n v="521"/>
    <x v="1"/>
  </r>
  <r>
    <x v="26"/>
    <d v="2020-03-25T00:00:00"/>
    <x v="1"/>
    <n v="569"/>
    <n v="-3116"/>
    <x v="1"/>
    <n v="-569"/>
    <x v="1"/>
  </r>
  <r>
    <x v="27"/>
    <d v="2020-01-20T00:00:00"/>
    <x v="0"/>
    <n v="451"/>
    <n v="451"/>
    <x v="0"/>
    <n v="451"/>
    <x v="0"/>
  </r>
  <r>
    <x v="27"/>
    <d v="2020-02-02T00:00:00"/>
    <x v="2"/>
    <n v="387"/>
    <n v="64"/>
    <x v="2"/>
    <n v="-387"/>
    <x v="0"/>
  </r>
  <r>
    <x v="27"/>
    <d v="2020-02-12T00:00:00"/>
    <x v="1"/>
    <n v="882"/>
    <n v="-818"/>
    <x v="2"/>
    <n v="-882"/>
    <x v="1"/>
  </r>
  <r>
    <x v="27"/>
    <d v="2020-03-16T00:00:00"/>
    <x v="0"/>
    <n v="274"/>
    <n v="-544"/>
    <x v="1"/>
    <n v="274"/>
    <x v="1"/>
  </r>
  <r>
    <x v="27"/>
    <d v="2020-03-17T00:00:00"/>
    <x v="2"/>
    <n v="501"/>
    <n v="-1045"/>
    <x v="1"/>
    <n v="-501"/>
    <x v="1"/>
  </r>
  <r>
    <x v="27"/>
    <d v="2020-03-25T00:00:00"/>
    <x v="1"/>
    <n v="183"/>
    <n v="-1228"/>
    <x v="1"/>
    <n v="-183"/>
    <x v="1"/>
  </r>
  <r>
    <x v="27"/>
    <d v="2020-04-06T00:00:00"/>
    <x v="0"/>
    <n v="677"/>
    <n v="-551"/>
    <x v="3"/>
    <n v="677"/>
    <x v="1"/>
  </r>
  <r>
    <x v="27"/>
    <d v="2020-04-17T00:00:00"/>
    <x v="0"/>
    <n v="823"/>
    <n v="272"/>
    <x v="3"/>
    <n v="823"/>
    <x v="0"/>
  </r>
  <r>
    <x v="28"/>
    <d v="2020-01-19T00:00:00"/>
    <x v="0"/>
    <n v="217"/>
    <n v="217"/>
    <x v="0"/>
    <n v="217"/>
    <x v="0"/>
  </r>
  <r>
    <x v="28"/>
    <d v="2020-01-25T00:00:00"/>
    <x v="2"/>
    <n v="522"/>
    <n v="-305"/>
    <x v="0"/>
    <n v="-522"/>
    <x v="1"/>
  </r>
  <r>
    <x v="28"/>
    <d v="2020-01-28T00:00:00"/>
    <x v="2"/>
    <n v="360"/>
    <n v="-665"/>
    <x v="0"/>
    <n v="-360"/>
    <x v="1"/>
  </r>
  <r>
    <x v="28"/>
    <d v="2020-01-31T00:00:00"/>
    <x v="0"/>
    <n v="527"/>
    <n v="-138"/>
    <x v="0"/>
    <n v="527"/>
    <x v="1"/>
  </r>
  <r>
    <x v="28"/>
    <d v="2020-02-09T00:00:00"/>
    <x v="0"/>
    <n v="937"/>
    <n v="799"/>
    <x v="2"/>
    <n v="937"/>
    <x v="0"/>
  </r>
  <r>
    <x v="28"/>
    <d v="2020-02-13T00:00:00"/>
    <x v="1"/>
    <n v="509"/>
    <n v="290"/>
    <x v="2"/>
    <n v="-509"/>
    <x v="0"/>
  </r>
  <r>
    <x v="28"/>
    <d v="2020-02-15T00:00:00"/>
    <x v="1"/>
    <n v="366"/>
    <n v="-76"/>
    <x v="2"/>
    <n v="-366"/>
    <x v="1"/>
  </r>
  <r>
    <x v="28"/>
    <d v="2020-03-03T00:00:00"/>
    <x v="2"/>
    <n v="834"/>
    <n v="-910"/>
    <x v="1"/>
    <n v="-834"/>
    <x v="1"/>
  </r>
  <r>
    <x v="28"/>
    <d v="2020-03-07T00:00:00"/>
    <x v="0"/>
    <n v="606"/>
    <n v="-304"/>
    <x v="1"/>
    <n v="606"/>
    <x v="1"/>
  </r>
  <r>
    <x v="28"/>
    <d v="2020-03-16T00:00:00"/>
    <x v="2"/>
    <n v="1"/>
    <n v="-305"/>
    <x v="1"/>
    <n v="-1"/>
    <x v="1"/>
  </r>
  <r>
    <x v="28"/>
    <d v="2020-03-20T00:00:00"/>
    <x v="0"/>
    <n v="335"/>
    <n v="30"/>
    <x v="1"/>
    <n v="335"/>
    <x v="0"/>
  </r>
  <r>
    <x v="28"/>
    <d v="2020-03-24T00:00:00"/>
    <x v="0"/>
    <n v="948"/>
    <n v="978"/>
    <x v="1"/>
    <n v="948"/>
    <x v="0"/>
  </r>
  <r>
    <x v="28"/>
    <d v="2020-03-25T00:00:00"/>
    <x v="2"/>
    <n v="147"/>
    <n v="831"/>
    <x v="1"/>
    <n v="-147"/>
    <x v="0"/>
  </r>
  <r>
    <x v="28"/>
    <d v="2020-04-10T00:00:00"/>
    <x v="2"/>
    <n v="682"/>
    <n v="149"/>
    <x v="3"/>
    <n v="-682"/>
    <x v="0"/>
  </r>
  <r>
    <x v="28"/>
    <d v="2020-04-10T00:00:00"/>
    <x v="0"/>
    <n v="800"/>
    <n v="949"/>
    <x v="3"/>
    <n v="800"/>
    <x v="0"/>
  </r>
  <r>
    <x v="28"/>
    <d v="2020-04-16T00:00:00"/>
    <x v="1"/>
    <n v="576"/>
    <n v="373"/>
    <x v="3"/>
    <n v="-576"/>
    <x v="0"/>
  </r>
  <r>
    <x v="28"/>
    <d v="2020-04-17T00:00:00"/>
    <x v="2"/>
    <n v="921"/>
    <n v="-548"/>
    <x v="3"/>
    <n v="-921"/>
    <x v="1"/>
  </r>
  <r>
    <x v="29"/>
    <d v="2020-01-26T00:00:00"/>
    <x v="0"/>
    <n v="33"/>
    <n v="33"/>
    <x v="0"/>
    <n v="33"/>
    <x v="0"/>
  </r>
  <r>
    <x v="29"/>
    <d v="2020-02-28T00:00:00"/>
    <x v="2"/>
    <n v="464"/>
    <n v="-431"/>
    <x v="2"/>
    <n v="-464"/>
    <x v="1"/>
  </r>
  <r>
    <x v="29"/>
    <d v="2020-04-01T00:00:00"/>
    <x v="0"/>
    <n v="392"/>
    <n v="-39"/>
    <x v="3"/>
    <n v="392"/>
    <x v="1"/>
  </r>
  <r>
    <x v="29"/>
    <d v="2020-04-24T00:00:00"/>
    <x v="0"/>
    <n v="547"/>
    <n v="508"/>
    <x v="3"/>
    <n v="547"/>
    <x v="0"/>
  </r>
  <r>
    <x v="30"/>
    <d v="2020-01-06T00:00:00"/>
    <x v="0"/>
    <n v="83"/>
    <n v="83"/>
    <x v="0"/>
    <n v="83"/>
    <x v="0"/>
  </r>
  <r>
    <x v="30"/>
    <d v="2020-03-06T00:00:00"/>
    <x v="1"/>
    <n v="247"/>
    <n v="-164"/>
    <x v="1"/>
    <n v="-247"/>
    <x v="1"/>
  </r>
  <r>
    <x v="30"/>
    <d v="2020-03-18T00:00:00"/>
    <x v="2"/>
    <n v="929"/>
    <n v="-1093"/>
    <x v="1"/>
    <n v="-929"/>
    <x v="1"/>
  </r>
  <r>
    <x v="30"/>
    <d v="2020-03-24T00:00:00"/>
    <x v="0"/>
    <n v="952"/>
    <n v="-141"/>
    <x v="1"/>
    <n v="952"/>
    <x v="1"/>
  </r>
  <r>
    <x v="31"/>
    <d v="2020-01-12T00:00:00"/>
    <x v="0"/>
    <n v="812"/>
    <n v="812"/>
    <x v="0"/>
    <n v="812"/>
    <x v="0"/>
  </r>
  <r>
    <x v="31"/>
    <d v="2020-01-15T00:00:00"/>
    <x v="1"/>
    <n v="352"/>
    <n v="460"/>
    <x v="0"/>
    <n v="-352"/>
    <x v="0"/>
  </r>
  <r>
    <x v="31"/>
    <d v="2020-01-19T00:00:00"/>
    <x v="1"/>
    <n v="527"/>
    <n v="-67"/>
    <x v="0"/>
    <n v="-527"/>
    <x v="1"/>
  </r>
  <r>
    <x v="31"/>
    <d v="2020-01-28T00:00:00"/>
    <x v="0"/>
    <n v="0"/>
    <n v="-67"/>
    <x v="0"/>
    <n v="0"/>
    <x v="1"/>
  </r>
  <r>
    <x v="31"/>
    <d v="2020-01-28T00:00:00"/>
    <x v="0"/>
    <n v="97"/>
    <n v="30"/>
    <x v="0"/>
    <n v="97"/>
    <x v="0"/>
  </r>
  <r>
    <x v="31"/>
    <d v="2020-01-29T00:00:00"/>
    <x v="2"/>
    <n v="119"/>
    <n v="-89"/>
    <x v="0"/>
    <n v="-119"/>
    <x v="1"/>
  </r>
  <r>
    <x v="31"/>
    <d v="2020-02-09T00:00:00"/>
    <x v="0"/>
    <n v="957"/>
    <n v="868"/>
    <x v="2"/>
    <n v="957"/>
    <x v="0"/>
  </r>
  <r>
    <x v="31"/>
    <d v="2020-02-12T00:00:00"/>
    <x v="0"/>
    <n v="215"/>
    <n v="1083"/>
    <x v="2"/>
    <n v="215"/>
    <x v="0"/>
  </r>
  <r>
    <x v="31"/>
    <d v="2020-02-24T00:00:00"/>
    <x v="2"/>
    <n v="707"/>
    <n v="376"/>
    <x v="2"/>
    <n v="-707"/>
    <x v="0"/>
  </r>
  <r>
    <x v="31"/>
    <d v="2020-03-10T00:00:00"/>
    <x v="1"/>
    <n v="483"/>
    <n v="-107"/>
    <x v="1"/>
    <n v="-483"/>
    <x v="1"/>
  </r>
  <r>
    <x v="31"/>
    <d v="2020-03-15T00:00:00"/>
    <x v="2"/>
    <n v="517"/>
    <n v="-624"/>
    <x v="1"/>
    <n v="-517"/>
    <x v="1"/>
  </r>
  <r>
    <x v="31"/>
    <d v="2020-03-16T00:00:00"/>
    <x v="1"/>
    <n v="219"/>
    <n v="-843"/>
    <x v="1"/>
    <n v="-219"/>
    <x v="1"/>
  </r>
  <r>
    <x v="31"/>
    <d v="2020-04-07T00:00:00"/>
    <x v="1"/>
    <n v="158"/>
    <n v="-1001"/>
    <x v="3"/>
    <n v="-158"/>
    <x v="1"/>
  </r>
  <r>
    <x v="32"/>
    <d v="2020-01-24T00:00:00"/>
    <x v="0"/>
    <n v="473"/>
    <n v="473"/>
    <x v="0"/>
    <n v="473"/>
    <x v="0"/>
  </r>
  <r>
    <x v="32"/>
    <d v="2020-02-05T00:00:00"/>
    <x v="2"/>
    <n v="321"/>
    <n v="152"/>
    <x v="2"/>
    <n v="-321"/>
    <x v="0"/>
  </r>
  <r>
    <x v="32"/>
    <d v="2020-02-08T00:00:00"/>
    <x v="0"/>
    <n v="176"/>
    <n v="328"/>
    <x v="2"/>
    <n v="176"/>
    <x v="0"/>
  </r>
  <r>
    <x v="32"/>
    <d v="2020-02-14T00:00:00"/>
    <x v="1"/>
    <n v="778"/>
    <n v="-450"/>
    <x v="2"/>
    <n v="-778"/>
    <x v="1"/>
  </r>
  <r>
    <x v="32"/>
    <d v="2020-02-26T00:00:00"/>
    <x v="0"/>
    <n v="334"/>
    <n v="-116"/>
    <x v="2"/>
    <n v="334"/>
    <x v="1"/>
  </r>
  <r>
    <x v="32"/>
    <d v="2020-03-01T00:00:00"/>
    <x v="1"/>
    <n v="581"/>
    <n v="-697"/>
    <x v="1"/>
    <n v="-581"/>
    <x v="1"/>
  </r>
  <r>
    <x v="32"/>
    <d v="2020-03-01T00:00:00"/>
    <x v="0"/>
    <n v="18"/>
    <n v="-679"/>
    <x v="1"/>
    <n v="18"/>
    <x v="1"/>
  </r>
  <r>
    <x v="32"/>
    <d v="2020-03-03T00:00:00"/>
    <x v="0"/>
    <n v="260"/>
    <n v="-419"/>
    <x v="1"/>
    <n v="260"/>
    <x v="1"/>
  </r>
  <r>
    <x v="32"/>
    <d v="2020-03-08T00:00:00"/>
    <x v="2"/>
    <n v="63"/>
    <n v="-482"/>
    <x v="1"/>
    <n v="-63"/>
    <x v="1"/>
  </r>
  <r>
    <x v="32"/>
    <d v="2020-03-15T00:00:00"/>
    <x v="0"/>
    <n v="454"/>
    <n v="-28"/>
    <x v="1"/>
    <n v="454"/>
    <x v="1"/>
  </r>
  <r>
    <x v="32"/>
    <d v="2020-03-18T00:00:00"/>
    <x v="0"/>
    <n v="732"/>
    <n v="704"/>
    <x v="1"/>
    <n v="732"/>
    <x v="0"/>
  </r>
  <r>
    <x v="32"/>
    <d v="2020-03-26T00:00:00"/>
    <x v="1"/>
    <n v="351"/>
    <n v="353"/>
    <x v="1"/>
    <n v="-351"/>
    <x v="0"/>
  </r>
  <r>
    <x v="32"/>
    <d v="2020-03-29T00:00:00"/>
    <x v="0"/>
    <n v="872"/>
    <n v="1225"/>
    <x v="1"/>
    <n v="872"/>
    <x v="0"/>
  </r>
  <r>
    <x v="32"/>
    <d v="2020-04-01T00:00:00"/>
    <x v="1"/>
    <n v="375"/>
    <n v="850"/>
    <x v="3"/>
    <n v="-375"/>
    <x v="0"/>
  </r>
  <r>
    <x v="32"/>
    <d v="2020-04-08T00:00:00"/>
    <x v="1"/>
    <n v="559"/>
    <n v="291"/>
    <x v="3"/>
    <n v="-559"/>
    <x v="0"/>
  </r>
  <r>
    <x v="32"/>
    <d v="2020-04-09T00:00:00"/>
    <x v="0"/>
    <n v="602"/>
    <n v="893"/>
    <x v="3"/>
    <n v="602"/>
    <x v="0"/>
  </r>
  <r>
    <x v="32"/>
    <d v="2020-04-18T00:00:00"/>
    <x v="0"/>
    <n v="184"/>
    <n v="1077"/>
    <x v="3"/>
    <n v="184"/>
    <x v="0"/>
  </r>
  <r>
    <x v="32"/>
    <d v="2020-04-22T00:00:00"/>
    <x v="2"/>
    <n v="88"/>
    <n v="989"/>
    <x v="3"/>
    <n v="-88"/>
    <x v="0"/>
  </r>
  <r>
    <x v="33"/>
    <d v="2020-01-30T00:00:00"/>
    <x v="0"/>
    <n v="976"/>
    <n v="976"/>
    <x v="0"/>
    <n v="976"/>
    <x v="0"/>
  </r>
  <r>
    <x v="33"/>
    <d v="2020-02-01T00:00:00"/>
    <x v="1"/>
    <n v="396"/>
    <n v="580"/>
    <x v="2"/>
    <n v="-396"/>
    <x v="0"/>
  </r>
  <r>
    <x v="33"/>
    <d v="2020-02-13T00:00:00"/>
    <x v="2"/>
    <n v="510"/>
    <n v="70"/>
    <x v="2"/>
    <n v="-510"/>
    <x v="0"/>
  </r>
  <r>
    <x v="33"/>
    <d v="2020-02-26T00:00:00"/>
    <x v="2"/>
    <n v="417"/>
    <n v="-347"/>
    <x v="2"/>
    <n v="-417"/>
    <x v="1"/>
  </r>
  <r>
    <x v="33"/>
    <d v="2020-03-05T00:00:00"/>
    <x v="1"/>
    <n v="165"/>
    <n v="-512"/>
    <x v="1"/>
    <n v="-165"/>
    <x v="1"/>
  </r>
  <r>
    <x v="33"/>
    <d v="2020-03-06T00:00:00"/>
    <x v="0"/>
    <n v="327"/>
    <n v="-185"/>
    <x v="1"/>
    <n v="327"/>
    <x v="1"/>
  </r>
  <r>
    <x v="34"/>
    <d v="2020-01-17T00:00:00"/>
    <x v="0"/>
    <n v="936"/>
    <n v="936"/>
    <x v="0"/>
    <n v="936"/>
    <x v="0"/>
  </r>
  <r>
    <x v="34"/>
    <d v="2020-01-19T00:00:00"/>
    <x v="1"/>
    <n v="159"/>
    <n v="777"/>
    <x v="0"/>
    <n v="-159"/>
    <x v="0"/>
  </r>
  <r>
    <x v="34"/>
    <d v="2020-01-25T00:00:00"/>
    <x v="0"/>
    <n v="472"/>
    <n v="1249"/>
    <x v="0"/>
    <n v="472"/>
    <x v="0"/>
  </r>
  <r>
    <x v="34"/>
    <d v="2020-01-25T00:00:00"/>
    <x v="2"/>
    <n v="403"/>
    <n v="846"/>
    <x v="0"/>
    <n v="-403"/>
    <x v="0"/>
  </r>
  <r>
    <x v="34"/>
    <d v="2020-01-26T00:00:00"/>
    <x v="1"/>
    <n v="339"/>
    <n v="507"/>
    <x v="0"/>
    <n v="-339"/>
    <x v="0"/>
  </r>
  <r>
    <x v="34"/>
    <d v="2020-02-03T00:00:00"/>
    <x v="2"/>
    <n v="733"/>
    <n v="-226"/>
    <x v="2"/>
    <n v="-733"/>
    <x v="1"/>
  </r>
  <r>
    <x v="34"/>
    <d v="2020-02-06T00:00:00"/>
    <x v="1"/>
    <n v="595"/>
    <n v="-821"/>
    <x v="2"/>
    <n v="-595"/>
    <x v="1"/>
  </r>
  <r>
    <x v="34"/>
    <d v="2020-03-01T00:00:00"/>
    <x v="0"/>
    <n v="305"/>
    <n v="-516"/>
    <x v="1"/>
    <n v="305"/>
    <x v="1"/>
  </r>
  <r>
    <x v="34"/>
    <d v="2020-03-01T00:00:00"/>
    <x v="1"/>
    <n v="778"/>
    <n v="-1294"/>
    <x v="1"/>
    <n v="-778"/>
    <x v="1"/>
  </r>
  <r>
    <x v="34"/>
    <d v="2020-03-13T00:00:00"/>
    <x v="1"/>
    <n v="706"/>
    <n v="-2000"/>
    <x v="1"/>
    <n v="-706"/>
    <x v="1"/>
  </r>
  <r>
    <x v="34"/>
    <d v="2020-03-18T00:00:00"/>
    <x v="0"/>
    <n v="664"/>
    <n v="-1336"/>
    <x v="1"/>
    <n v="664"/>
    <x v="1"/>
  </r>
  <r>
    <x v="34"/>
    <d v="2020-03-20T00:00:00"/>
    <x v="0"/>
    <n v="500"/>
    <n v="-836"/>
    <x v="1"/>
    <n v="500"/>
    <x v="1"/>
  </r>
  <r>
    <x v="34"/>
    <d v="2020-03-30T00:00:00"/>
    <x v="1"/>
    <n v="327"/>
    <n v="-1163"/>
    <x v="1"/>
    <n v="-327"/>
    <x v="1"/>
  </r>
  <r>
    <x v="35"/>
    <d v="2020-01-30T00:00:00"/>
    <x v="0"/>
    <n v="149"/>
    <n v="149"/>
    <x v="0"/>
    <n v="149"/>
    <x v="0"/>
  </r>
  <r>
    <x v="35"/>
    <d v="2020-02-09T00:00:00"/>
    <x v="0"/>
    <n v="990"/>
    <n v="1139"/>
    <x v="2"/>
    <n v="990"/>
    <x v="0"/>
  </r>
  <r>
    <x v="35"/>
    <d v="2020-02-12T00:00:00"/>
    <x v="2"/>
    <n v="849"/>
    <n v="290"/>
    <x v="2"/>
    <n v="-849"/>
    <x v="0"/>
  </r>
  <r>
    <x v="35"/>
    <d v="2020-03-16T00:00:00"/>
    <x v="1"/>
    <n v="280"/>
    <n v="10"/>
    <x v="1"/>
    <n v="-280"/>
    <x v="0"/>
  </r>
  <r>
    <x v="35"/>
    <d v="2020-03-16T00:00:00"/>
    <x v="0"/>
    <n v="86"/>
    <n v="96"/>
    <x v="1"/>
    <n v="86"/>
    <x v="0"/>
  </r>
  <r>
    <x v="35"/>
    <d v="2020-03-19T00:00:00"/>
    <x v="0"/>
    <n v="421"/>
    <n v="517"/>
    <x v="1"/>
    <n v="421"/>
    <x v="0"/>
  </r>
  <r>
    <x v="35"/>
    <d v="2020-03-28T00:00:00"/>
    <x v="0"/>
    <n v="524"/>
    <n v="1041"/>
    <x v="1"/>
    <n v="524"/>
    <x v="0"/>
  </r>
  <r>
    <x v="35"/>
    <d v="2020-04-22T00:00:00"/>
    <x v="0"/>
    <n v="560"/>
    <n v="1601"/>
    <x v="3"/>
    <n v="560"/>
    <x v="0"/>
  </r>
  <r>
    <x v="35"/>
    <d v="2020-04-28T00:00:00"/>
    <x v="1"/>
    <n v="610"/>
    <n v="991"/>
    <x v="3"/>
    <n v="-610"/>
    <x v="0"/>
  </r>
  <r>
    <x v="35"/>
    <d v="2020-04-28T00:00:00"/>
    <x v="1"/>
    <n v="564"/>
    <n v="427"/>
    <x v="3"/>
    <n v="-564"/>
    <x v="0"/>
  </r>
  <r>
    <x v="36"/>
    <d v="2020-01-29T00:00:00"/>
    <x v="0"/>
    <n v="946"/>
    <n v="946"/>
    <x v="0"/>
    <n v="946"/>
    <x v="0"/>
  </r>
  <r>
    <x v="36"/>
    <d v="2020-01-30T00:00:00"/>
    <x v="1"/>
    <n v="861"/>
    <n v="85"/>
    <x v="0"/>
    <n v="-861"/>
    <x v="0"/>
  </r>
  <r>
    <x v="36"/>
    <d v="2020-02-03T00:00:00"/>
    <x v="1"/>
    <n v="331"/>
    <n v="-246"/>
    <x v="2"/>
    <n v="-331"/>
    <x v="1"/>
  </r>
  <r>
    <x v="36"/>
    <d v="2020-02-06T00:00:00"/>
    <x v="0"/>
    <n v="544"/>
    <n v="298"/>
    <x v="2"/>
    <n v="544"/>
    <x v="0"/>
  </r>
  <r>
    <x v="36"/>
    <d v="2020-02-08T00:00:00"/>
    <x v="1"/>
    <n v="922"/>
    <n v="-624"/>
    <x v="2"/>
    <n v="-922"/>
    <x v="1"/>
  </r>
  <r>
    <x v="36"/>
    <d v="2020-02-11T00:00:00"/>
    <x v="0"/>
    <n v="630"/>
    <n v="6"/>
    <x v="2"/>
    <n v="630"/>
    <x v="0"/>
  </r>
  <r>
    <x v="36"/>
    <d v="2020-02-15T00:00:00"/>
    <x v="0"/>
    <n v="356"/>
    <n v="362"/>
    <x v="2"/>
    <n v="356"/>
    <x v="0"/>
  </r>
  <r>
    <x v="36"/>
    <d v="2020-02-17T00:00:00"/>
    <x v="0"/>
    <n v="666"/>
    <n v="1028"/>
    <x v="2"/>
    <n v="666"/>
    <x v="0"/>
  </r>
  <r>
    <x v="36"/>
    <d v="2020-02-20T00:00:00"/>
    <x v="0"/>
    <n v="711"/>
    <n v="1739"/>
    <x v="2"/>
    <n v="711"/>
    <x v="0"/>
  </r>
  <r>
    <x v="36"/>
    <d v="2020-02-28T00:00:00"/>
    <x v="1"/>
    <n v="837"/>
    <n v="902"/>
    <x v="2"/>
    <n v="-837"/>
    <x v="0"/>
  </r>
  <r>
    <x v="36"/>
    <d v="2020-03-01T00:00:00"/>
    <x v="2"/>
    <n v="54"/>
    <n v="848"/>
    <x v="1"/>
    <n v="-54"/>
    <x v="0"/>
  </r>
  <r>
    <x v="36"/>
    <d v="2020-03-12T00:00:00"/>
    <x v="2"/>
    <n v="360"/>
    <n v="488"/>
    <x v="1"/>
    <n v="-360"/>
    <x v="0"/>
  </r>
  <r>
    <x v="36"/>
    <d v="2020-03-23T00:00:00"/>
    <x v="1"/>
    <n v="351"/>
    <n v="137"/>
    <x v="1"/>
    <n v="-351"/>
    <x v="0"/>
  </r>
  <r>
    <x v="36"/>
    <d v="2020-03-30T00:00:00"/>
    <x v="1"/>
    <n v="396"/>
    <n v="-259"/>
    <x v="1"/>
    <n v="-396"/>
    <x v="1"/>
  </r>
  <r>
    <x v="36"/>
    <d v="2020-03-30T00:00:00"/>
    <x v="2"/>
    <n v="810"/>
    <n v="-1069"/>
    <x v="1"/>
    <n v="-810"/>
    <x v="1"/>
  </r>
  <r>
    <x v="36"/>
    <d v="2020-04-12T00:00:00"/>
    <x v="1"/>
    <n v="80"/>
    <n v="-1149"/>
    <x v="3"/>
    <n v="-80"/>
    <x v="1"/>
  </r>
  <r>
    <x v="36"/>
    <d v="2020-04-14T00:00:00"/>
    <x v="0"/>
    <n v="371"/>
    <n v="-778"/>
    <x v="3"/>
    <n v="371"/>
    <x v="1"/>
  </r>
  <r>
    <x v="36"/>
    <d v="2020-04-14T00:00:00"/>
    <x v="2"/>
    <n v="812"/>
    <n v="-1590"/>
    <x v="3"/>
    <n v="-812"/>
    <x v="1"/>
  </r>
  <r>
    <x v="36"/>
    <d v="2020-04-17T00:00:00"/>
    <x v="0"/>
    <n v="190"/>
    <n v="-1400"/>
    <x v="3"/>
    <n v="190"/>
    <x v="1"/>
  </r>
  <r>
    <x v="36"/>
    <d v="2020-04-24T00:00:00"/>
    <x v="0"/>
    <n v="371"/>
    <n v="-1029"/>
    <x v="3"/>
    <n v="371"/>
    <x v="1"/>
  </r>
  <r>
    <x v="36"/>
    <d v="2020-04-25T00:00:00"/>
    <x v="0"/>
    <n v="730"/>
    <n v="-299"/>
    <x v="3"/>
    <n v="730"/>
    <x v="1"/>
  </r>
  <r>
    <x v="36"/>
    <d v="2020-04-26T00:00:00"/>
    <x v="1"/>
    <n v="660"/>
    <n v="-959"/>
    <x v="3"/>
    <n v="-660"/>
    <x v="1"/>
  </r>
  <r>
    <x v="37"/>
    <d v="2020-01-21T00:00:00"/>
    <x v="1"/>
    <n v="28"/>
    <n v="-28"/>
    <x v="0"/>
    <n v="-28"/>
    <x v="1"/>
  </r>
  <r>
    <x v="37"/>
    <d v="2020-01-21T00:00:00"/>
    <x v="0"/>
    <n v="367"/>
    <n v="339"/>
    <x v="0"/>
    <n v="367"/>
    <x v="0"/>
  </r>
  <r>
    <x v="37"/>
    <d v="2020-01-27T00:00:00"/>
    <x v="1"/>
    <n v="700"/>
    <n v="-361"/>
    <x v="0"/>
    <n v="-700"/>
    <x v="1"/>
  </r>
  <r>
    <x v="37"/>
    <d v="2020-01-30T00:00:00"/>
    <x v="0"/>
    <n v="728"/>
    <n v="367"/>
    <x v="0"/>
    <n v="728"/>
    <x v="0"/>
  </r>
  <r>
    <x v="37"/>
    <d v="2020-02-11T00:00:00"/>
    <x v="0"/>
    <n v="475"/>
    <n v="842"/>
    <x v="2"/>
    <n v="475"/>
    <x v="0"/>
  </r>
  <r>
    <x v="37"/>
    <d v="2020-02-14T00:00:00"/>
    <x v="1"/>
    <n v="894"/>
    <n v="-52"/>
    <x v="2"/>
    <n v="-894"/>
    <x v="1"/>
  </r>
  <r>
    <x v="37"/>
    <d v="2020-02-14T00:00:00"/>
    <x v="0"/>
    <n v="83"/>
    <n v="31"/>
    <x v="2"/>
    <n v="83"/>
    <x v="0"/>
  </r>
  <r>
    <x v="37"/>
    <d v="2020-02-21T00:00:00"/>
    <x v="1"/>
    <n v="496"/>
    <n v="-465"/>
    <x v="2"/>
    <n v="-496"/>
    <x v="1"/>
  </r>
  <r>
    <x v="37"/>
    <d v="2020-03-04T00:00:00"/>
    <x v="1"/>
    <n v="788"/>
    <n v="-1253"/>
    <x v="1"/>
    <n v="-788"/>
    <x v="1"/>
  </r>
  <r>
    <x v="37"/>
    <d v="2020-03-07T00:00:00"/>
    <x v="1"/>
    <n v="42"/>
    <n v="-1295"/>
    <x v="1"/>
    <n v="-42"/>
    <x v="1"/>
  </r>
  <r>
    <x v="37"/>
    <d v="2020-03-16T00:00:00"/>
    <x v="0"/>
    <n v="410"/>
    <n v="-885"/>
    <x v="1"/>
    <n v="410"/>
    <x v="1"/>
  </r>
  <r>
    <x v="37"/>
    <d v="2020-03-18T00:00:00"/>
    <x v="0"/>
    <n v="354"/>
    <n v="-531"/>
    <x v="1"/>
    <n v="354"/>
    <x v="1"/>
  </r>
  <r>
    <x v="37"/>
    <d v="2020-03-18T00:00:00"/>
    <x v="1"/>
    <n v="128"/>
    <n v="-659"/>
    <x v="1"/>
    <n v="-128"/>
    <x v="1"/>
  </r>
  <r>
    <x v="37"/>
    <d v="2020-03-22T00:00:00"/>
    <x v="0"/>
    <n v="724"/>
    <n v="65"/>
    <x v="1"/>
    <n v="724"/>
    <x v="0"/>
  </r>
  <r>
    <x v="37"/>
    <d v="2020-03-25T00:00:00"/>
    <x v="1"/>
    <n v="628"/>
    <n v="-563"/>
    <x v="1"/>
    <n v="-628"/>
    <x v="1"/>
  </r>
  <r>
    <x v="37"/>
    <d v="2020-03-26T00:00:00"/>
    <x v="1"/>
    <n v="235"/>
    <n v="-798"/>
    <x v="1"/>
    <n v="-235"/>
    <x v="1"/>
  </r>
  <r>
    <x v="37"/>
    <d v="2020-04-07T00:00:00"/>
    <x v="0"/>
    <n v="759"/>
    <n v="-39"/>
    <x v="3"/>
    <n v="759"/>
    <x v="1"/>
  </r>
  <r>
    <x v="37"/>
    <d v="2020-04-11T00:00:00"/>
    <x v="0"/>
    <n v="152"/>
    <n v="113"/>
    <x v="3"/>
    <n v="152"/>
    <x v="0"/>
  </r>
  <r>
    <x v="37"/>
    <d v="2020-04-19T00:00:00"/>
    <x v="2"/>
    <n v="409"/>
    <n v="-296"/>
    <x v="3"/>
    <n v="-409"/>
    <x v="1"/>
  </r>
  <r>
    <x v="37"/>
    <d v="2020-04-19T00:00:00"/>
    <x v="1"/>
    <n v="950"/>
    <n v="-1246"/>
    <x v="3"/>
    <n v="-950"/>
    <x v="1"/>
  </r>
  <r>
    <x v="38"/>
    <d v="2020-01-22T00:00:00"/>
    <x v="0"/>
    <n v="996"/>
    <n v="996"/>
    <x v="0"/>
    <n v="996"/>
    <x v="0"/>
  </r>
  <r>
    <x v="38"/>
    <d v="2020-01-22T00:00:00"/>
    <x v="0"/>
    <n v="433"/>
    <n v="1429"/>
    <x v="0"/>
    <n v="433"/>
    <x v="0"/>
  </r>
  <r>
    <x v="38"/>
    <d v="2020-02-01T00:00:00"/>
    <x v="0"/>
    <n v="608"/>
    <n v="2037"/>
    <x v="2"/>
    <n v="608"/>
    <x v="0"/>
  </r>
  <r>
    <x v="38"/>
    <d v="2020-02-10T00:00:00"/>
    <x v="0"/>
    <n v="73"/>
    <n v="2110"/>
    <x v="2"/>
    <n v="73"/>
    <x v="0"/>
  </r>
  <r>
    <x v="38"/>
    <d v="2020-02-15T00:00:00"/>
    <x v="0"/>
    <n v="792"/>
    <n v="2902"/>
    <x v="2"/>
    <n v="792"/>
    <x v="0"/>
  </r>
  <r>
    <x v="38"/>
    <d v="2020-02-19T00:00:00"/>
    <x v="2"/>
    <n v="281"/>
    <n v="2621"/>
    <x v="2"/>
    <n v="-281"/>
    <x v="0"/>
  </r>
  <r>
    <x v="38"/>
    <d v="2020-02-27T00:00:00"/>
    <x v="1"/>
    <n v="233"/>
    <n v="2388"/>
    <x v="2"/>
    <n v="-233"/>
    <x v="0"/>
  </r>
  <r>
    <x v="38"/>
    <d v="2020-03-04T00:00:00"/>
    <x v="0"/>
    <n v="536"/>
    <n v="2924"/>
    <x v="1"/>
    <n v="536"/>
    <x v="0"/>
  </r>
  <r>
    <x v="38"/>
    <d v="2020-03-25T00:00:00"/>
    <x v="2"/>
    <n v="409"/>
    <n v="2515"/>
    <x v="1"/>
    <n v="-409"/>
    <x v="0"/>
  </r>
  <r>
    <x v="38"/>
    <d v="2020-03-27T00:00:00"/>
    <x v="2"/>
    <n v="55"/>
    <n v="2460"/>
    <x v="1"/>
    <n v="-55"/>
    <x v="0"/>
  </r>
  <r>
    <x v="38"/>
    <d v="2020-04-01T00:00:00"/>
    <x v="1"/>
    <n v="375"/>
    <n v="2085"/>
    <x v="3"/>
    <n v="-375"/>
    <x v="0"/>
  </r>
  <r>
    <x v="38"/>
    <d v="2020-04-04T00:00:00"/>
    <x v="1"/>
    <n v="28"/>
    <n v="2057"/>
    <x v="3"/>
    <n v="-28"/>
    <x v="0"/>
  </r>
  <r>
    <x v="38"/>
    <d v="2020-04-08T00:00:00"/>
    <x v="2"/>
    <n v="240"/>
    <n v="1817"/>
    <x v="3"/>
    <n v="-240"/>
    <x v="0"/>
  </r>
  <r>
    <x v="38"/>
    <d v="2020-04-09T00:00:00"/>
    <x v="0"/>
    <n v="939"/>
    <n v="2756"/>
    <x v="3"/>
    <n v="939"/>
    <x v="0"/>
  </r>
  <r>
    <x v="38"/>
    <d v="2020-04-09T00:00:00"/>
    <x v="2"/>
    <n v="529"/>
    <n v="2227"/>
    <x v="3"/>
    <n v="-529"/>
    <x v="0"/>
  </r>
  <r>
    <x v="38"/>
    <d v="2020-04-13T00:00:00"/>
    <x v="2"/>
    <n v="644"/>
    <n v="1583"/>
    <x v="3"/>
    <n v="-644"/>
    <x v="0"/>
  </r>
  <r>
    <x v="38"/>
    <d v="2020-04-17T00:00:00"/>
    <x v="0"/>
    <n v="933"/>
    <n v="2516"/>
    <x v="3"/>
    <n v="933"/>
    <x v="0"/>
  </r>
  <r>
    <x v="39"/>
    <d v="2020-01-21T00:00:00"/>
    <x v="0"/>
    <n v="857"/>
    <n v="857"/>
    <x v="0"/>
    <n v="857"/>
    <x v="0"/>
  </r>
  <r>
    <x v="39"/>
    <d v="2020-01-26T00:00:00"/>
    <x v="2"/>
    <n v="510"/>
    <n v="347"/>
    <x v="0"/>
    <n v="-510"/>
    <x v="0"/>
  </r>
  <r>
    <x v="39"/>
    <d v="2020-02-11T00:00:00"/>
    <x v="0"/>
    <n v="914"/>
    <n v="1261"/>
    <x v="2"/>
    <n v="914"/>
    <x v="0"/>
  </r>
  <r>
    <x v="39"/>
    <d v="2020-02-13T00:00:00"/>
    <x v="2"/>
    <n v="630"/>
    <n v="631"/>
    <x v="2"/>
    <n v="-630"/>
    <x v="0"/>
  </r>
  <r>
    <x v="39"/>
    <d v="2020-02-16T00:00:00"/>
    <x v="1"/>
    <n v="737"/>
    <n v="-106"/>
    <x v="2"/>
    <n v="-737"/>
    <x v="1"/>
  </r>
  <r>
    <x v="39"/>
    <d v="2020-02-20T00:00:00"/>
    <x v="0"/>
    <n v="401"/>
    <n v="295"/>
    <x v="2"/>
    <n v="401"/>
    <x v="0"/>
  </r>
  <r>
    <x v="39"/>
    <d v="2020-03-05T00:00:00"/>
    <x v="0"/>
    <n v="934"/>
    <n v="1229"/>
    <x v="1"/>
    <n v="934"/>
    <x v="0"/>
  </r>
  <r>
    <x v="39"/>
    <d v="2020-03-11T00:00:00"/>
    <x v="1"/>
    <n v="275"/>
    <n v="954"/>
    <x v="1"/>
    <n v="-275"/>
    <x v="0"/>
  </r>
  <r>
    <x v="39"/>
    <d v="2020-03-20T00:00:00"/>
    <x v="1"/>
    <n v="712"/>
    <n v="242"/>
    <x v="1"/>
    <n v="-712"/>
    <x v="0"/>
  </r>
  <r>
    <x v="39"/>
    <d v="2020-03-25T00:00:00"/>
    <x v="0"/>
    <n v="417"/>
    <n v="659"/>
    <x v="1"/>
    <n v="417"/>
    <x v="0"/>
  </r>
  <r>
    <x v="39"/>
    <d v="2020-04-03T00:00:00"/>
    <x v="2"/>
    <n v="867"/>
    <n v="-208"/>
    <x v="3"/>
    <n v="-867"/>
    <x v="1"/>
  </r>
  <r>
    <x v="40"/>
    <d v="2020-01-30T00:00:00"/>
    <x v="0"/>
    <n v="790"/>
    <n v="790"/>
    <x v="0"/>
    <n v="790"/>
    <x v="0"/>
  </r>
  <r>
    <x v="40"/>
    <d v="2020-01-31T00:00:00"/>
    <x v="2"/>
    <n v="836"/>
    <n v="-46"/>
    <x v="0"/>
    <n v="-836"/>
    <x v="1"/>
  </r>
  <r>
    <x v="40"/>
    <d v="2020-02-02T00:00:00"/>
    <x v="0"/>
    <n v="443"/>
    <n v="397"/>
    <x v="2"/>
    <n v="443"/>
    <x v="0"/>
  </r>
  <r>
    <x v="40"/>
    <d v="2020-02-06T00:00:00"/>
    <x v="0"/>
    <n v="84"/>
    <n v="481"/>
    <x v="2"/>
    <n v="84"/>
    <x v="0"/>
  </r>
  <r>
    <x v="40"/>
    <d v="2020-02-23T00:00:00"/>
    <x v="0"/>
    <n v="898"/>
    <n v="1379"/>
    <x v="2"/>
    <n v="898"/>
    <x v="0"/>
  </r>
  <r>
    <x v="40"/>
    <d v="2020-03-05T00:00:00"/>
    <x v="0"/>
    <n v="914"/>
    <n v="2293"/>
    <x v="1"/>
    <n v="914"/>
    <x v="0"/>
  </r>
  <r>
    <x v="40"/>
    <d v="2020-03-12T00:00:00"/>
    <x v="1"/>
    <n v="293"/>
    <n v="2000"/>
    <x v="1"/>
    <n v="-293"/>
    <x v="0"/>
  </r>
  <r>
    <x v="40"/>
    <d v="2020-03-12T00:00:00"/>
    <x v="0"/>
    <n v="151"/>
    <n v="2151"/>
    <x v="1"/>
    <n v="151"/>
    <x v="0"/>
  </r>
  <r>
    <x v="40"/>
    <d v="2020-03-15T00:00:00"/>
    <x v="1"/>
    <n v="397"/>
    <n v="1754"/>
    <x v="1"/>
    <n v="-397"/>
    <x v="0"/>
  </r>
  <r>
    <x v="40"/>
    <d v="2020-03-22T00:00:00"/>
    <x v="0"/>
    <n v="232"/>
    <n v="1986"/>
    <x v="1"/>
    <n v="232"/>
    <x v="0"/>
  </r>
  <r>
    <x v="40"/>
    <d v="2020-03-23T00:00:00"/>
    <x v="0"/>
    <n v="582"/>
    <n v="2568"/>
    <x v="1"/>
    <n v="582"/>
    <x v="0"/>
  </r>
  <r>
    <x v="40"/>
    <d v="2020-03-25T00:00:00"/>
    <x v="0"/>
    <n v="872"/>
    <n v="3440"/>
    <x v="1"/>
    <n v="872"/>
    <x v="0"/>
  </r>
  <r>
    <x v="40"/>
    <d v="2020-03-26T00:00:00"/>
    <x v="0"/>
    <n v="65"/>
    <n v="3505"/>
    <x v="1"/>
    <n v="65"/>
    <x v="0"/>
  </r>
  <r>
    <x v="40"/>
    <d v="2020-03-26T00:00:00"/>
    <x v="1"/>
    <n v="617"/>
    <n v="2888"/>
    <x v="1"/>
    <n v="-617"/>
    <x v="0"/>
  </r>
  <r>
    <x v="40"/>
    <d v="2020-03-27T00:00:00"/>
    <x v="0"/>
    <n v="689"/>
    <n v="3577"/>
    <x v="1"/>
    <n v="689"/>
    <x v="0"/>
  </r>
  <r>
    <x v="40"/>
    <d v="2020-03-30T00:00:00"/>
    <x v="1"/>
    <n v="136"/>
    <n v="3441"/>
    <x v="1"/>
    <n v="-136"/>
    <x v="0"/>
  </r>
  <r>
    <x v="40"/>
    <d v="2020-04-04T00:00:00"/>
    <x v="2"/>
    <n v="177"/>
    <n v="3264"/>
    <x v="3"/>
    <n v="-177"/>
    <x v="0"/>
  </r>
  <r>
    <x v="40"/>
    <d v="2020-04-25T00:00:00"/>
    <x v="2"/>
    <n v="739"/>
    <n v="2525"/>
    <x v="3"/>
    <n v="-739"/>
    <x v="0"/>
  </r>
  <r>
    <x v="41"/>
    <d v="2020-01-11T00:00:00"/>
    <x v="0"/>
    <n v="154"/>
    <n v="154"/>
    <x v="0"/>
    <n v="154"/>
    <x v="0"/>
  </r>
  <r>
    <x v="41"/>
    <d v="2020-01-21T00:00:00"/>
    <x v="0"/>
    <n v="989"/>
    <n v="1143"/>
    <x v="0"/>
    <n v="989"/>
    <x v="0"/>
  </r>
  <r>
    <x v="41"/>
    <d v="2020-01-28T00:00:00"/>
    <x v="2"/>
    <n v="696"/>
    <n v="447"/>
    <x v="0"/>
    <n v="-696"/>
    <x v="0"/>
  </r>
  <r>
    <x v="41"/>
    <d v="2020-02-04T00:00:00"/>
    <x v="1"/>
    <n v="457"/>
    <n v="-10"/>
    <x v="2"/>
    <n v="-457"/>
    <x v="1"/>
  </r>
  <r>
    <x v="41"/>
    <d v="2020-02-09T00:00:00"/>
    <x v="0"/>
    <n v="9"/>
    <n v="-1"/>
    <x v="2"/>
    <n v="9"/>
    <x v="1"/>
  </r>
  <r>
    <x v="41"/>
    <d v="2020-02-14T00:00:00"/>
    <x v="0"/>
    <n v="900"/>
    <n v="899"/>
    <x v="2"/>
    <n v="900"/>
    <x v="0"/>
  </r>
  <r>
    <x v="41"/>
    <d v="2020-02-24T00:00:00"/>
    <x v="1"/>
    <n v="897"/>
    <n v="2"/>
    <x v="2"/>
    <n v="-897"/>
    <x v="0"/>
  </r>
  <r>
    <x v="41"/>
    <d v="2020-02-25T00:00:00"/>
    <x v="0"/>
    <n v="210"/>
    <n v="212"/>
    <x v="2"/>
    <n v="210"/>
    <x v="0"/>
  </r>
  <r>
    <x v="41"/>
    <d v="2020-02-29T00:00:00"/>
    <x v="0"/>
    <n v="855"/>
    <n v="1067"/>
    <x v="2"/>
    <n v="855"/>
    <x v="0"/>
  </r>
  <r>
    <x v="41"/>
    <d v="2020-03-02T00:00:00"/>
    <x v="1"/>
    <n v="675"/>
    <n v="392"/>
    <x v="1"/>
    <n v="-675"/>
    <x v="0"/>
  </r>
  <r>
    <x v="41"/>
    <d v="2020-03-03T00:00:00"/>
    <x v="2"/>
    <n v="163"/>
    <n v="229"/>
    <x v="1"/>
    <n v="-163"/>
    <x v="0"/>
  </r>
  <r>
    <x v="41"/>
    <d v="2020-03-14T00:00:00"/>
    <x v="1"/>
    <n v="662"/>
    <n v="-433"/>
    <x v="1"/>
    <n v="-662"/>
    <x v="1"/>
  </r>
  <r>
    <x v="41"/>
    <d v="2020-03-30T00:00:00"/>
    <x v="1"/>
    <n v="454"/>
    <n v="-887"/>
    <x v="1"/>
    <n v="-454"/>
    <x v="1"/>
  </r>
  <r>
    <x v="41"/>
    <d v="2020-04-09T00:00:00"/>
    <x v="2"/>
    <n v="999"/>
    <n v="-1886"/>
    <x v="3"/>
    <n v="-999"/>
    <x v="1"/>
  </r>
  <r>
    <x v="42"/>
    <d v="2020-01-28T00:00:00"/>
    <x v="0"/>
    <n v="318"/>
    <n v="318"/>
    <x v="0"/>
    <n v="318"/>
    <x v="0"/>
  </r>
  <r>
    <x v="42"/>
    <d v="2020-01-31T00:00:00"/>
    <x v="2"/>
    <n v="519"/>
    <n v="-201"/>
    <x v="0"/>
    <n v="-519"/>
    <x v="1"/>
  </r>
  <r>
    <x v="42"/>
    <d v="2020-02-09T00:00:00"/>
    <x v="0"/>
    <n v="875"/>
    <n v="674"/>
    <x v="2"/>
    <n v="875"/>
    <x v="0"/>
  </r>
  <r>
    <x v="42"/>
    <d v="2020-02-14T00:00:00"/>
    <x v="2"/>
    <n v="96"/>
    <n v="578"/>
    <x v="2"/>
    <n v="-96"/>
    <x v="0"/>
  </r>
  <r>
    <x v="42"/>
    <d v="2020-02-20T00:00:00"/>
    <x v="1"/>
    <n v="314"/>
    <n v="264"/>
    <x v="2"/>
    <n v="-314"/>
    <x v="0"/>
  </r>
  <r>
    <x v="42"/>
    <d v="2020-02-23T00:00:00"/>
    <x v="1"/>
    <n v="670"/>
    <n v="-406"/>
    <x v="2"/>
    <n v="-670"/>
    <x v="1"/>
  </r>
  <r>
    <x v="42"/>
    <d v="2020-03-08T00:00:00"/>
    <x v="0"/>
    <n v="971"/>
    <n v="565"/>
    <x v="1"/>
    <n v="971"/>
    <x v="0"/>
  </r>
  <r>
    <x v="42"/>
    <d v="2020-03-18T00:00:00"/>
    <x v="2"/>
    <n v="412"/>
    <n v="153"/>
    <x v="1"/>
    <n v="-412"/>
    <x v="0"/>
  </r>
  <r>
    <x v="42"/>
    <d v="2020-03-27T00:00:00"/>
    <x v="0"/>
    <n v="716"/>
    <n v="869"/>
    <x v="1"/>
    <n v="716"/>
    <x v="0"/>
  </r>
  <r>
    <x v="42"/>
    <d v="2020-04-07T00:00:00"/>
    <x v="1"/>
    <n v="842"/>
    <n v="27"/>
    <x v="3"/>
    <n v="-842"/>
    <x v="0"/>
  </r>
  <r>
    <x v="42"/>
    <d v="2020-04-24T00:00:00"/>
    <x v="0"/>
    <n v="518"/>
    <n v="545"/>
    <x v="3"/>
    <n v="518"/>
    <x v="0"/>
  </r>
  <r>
    <x v="43"/>
    <d v="2020-01-19T00:00:00"/>
    <x v="0"/>
    <n v="71"/>
    <n v="71"/>
    <x v="0"/>
    <n v="71"/>
    <x v="0"/>
  </r>
  <r>
    <x v="43"/>
    <d v="2020-01-20T00:00:00"/>
    <x v="2"/>
    <n v="761"/>
    <n v="-690"/>
    <x v="0"/>
    <n v="-761"/>
    <x v="1"/>
  </r>
  <r>
    <x v="43"/>
    <d v="2020-02-12T00:00:00"/>
    <x v="0"/>
    <n v="671"/>
    <n v="-19"/>
    <x v="2"/>
    <n v="671"/>
    <x v="1"/>
  </r>
  <r>
    <x v="43"/>
    <d v="2020-04-08T00:00:00"/>
    <x v="1"/>
    <n v="320"/>
    <n v="-339"/>
    <x v="3"/>
    <n v="-320"/>
    <x v="1"/>
  </r>
  <r>
    <x v="44"/>
    <d v="2020-01-14T00:00:00"/>
    <x v="0"/>
    <n v="650"/>
    <n v="650"/>
    <x v="0"/>
    <n v="650"/>
    <x v="0"/>
  </r>
  <r>
    <x v="44"/>
    <d v="2020-01-15T00:00:00"/>
    <x v="0"/>
    <n v="392"/>
    <n v="1042"/>
    <x v="0"/>
    <n v="392"/>
    <x v="0"/>
  </r>
  <r>
    <x v="44"/>
    <d v="2020-01-16T00:00:00"/>
    <x v="1"/>
    <n v="296"/>
    <n v="746"/>
    <x v="0"/>
    <n v="-296"/>
    <x v="0"/>
  </r>
  <r>
    <x v="44"/>
    <d v="2020-01-17T00:00:00"/>
    <x v="0"/>
    <n v="915"/>
    <n v="1661"/>
    <x v="0"/>
    <n v="915"/>
    <x v="0"/>
  </r>
  <r>
    <x v="44"/>
    <d v="2020-01-18T00:00:00"/>
    <x v="1"/>
    <n v="281"/>
    <n v="1380"/>
    <x v="0"/>
    <n v="-281"/>
    <x v="0"/>
  </r>
  <r>
    <x v="44"/>
    <d v="2020-01-24T00:00:00"/>
    <x v="2"/>
    <n v="656"/>
    <n v="724"/>
    <x v="0"/>
    <n v="-656"/>
    <x v="0"/>
  </r>
  <r>
    <x v="44"/>
    <d v="2020-01-25T00:00:00"/>
    <x v="0"/>
    <n v="997"/>
    <n v="1721"/>
    <x v="0"/>
    <n v="997"/>
    <x v="0"/>
  </r>
  <r>
    <x v="44"/>
    <d v="2020-01-27T00:00:00"/>
    <x v="1"/>
    <n v="465"/>
    <n v="1256"/>
    <x v="0"/>
    <n v="-465"/>
    <x v="0"/>
  </r>
  <r>
    <x v="44"/>
    <d v="2020-01-30T00:00:00"/>
    <x v="1"/>
    <n v="316"/>
    <n v="940"/>
    <x v="0"/>
    <n v="-316"/>
    <x v="0"/>
  </r>
  <r>
    <x v="44"/>
    <d v="2020-02-03T00:00:00"/>
    <x v="2"/>
    <n v="760"/>
    <n v="180"/>
    <x v="2"/>
    <n v="-760"/>
    <x v="0"/>
  </r>
  <r>
    <x v="44"/>
    <d v="2020-02-13T00:00:00"/>
    <x v="2"/>
    <n v="11"/>
    <n v="169"/>
    <x v="2"/>
    <n v="-11"/>
    <x v="0"/>
  </r>
  <r>
    <x v="44"/>
    <d v="2020-02-15T00:00:00"/>
    <x v="2"/>
    <n v="10"/>
    <n v="159"/>
    <x v="2"/>
    <n v="-10"/>
    <x v="0"/>
  </r>
  <r>
    <x v="44"/>
    <d v="2020-02-18T00:00:00"/>
    <x v="2"/>
    <n v="983"/>
    <n v="-824"/>
    <x v="2"/>
    <n v="-983"/>
    <x v="1"/>
  </r>
  <r>
    <x v="44"/>
    <d v="2020-02-28T00:00:00"/>
    <x v="1"/>
    <n v="328"/>
    <n v="-1152"/>
    <x v="2"/>
    <n v="-328"/>
    <x v="1"/>
  </r>
  <r>
    <x v="44"/>
    <d v="2020-03-05T00:00:00"/>
    <x v="0"/>
    <n v="357"/>
    <n v="-795"/>
    <x v="1"/>
    <n v="357"/>
    <x v="1"/>
  </r>
  <r>
    <x v="44"/>
    <d v="2020-03-09T00:00:00"/>
    <x v="0"/>
    <n v="609"/>
    <n v="-186"/>
    <x v="1"/>
    <n v="609"/>
    <x v="1"/>
  </r>
  <r>
    <x v="44"/>
    <d v="2020-03-29T00:00:00"/>
    <x v="0"/>
    <n v="434"/>
    <n v="248"/>
    <x v="1"/>
    <n v="434"/>
    <x v="0"/>
  </r>
  <r>
    <x v="44"/>
    <d v="2020-03-31T00:00:00"/>
    <x v="0"/>
    <n v="336"/>
    <n v="584"/>
    <x v="1"/>
    <n v="336"/>
    <x v="0"/>
  </r>
  <r>
    <x v="45"/>
    <d v="2020-01-23T00:00:00"/>
    <x v="0"/>
    <n v="356"/>
    <n v="356"/>
    <x v="0"/>
    <n v="356"/>
    <x v="0"/>
  </r>
  <r>
    <x v="45"/>
    <d v="2020-01-24T00:00:00"/>
    <x v="1"/>
    <n v="495"/>
    <n v="-139"/>
    <x v="0"/>
    <n v="-495"/>
    <x v="1"/>
  </r>
  <r>
    <x v="45"/>
    <d v="2020-01-31T00:00:00"/>
    <x v="0"/>
    <n v="661"/>
    <n v="522"/>
    <x v="0"/>
    <n v="661"/>
    <x v="0"/>
  </r>
  <r>
    <x v="45"/>
    <d v="2020-02-15T00:00:00"/>
    <x v="1"/>
    <n v="104"/>
    <n v="418"/>
    <x v="2"/>
    <n v="-104"/>
    <x v="0"/>
  </r>
  <r>
    <x v="45"/>
    <d v="2020-02-16T00:00:00"/>
    <x v="0"/>
    <n v="970"/>
    <n v="1388"/>
    <x v="2"/>
    <n v="970"/>
    <x v="0"/>
  </r>
  <r>
    <x v="45"/>
    <d v="2020-03-03T00:00:00"/>
    <x v="0"/>
    <n v="101"/>
    <n v="1489"/>
    <x v="1"/>
    <n v="101"/>
    <x v="0"/>
  </r>
  <r>
    <x v="45"/>
    <d v="2020-03-04T00:00:00"/>
    <x v="1"/>
    <n v="294"/>
    <n v="1195"/>
    <x v="1"/>
    <n v="-294"/>
    <x v="0"/>
  </r>
  <r>
    <x v="45"/>
    <d v="2020-03-14T00:00:00"/>
    <x v="1"/>
    <n v="574"/>
    <n v="621"/>
    <x v="1"/>
    <n v="-574"/>
    <x v="0"/>
  </r>
  <r>
    <x v="45"/>
    <d v="2020-03-23T00:00:00"/>
    <x v="2"/>
    <n v="541"/>
    <n v="80"/>
    <x v="1"/>
    <n v="-541"/>
    <x v="0"/>
  </r>
  <r>
    <x v="45"/>
    <d v="2020-04-01T00:00:00"/>
    <x v="1"/>
    <n v="885"/>
    <n v="-805"/>
    <x v="3"/>
    <n v="-885"/>
    <x v="1"/>
  </r>
  <r>
    <x v="45"/>
    <d v="2020-04-03T00:00:00"/>
    <x v="0"/>
    <n v="631"/>
    <n v="-174"/>
    <x v="3"/>
    <n v="631"/>
    <x v="1"/>
  </r>
  <r>
    <x v="45"/>
    <d v="2020-04-14T00:00:00"/>
    <x v="1"/>
    <n v="152"/>
    <n v="-326"/>
    <x v="3"/>
    <n v="-152"/>
    <x v="1"/>
  </r>
  <r>
    <x v="45"/>
    <d v="2020-04-20T00:00:00"/>
    <x v="0"/>
    <n v="430"/>
    <n v="104"/>
    <x v="3"/>
    <n v="430"/>
    <x v="0"/>
  </r>
  <r>
    <x v="46"/>
    <d v="2020-01-22T00:00:00"/>
    <x v="0"/>
    <n v="203"/>
    <n v="203"/>
    <x v="0"/>
    <n v="203"/>
    <x v="0"/>
  </r>
  <r>
    <x v="46"/>
    <d v="2020-01-22T00:00:00"/>
    <x v="1"/>
    <n v="447"/>
    <n v="-244"/>
    <x v="0"/>
    <n v="-447"/>
    <x v="1"/>
  </r>
  <r>
    <x v="46"/>
    <d v="2020-01-26T00:00:00"/>
    <x v="2"/>
    <n v="554"/>
    <n v="-798"/>
    <x v="0"/>
    <n v="-554"/>
    <x v="1"/>
  </r>
  <r>
    <x v="46"/>
    <d v="2020-01-31T00:00:00"/>
    <x v="2"/>
    <n v="822"/>
    <n v="-1620"/>
    <x v="0"/>
    <n v="-822"/>
    <x v="1"/>
  </r>
  <r>
    <x v="46"/>
    <d v="2020-01-31T00:00:00"/>
    <x v="0"/>
    <n v="467"/>
    <n v="-1153"/>
    <x v="0"/>
    <n v="467"/>
    <x v="1"/>
  </r>
  <r>
    <x v="46"/>
    <d v="2020-02-03T00:00:00"/>
    <x v="1"/>
    <n v="35"/>
    <n v="-1188"/>
    <x v="2"/>
    <n v="-35"/>
    <x v="1"/>
  </r>
  <r>
    <x v="46"/>
    <d v="2020-02-04T00:00:00"/>
    <x v="2"/>
    <n v="647"/>
    <n v="-1835"/>
    <x v="2"/>
    <n v="-647"/>
    <x v="1"/>
  </r>
  <r>
    <x v="46"/>
    <d v="2020-02-12T00:00:00"/>
    <x v="0"/>
    <n v="496"/>
    <n v="-1339"/>
    <x v="2"/>
    <n v="496"/>
    <x v="1"/>
  </r>
  <r>
    <x v="46"/>
    <d v="2020-02-14T00:00:00"/>
    <x v="0"/>
    <n v="307"/>
    <n v="-1032"/>
    <x v="2"/>
    <n v="307"/>
    <x v="1"/>
  </r>
  <r>
    <x v="46"/>
    <d v="2020-02-14T00:00:00"/>
    <x v="1"/>
    <n v="532"/>
    <n v="-1564"/>
    <x v="2"/>
    <n v="-532"/>
    <x v="1"/>
  </r>
  <r>
    <x v="46"/>
    <d v="2020-02-26T00:00:00"/>
    <x v="0"/>
    <n v="281"/>
    <n v="-1283"/>
    <x v="2"/>
    <n v="281"/>
    <x v="1"/>
  </r>
  <r>
    <x v="46"/>
    <d v="2020-03-05T00:00:00"/>
    <x v="1"/>
    <n v="466"/>
    <n v="-1749"/>
    <x v="1"/>
    <n v="-466"/>
    <x v="1"/>
  </r>
  <r>
    <x v="46"/>
    <d v="2020-03-15T00:00:00"/>
    <x v="2"/>
    <n v="707"/>
    <n v="-2456"/>
    <x v="1"/>
    <n v="-707"/>
    <x v="1"/>
  </r>
  <r>
    <x v="46"/>
    <d v="2020-03-26T00:00:00"/>
    <x v="2"/>
    <n v="275"/>
    <n v="-2731"/>
    <x v="1"/>
    <n v="-275"/>
    <x v="1"/>
  </r>
  <r>
    <x v="46"/>
    <d v="2020-03-28T00:00:00"/>
    <x v="0"/>
    <n v="867"/>
    <n v="-1864"/>
    <x v="1"/>
    <n v="867"/>
    <x v="1"/>
  </r>
  <r>
    <x v="46"/>
    <d v="2020-03-31T00:00:00"/>
    <x v="2"/>
    <n v="998"/>
    <n v="-2862"/>
    <x v="1"/>
    <n v="-998"/>
    <x v="1"/>
  </r>
  <r>
    <x v="46"/>
    <d v="2020-04-08T00:00:00"/>
    <x v="1"/>
    <n v="307"/>
    <n v="-3169"/>
    <x v="3"/>
    <n v="-307"/>
    <x v="1"/>
  </r>
  <r>
    <x v="47"/>
    <d v="2020-01-01T00:00:00"/>
    <x v="0"/>
    <n v="427"/>
    <n v="427"/>
    <x v="0"/>
    <n v="427"/>
    <x v="0"/>
  </r>
  <r>
    <x v="47"/>
    <d v="2020-01-09T00:00:00"/>
    <x v="2"/>
    <n v="784"/>
    <n v="-357"/>
    <x v="0"/>
    <n v="-784"/>
    <x v="1"/>
  </r>
  <r>
    <x v="47"/>
    <d v="2020-01-14T00:00:00"/>
    <x v="1"/>
    <n v="144"/>
    <n v="-501"/>
    <x v="0"/>
    <n v="-144"/>
    <x v="1"/>
  </r>
  <r>
    <x v="47"/>
    <d v="2020-01-14T00:00:00"/>
    <x v="1"/>
    <n v="534"/>
    <n v="-1035"/>
    <x v="0"/>
    <n v="-534"/>
    <x v="1"/>
  </r>
  <r>
    <x v="47"/>
    <d v="2020-01-23T00:00:00"/>
    <x v="1"/>
    <n v="339"/>
    <n v="-1374"/>
    <x v="0"/>
    <n v="-339"/>
    <x v="1"/>
  </r>
  <r>
    <x v="47"/>
    <d v="2020-01-23T00:00:00"/>
    <x v="2"/>
    <n v="955"/>
    <n v="-2329"/>
    <x v="0"/>
    <n v="-955"/>
    <x v="1"/>
  </r>
  <r>
    <x v="47"/>
    <d v="2020-01-23T00:00:00"/>
    <x v="2"/>
    <n v="440"/>
    <n v="-2769"/>
    <x v="0"/>
    <n v="-440"/>
    <x v="1"/>
  </r>
  <r>
    <x v="47"/>
    <d v="2020-01-25T00:00:00"/>
    <x v="2"/>
    <n v="236"/>
    <n v="-3005"/>
    <x v="0"/>
    <n v="-236"/>
    <x v="1"/>
  </r>
  <r>
    <x v="47"/>
    <d v="2020-01-27T00:00:00"/>
    <x v="0"/>
    <n v="166"/>
    <n v="-2839"/>
    <x v="0"/>
    <n v="166"/>
    <x v="1"/>
  </r>
  <r>
    <x v="47"/>
    <d v="2020-01-29T00:00:00"/>
    <x v="0"/>
    <n v="471"/>
    <n v="-2368"/>
    <x v="0"/>
    <n v="471"/>
    <x v="1"/>
  </r>
  <r>
    <x v="47"/>
    <d v="2020-02-05T00:00:00"/>
    <x v="1"/>
    <n v="950"/>
    <n v="-3318"/>
    <x v="2"/>
    <n v="-950"/>
    <x v="1"/>
  </r>
  <r>
    <x v="47"/>
    <d v="2020-02-15T00:00:00"/>
    <x v="2"/>
    <n v="199"/>
    <n v="-3517"/>
    <x v="2"/>
    <n v="-199"/>
    <x v="1"/>
  </r>
  <r>
    <x v="47"/>
    <d v="2020-02-16T00:00:00"/>
    <x v="1"/>
    <n v="84"/>
    <n v="-3601"/>
    <x v="2"/>
    <n v="-84"/>
    <x v="1"/>
  </r>
  <r>
    <x v="47"/>
    <d v="2020-02-17T00:00:00"/>
    <x v="2"/>
    <n v="38"/>
    <n v="-3639"/>
    <x v="2"/>
    <n v="-38"/>
    <x v="1"/>
  </r>
  <r>
    <x v="47"/>
    <d v="2020-02-23T00:00:00"/>
    <x v="0"/>
    <n v="856"/>
    <n v="-2783"/>
    <x v="2"/>
    <n v="856"/>
    <x v="1"/>
  </r>
  <r>
    <x v="47"/>
    <d v="2020-02-29T00:00:00"/>
    <x v="2"/>
    <n v="189"/>
    <n v="-2972"/>
    <x v="2"/>
    <n v="-189"/>
    <x v="1"/>
  </r>
  <r>
    <x v="47"/>
    <d v="2020-03-07T00:00:00"/>
    <x v="1"/>
    <n v="600"/>
    <n v="-3572"/>
    <x v="1"/>
    <n v="-600"/>
    <x v="1"/>
  </r>
  <r>
    <x v="47"/>
    <d v="2020-03-17T00:00:00"/>
    <x v="0"/>
    <n v="472"/>
    <n v="-3100"/>
    <x v="1"/>
    <n v="472"/>
    <x v="1"/>
  </r>
  <r>
    <x v="47"/>
    <d v="2020-03-26T00:00:00"/>
    <x v="1"/>
    <n v="645"/>
    <n v="-3745"/>
    <x v="1"/>
    <n v="-645"/>
    <x v="1"/>
  </r>
  <r>
    <x v="48"/>
    <d v="2020-01-04T00:00:00"/>
    <x v="0"/>
    <n v="432"/>
    <n v="432"/>
    <x v="0"/>
    <n v="432"/>
    <x v="0"/>
  </r>
  <r>
    <x v="48"/>
    <d v="2020-01-15T00:00:00"/>
    <x v="1"/>
    <n v="127"/>
    <n v="305"/>
    <x v="0"/>
    <n v="-127"/>
    <x v="0"/>
  </r>
  <r>
    <x v="48"/>
    <d v="2020-01-19T00:00:00"/>
    <x v="2"/>
    <n v="712"/>
    <n v="-407"/>
    <x v="0"/>
    <n v="-712"/>
    <x v="1"/>
  </r>
  <r>
    <x v="48"/>
    <d v="2020-01-25T00:00:00"/>
    <x v="0"/>
    <n v="541"/>
    <n v="134"/>
    <x v="0"/>
    <n v="541"/>
    <x v="0"/>
  </r>
  <r>
    <x v="48"/>
    <d v="2020-01-27T00:00:00"/>
    <x v="2"/>
    <n v="531"/>
    <n v="-397"/>
    <x v="0"/>
    <n v="-531"/>
    <x v="1"/>
  </r>
  <r>
    <x v="48"/>
    <d v="2020-02-11T00:00:00"/>
    <x v="2"/>
    <n v="790"/>
    <n v="-1187"/>
    <x v="2"/>
    <n v="-790"/>
    <x v="1"/>
  </r>
  <r>
    <x v="48"/>
    <d v="2020-02-24T00:00:00"/>
    <x v="0"/>
    <n v="83"/>
    <n v="-1104"/>
    <x v="2"/>
    <n v="83"/>
    <x v="1"/>
  </r>
  <r>
    <x v="48"/>
    <d v="2020-02-28T00:00:00"/>
    <x v="0"/>
    <n v="510"/>
    <n v="-594"/>
    <x v="2"/>
    <n v="510"/>
    <x v="1"/>
  </r>
  <r>
    <x v="48"/>
    <d v="2020-03-02T00:00:00"/>
    <x v="0"/>
    <n v="295"/>
    <n v="-299"/>
    <x v="1"/>
    <n v="295"/>
    <x v="1"/>
  </r>
  <r>
    <x v="48"/>
    <d v="2020-03-02T00:00:00"/>
    <x v="2"/>
    <n v="681"/>
    <n v="-980"/>
    <x v="1"/>
    <n v="-681"/>
    <x v="1"/>
  </r>
  <r>
    <x v="48"/>
    <d v="2020-03-04T00:00:00"/>
    <x v="0"/>
    <n v="699"/>
    <n v="-281"/>
    <x v="1"/>
    <n v="699"/>
    <x v="1"/>
  </r>
  <r>
    <x v="48"/>
    <d v="2020-03-05T00:00:00"/>
    <x v="1"/>
    <n v="806"/>
    <n v="-1087"/>
    <x v="1"/>
    <n v="-806"/>
    <x v="1"/>
  </r>
  <r>
    <x v="48"/>
    <d v="2020-03-14T00:00:00"/>
    <x v="0"/>
    <n v="366"/>
    <n v="-721"/>
    <x v="1"/>
    <n v="366"/>
    <x v="1"/>
  </r>
  <r>
    <x v="48"/>
    <d v="2020-03-20T00:00:00"/>
    <x v="1"/>
    <n v="85"/>
    <n v="-806"/>
    <x v="1"/>
    <n v="-85"/>
    <x v="1"/>
  </r>
  <r>
    <x v="48"/>
    <d v="2020-03-21T00:00:00"/>
    <x v="1"/>
    <n v="521"/>
    <n v="-1327"/>
    <x v="1"/>
    <n v="-521"/>
    <x v="1"/>
  </r>
  <r>
    <x v="48"/>
    <d v="2020-03-23T00:00:00"/>
    <x v="0"/>
    <n v="760"/>
    <n v="-567"/>
    <x v="1"/>
    <n v="760"/>
    <x v="1"/>
  </r>
  <r>
    <x v="48"/>
    <d v="2020-03-25T00:00:00"/>
    <x v="2"/>
    <n v="736"/>
    <n v="-1303"/>
    <x v="1"/>
    <n v="-736"/>
    <x v="1"/>
  </r>
  <r>
    <x v="48"/>
    <d v="2020-03-27T00:00:00"/>
    <x v="1"/>
    <n v="644"/>
    <n v="-1947"/>
    <x v="1"/>
    <n v="-644"/>
    <x v="1"/>
  </r>
  <r>
    <x v="48"/>
    <d v="2020-03-30T00:00:00"/>
    <x v="1"/>
    <n v="609"/>
    <n v="-2556"/>
    <x v="1"/>
    <n v="-609"/>
    <x v="1"/>
  </r>
  <r>
    <x v="49"/>
    <d v="2020-01-29T00:00:00"/>
    <x v="0"/>
    <n v="899"/>
    <n v="899"/>
    <x v="0"/>
    <n v="899"/>
    <x v="0"/>
  </r>
  <r>
    <x v="49"/>
    <d v="2020-01-31T00:00:00"/>
    <x v="0"/>
    <n v="32"/>
    <n v="931"/>
    <x v="0"/>
    <n v="32"/>
    <x v="0"/>
  </r>
  <r>
    <x v="49"/>
    <d v="2020-02-02T00:00:00"/>
    <x v="2"/>
    <n v="774"/>
    <n v="157"/>
    <x v="2"/>
    <n v="-774"/>
    <x v="0"/>
  </r>
  <r>
    <x v="49"/>
    <d v="2020-02-08T00:00:00"/>
    <x v="2"/>
    <n v="870"/>
    <n v="-713"/>
    <x v="2"/>
    <n v="-870"/>
    <x v="1"/>
  </r>
  <r>
    <x v="49"/>
    <d v="2020-02-13T00:00:00"/>
    <x v="0"/>
    <n v="279"/>
    <n v="-434"/>
    <x v="2"/>
    <n v="279"/>
    <x v="1"/>
  </r>
  <r>
    <x v="49"/>
    <d v="2020-02-18T00:00:00"/>
    <x v="1"/>
    <n v="240"/>
    <n v="-674"/>
    <x v="2"/>
    <n v="-240"/>
    <x v="1"/>
  </r>
  <r>
    <x v="49"/>
    <d v="2020-03-01T00:00:00"/>
    <x v="0"/>
    <n v="249"/>
    <n v="-425"/>
    <x v="1"/>
    <n v="249"/>
    <x v="1"/>
  </r>
  <r>
    <x v="49"/>
    <d v="2020-03-10T00:00:00"/>
    <x v="0"/>
    <n v="640"/>
    <n v="215"/>
    <x v="1"/>
    <n v="640"/>
    <x v="0"/>
  </r>
  <r>
    <x v="49"/>
    <d v="2020-03-13T00:00:00"/>
    <x v="1"/>
    <n v="324"/>
    <n v="-109"/>
    <x v="1"/>
    <n v="-324"/>
    <x v="1"/>
  </r>
  <r>
    <x v="49"/>
    <d v="2020-03-20T00:00:00"/>
    <x v="2"/>
    <n v="21"/>
    <n v="-130"/>
    <x v="1"/>
    <n v="-21"/>
    <x v="1"/>
  </r>
  <r>
    <x v="49"/>
    <d v="2020-03-22T00:00:00"/>
    <x v="0"/>
    <n v="969"/>
    <n v="839"/>
    <x v="1"/>
    <n v="969"/>
    <x v="0"/>
  </r>
  <r>
    <x v="49"/>
    <d v="2020-03-24T00:00:00"/>
    <x v="1"/>
    <n v="564"/>
    <n v="275"/>
    <x v="1"/>
    <n v="-564"/>
    <x v="0"/>
  </r>
  <r>
    <x v="49"/>
    <d v="2020-04-14T00:00:00"/>
    <x v="1"/>
    <n v="60"/>
    <n v="215"/>
    <x v="3"/>
    <n v="-60"/>
    <x v="0"/>
  </r>
  <r>
    <x v="49"/>
    <d v="2020-04-24T00:00:00"/>
    <x v="0"/>
    <n v="235"/>
    <n v="450"/>
    <x v="3"/>
    <n v="235"/>
    <x v="0"/>
  </r>
  <r>
    <x v="50"/>
    <d v="2020-01-20T00:00:00"/>
    <x v="0"/>
    <n v="367"/>
    <n v="367"/>
    <x v="0"/>
    <n v="367"/>
    <x v="0"/>
  </r>
  <r>
    <x v="50"/>
    <d v="2020-01-25T00:00:00"/>
    <x v="2"/>
    <n v="66"/>
    <n v="301"/>
    <x v="0"/>
    <n v="-66"/>
    <x v="0"/>
  </r>
  <r>
    <x v="50"/>
    <d v="2020-02-01T00:00:00"/>
    <x v="1"/>
    <n v="905"/>
    <n v="-604"/>
    <x v="2"/>
    <n v="-905"/>
    <x v="1"/>
  </r>
  <r>
    <x v="50"/>
    <d v="2020-02-02T00:00:00"/>
    <x v="1"/>
    <n v="150"/>
    <n v="-754"/>
    <x v="2"/>
    <n v="-150"/>
    <x v="1"/>
  </r>
  <r>
    <x v="50"/>
    <d v="2020-02-22T00:00:00"/>
    <x v="0"/>
    <n v="49"/>
    <n v="-705"/>
    <x v="2"/>
    <n v="49"/>
    <x v="1"/>
  </r>
  <r>
    <x v="50"/>
    <d v="2020-02-29T00:00:00"/>
    <x v="0"/>
    <n v="608"/>
    <n v="-97"/>
    <x v="2"/>
    <n v="608"/>
    <x v="1"/>
  </r>
  <r>
    <x v="50"/>
    <d v="2020-03-19T00:00:00"/>
    <x v="0"/>
    <n v="707"/>
    <n v="610"/>
    <x v="1"/>
    <n v="707"/>
    <x v="0"/>
  </r>
  <r>
    <x v="50"/>
    <d v="2020-03-22T00:00:00"/>
    <x v="0"/>
    <n v="760"/>
    <n v="1370"/>
    <x v="1"/>
    <n v="760"/>
    <x v="0"/>
  </r>
  <r>
    <x v="50"/>
    <d v="2020-03-27T00:00:00"/>
    <x v="1"/>
    <n v="591"/>
    <n v="779"/>
    <x v="1"/>
    <n v="-591"/>
    <x v="0"/>
  </r>
  <r>
    <x v="50"/>
    <d v="2020-04-12T00:00:00"/>
    <x v="0"/>
    <n v="72"/>
    <n v="851"/>
    <x v="3"/>
    <n v="72"/>
    <x v="0"/>
  </r>
  <r>
    <x v="50"/>
    <d v="2020-04-16T00:00:00"/>
    <x v="0"/>
    <n v="513"/>
    <n v="1364"/>
    <x v="3"/>
    <n v="513"/>
    <x v="0"/>
  </r>
  <r>
    <x v="51"/>
    <d v="2020-01-12T00:00:00"/>
    <x v="0"/>
    <n v="908"/>
    <n v="908"/>
    <x v="0"/>
    <n v="908"/>
    <x v="0"/>
  </r>
  <r>
    <x v="51"/>
    <d v="2020-01-26T00:00:00"/>
    <x v="0"/>
    <n v="232"/>
    <n v="1140"/>
    <x v="0"/>
    <n v="232"/>
    <x v="0"/>
  </r>
  <r>
    <x v="51"/>
    <d v="2020-02-05T00:00:00"/>
    <x v="0"/>
    <n v="819"/>
    <n v="1959"/>
    <x v="2"/>
    <n v="819"/>
    <x v="0"/>
  </r>
  <r>
    <x v="51"/>
    <d v="2020-02-15T00:00:00"/>
    <x v="0"/>
    <n v="653"/>
    <n v="2612"/>
    <x v="2"/>
    <n v="653"/>
    <x v="0"/>
  </r>
  <r>
    <x v="52"/>
    <d v="2020-01-24T00:00:00"/>
    <x v="0"/>
    <n v="22"/>
    <n v="22"/>
    <x v="0"/>
    <n v="22"/>
    <x v="0"/>
  </r>
  <r>
    <x v="52"/>
    <d v="2020-02-04T00:00:00"/>
    <x v="0"/>
    <n v="188"/>
    <n v="210"/>
    <x v="2"/>
    <n v="188"/>
    <x v="0"/>
  </r>
  <r>
    <x v="52"/>
    <d v="2020-03-21T00:00:00"/>
    <x v="1"/>
    <n v="285"/>
    <n v="-75"/>
    <x v="1"/>
    <n v="-285"/>
    <x v="1"/>
  </r>
  <r>
    <x v="52"/>
    <d v="2020-03-23T00:00:00"/>
    <x v="2"/>
    <n v="881"/>
    <n v="-956"/>
    <x v="1"/>
    <n v="-881"/>
    <x v="1"/>
  </r>
  <r>
    <x v="52"/>
    <d v="2020-03-24T00:00:00"/>
    <x v="0"/>
    <n v="228"/>
    <n v="-728"/>
    <x v="1"/>
    <n v="228"/>
    <x v="1"/>
  </r>
  <r>
    <x v="52"/>
    <d v="2020-04-20T00:00:00"/>
    <x v="1"/>
    <n v="187"/>
    <n v="-915"/>
    <x v="3"/>
    <n v="-187"/>
    <x v="1"/>
  </r>
  <r>
    <x v="52"/>
    <d v="2020-04-20T00:00:00"/>
    <x v="0"/>
    <n v="933"/>
    <n v="18"/>
    <x v="3"/>
    <n v="933"/>
    <x v="0"/>
  </r>
  <r>
    <x v="52"/>
    <d v="2020-04-22T00:00:00"/>
    <x v="0"/>
    <n v="209"/>
    <n v="227"/>
    <x v="3"/>
    <n v="209"/>
    <x v="0"/>
  </r>
  <r>
    <x v="53"/>
    <d v="2020-01-09T00:00:00"/>
    <x v="0"/>
    <n v="138"/>
    <n v="138"/>
    <x v="0"/>
    <n v="138"/>
    <x v="0"/>
  </r>
  <r>
    <x v="53"/>
    <d v="2020-01-26T00:00:00"/>
    <x v="0"/>
    <n v="736"/>
    <n v="874"/>
    <x v="0"/>
    <n v="736"/>
    <x v="0"/>
  </r>
  <r>
    <x v="53"/>
    <d v="2020-01-29T00:00:00"/>
    <x v="0"/>
    <n v="677"/>
    <n v="1551"/>
    <x v="0"/>
    <n v="677"/>
    <x v="0"/>
  </r>
  <r>
    <x v="53"/>
    <d v="2020-01-30T00:00:00"/>
    <x v="0"/>
    <n v="107"/>
    <n v="1658"/>
    <x v="0"/>
    <n v="107"/>
    <x v="0"/>
  </r>
  <r>
    <x v="53"/>
    <d v="2020-02-19T00:00:00"/>
    <x v="1"/>
    <n v="29"/>
    <n v="1629"/>
    <x v="2"/>
    <n v="-29"/>
    <x v="0"/>
  </r>
  <r>
    <x v="53"/>
    <d v="2020-03-24T00:00:00"/>
    <x v="1"/>
    <n v="922"/>
    <n v="707"/>
    <x v="1"/>
    <n v="-922"/>
    <x v="0"/>
  </r>
  <r>
    <x v="53"/>
    <d v="2020-03-29T00:00:00"/>
    <x v="2"/>
    <n v="174"/>
    <n v="533"/>
    <x v="1"/>
    <n v="-174"/>
    <x v="0"/>
  </r>
  <r>
    <x v="53"/>
    <d v="2020-04-03T00:00:00"/>
    <x v="0"/>
    <n v="435"/>
    <n v="968"/>
    <x v="3"/>
    <n v="435"/>
    <x v="0"/>
  </r>
  <r>
    <x v="54"/>
    <d v="2020-01-25T00:00:00"/>
    <x v="0"/>
    <n v="380"/>
    <n v="380"/>
    <x v="0"/>
    <n v="380"/>
    <x v="0"/>
  </r>
  <r>
    <x v="54"/>
    <d v="2020-02-01T00:00:00"/>
    <x v="1"/>
    <n v="558"/>
    <n v="-178"/>
    <x v="2"/>
    <n v="-558"/>
    <x v="1"/>
  </r>
  <r>
    <x v="54"/>
    <d v="2020-02-12T00:00:00"/>
    <x v="2"/>
    <n v="570"/>
    <n v="-748"/>
    <x v="2"/>
    <n v="-570"/>
    <x v="1"/>
  </r>
  <r>
    <x v="54"/>
    <d v="2020-02-15T00:00:00"/>
    <x v="0"/>
    <n v="408"/>
    <n v="-340"/>
    <x v="2"/>
    <n v="408"/>
    <x v="1"/>
  </r>
  <r>
    <x v="54"/>
    <d v="2020-02-15T00:00:00"/>
    <x v="1"/>
    <n v="806"/>
    <n v="-1146"/>
    <x v="2"/>
    <n v="-806"/>
    <x v="1"/>
  </r>
  <r>
    <x v="54"/>
    <d v="2020-02-17T00:00:00"/>
    <x v="0"/>
    <n v="139"/>
    <n v="-1007"/>
    <x v="2"/>
    <n v="139"/>
    <x v="1"/>
  </r>
  <r>
    <x v="54"/>
    <d v="2020-02-28T00:00:00"/>
    <x v="0"/>
    <n v="597"/>
    <n v="-410"/>
    <x v="2"/>
    <n v="597"/>
    <x v="1"/>
  </r>
  <r>
    <x v="54"/>
    <d v="2020-03-03T00:00:00"/>
    <x v="2"/>
    <n v="55"/>
    <n v="-465"/>
    <x v="1"/>
    <n v="-55"/>
    <x v="1"/>
  </r>
  <r>
    <x v="54"/>
    <d v="2020-03-23T00:00:00"/>
    <x v="0"/>
    <n v="814"/>
    <n v="349"/>
    <x v="1"/>
    <n v="814"/>
    <x v="0"/>
  </r>
  <r>
    <x v="54"/>
    <d v="2020-04-02T00:00:00"/>
    <x v="1"/>
    <n v="585"/>
    <n v="-236"/>
    <x v="3"/>
    <n v="-585"/>
    <x v="1"/>
  </r>
  <r>
    <x v="54"/>
    <d v="2020-04-06T00:00:00"/>
    <x v="1"/>
    <n v="277"/>
    <n v="-513"/>
    <x v="3"/>
    <n v="-277"/>
    <x v="1"/>
  </r>
  <r>
    <x v="55"/>
    <d v="2020-01-18T00:00:00"/>
    <x v="0"/>
    <n v="864"/>
    <n v="864"/>
    <x v="0"/>
    <n v="864"/>
    <x v="0"/>
  </r>
  <r>
    <x v="55"/>
    <d v="2020-01-23T00:00:00"/>
    <x v="2"/>
    <n v="412"/>
    <n v="452"/>
    <x v="0"/>
    <n v="-412"/>
    <x v="0"/>
  </r>
  <r>
    <x v="55"/>
    <d v="2020-01-29T00:00:00"/>
    <x v="1"/>
    <n v="519"/>
    <n v="-67"/>
    <x v="0"/>
    <n v="-519"/>
    <x v="1"/>
  </r>
  <r>
    <x v="55"/>
    <d v="2020-02-01T00:00:00"/>
    <x v="0"/>
    <n v="122"/>
    <n v="55"/>
    <x v="2"/>
    <n v="122"/>
    <x v="0"/>
  </r>
  <r>
    <x v="55"/>
    <d v="2020-02-05T00:00:00"/>
    <x v="1"/>
    <n v="735"/>
    <n v="-680"/>
    <x v="2"/>
    <n v="-735"/>
    <x v="1"/>
  </r>
  <r>
    <x v="55"/>
    <d v="2020-02-12T00:00:00"/>
    <x v="1"/>
    <n v="213"/>
    <n v="-893"/>
    <x v="2"/>
    <n v="-213"/>
    <x v="1"/>
  </r>
  <r>
    <x v="55"/>
    <d v="2020-02-14T00:00:00"/>
    <x v="1"/>
    <n v="37"/>
    <n v="-930"/>
    <x v="2"/>
    <n v="-37"/>
    <x v="1"/>
  </r>
  <r>
    <x v="55"/>
    <d v="2020-02-17T00:00:00"/>
    <x v="2"/>
    <n v="716"/>
    <n v="-1646"/>
    <x v="2"/>
    <n v="-716"/>
    <x v="1"/>
  </r>
  <r>
    <x v="55"/>
    <d v="2020-03-02T00:00:00"/>
    <x v="2"/>
    <n v="523"/>
    <n v="-2169"/>
    <x v="1"/>
    <n v="-523"/>
    <x v="1"/>
  </r>
  <r>
    <x v="55"/>
    <d v="2020-03-03T00:00:00"/>
    <x v="1"/>
    <n v="744"/>
    <n v="-2913"/>
    <x v="1"/>
    <n v="-744"/>
    <x v="1"/>
  </r>
  <r>
    <x v="55"/>
    <d v="2020-03-07T00:00:00"/>
    <x v="0"/>
    <n v="224"/>
    <n v="-2689"/>
    <x v="1"/>
    <n v="224"/>
    <x v="1"/>
  </r>
  <r>
    <x v="55"/>
    <d v="2020-03-13T00:00:00"/>
    <x v="1"/>
    <n v="99"/>
    <n v="-2788"/>
    <x v="1"/>
    <n v="-99"/>
    <x v="1"/>
  </r>
  <r>
    <x v="55"/>
    <d v="2020-03-20T00:00:00"/>
    <x v="0"/>
    <n v="218"/>
    <n v="-2570"/>
    <x v="1"/>
    <n v="218"/>
    <x v="1"/>
  </r>
  <r>
    <x v="55"/>
    <d v="2020-03-30T00:00:00"/>
    <x v="0"/>
    <n v="495"/>
    <n v="-2075"/>
    <x v="1"/>
    <n v="495"/>
    <x v="1"/>
  </r>
  <r>
    <x v="55"/>
    <d v="2020-04-02T00:00:00"/>
    <x v="0"/>
    <n v="117"/>
    <n v="-1958"/>
    <x v="3"/>
    <n v="117"/>
    <x v="1"/>
  </r>
  <r>
    <x v="55"/>
    <d v="2020-04-04T00:00:00"/>
    <x v="2"/>
    <n v="302"/>
    <n v="-2260"/>
    <x v="3"/>
    <n v="-302"/>
    <x v="1"/>
  </r>
  <r>
    <x v="55"/>
    <d v="2020-04-07T00:00:00"/>
    <x v="1"/>
    <n v="873"/>
    <n v="-3133"/>
    <x v="3"/>
    <n v="-873"/>
    <x v="1"/>
  </r>
  <r>
    <x v="55"/>
    <d v="2020-04-08T00:00:00"/>
    <x v="2"/>
    <n v="326"/>
    <n v="-3459"/>
    <x v="3"/>
    <n v="-326"/>
    <x v="1"/>
  </r>
  <r>
    <x v="55"/>
    <d v="2020-04-12T00:00:00"/>
    <x v="2"/>
    <n v="407"/>
    <n v="-3866"/>
    <x v="3"/>
    <n v="-407"/>
    <x v="1"/>
  </r>
  <r>
    <x v="56"/>
    <d v="2020-01-06T00:00:00"/>
    <x v="0"/>
    <n v="907"/>
    <n v="907"/>
    <x v="0"/>
    <n v="907"/>
    <x v="0"/>
  </r>
  <r>
    <x v="56"/>
    <d v="2020-01-21T00:00:00"/>
    <x v="1"/>
    <n v="469"/>
    <n v="438"/>
    <x v="0"/>
    <n v="-469"/>
    <x v="0"/>
  </r>
  <r>
    <x v="56"/>
    <d v="2020-01-24T00:00:00"/>
    <x v="1"/>
    <n v="202"/>
    <n v="236"/>
    <x v="0"/>
    <n v="-202"/>
    <x v="0"/>
  </r>
  <r>
    <x v="56"/>
    <d v="2020-01-24T00:00:00"/>
    <x v="0"/>
    <n v="178"/>
    <n v="414"/>
    <x v="0"/>
    <n v="178"/>
    <x v="0"/>
  </r>
  <r>
    <x v="56"/>
    <d v="2020-02-13T00:00:00"/>
    <x v="1"/>
    <n v="515"/>
    <n v="-101"/>
    <x v="2"/>
    <n v="-515"/>
    <x v="1"/>
  </r>
  <r>
    <x v="56"/>
    <d v="2020-03-03T00:00:00"/>
    <x v="1"/>
    <n v="765"/>
    <n v="-866"/>
    <x v="1"/>
    <n v="-765"/>
    <x v="1"/>
  </r>
  <r>
    <x v="57"/>
    <d v="2020-01-11T00:00:00"/>
    <x v="0"/>
    <n v="726"/>
    <n v="726"/>
    <x v="0"/>
    <n v="726"/>
    <x v="0"/>
  </r>
  <r>
    <x v="57"/>
    <d v="2020-01-13T00:00:00"/>
    <x v="2"/>
    <n v="775"/>
    <n v="-49"/>
    <x v="0"/>
    <n v="-775"/>
    <x v="1"/>
  </r>
  <r>
    <x v="57"/>
    <d v="2020-01-19T00:00:00"/>
    <x v="0"/>
    <n v="432"/>
    <n v="383"/>
    <x v="0"/>
    <n v="432"/>
    <x v="0"/>
  </r>
  <r>
    <x v="57"/>
    <d v="2020-02-02T00:00:00"/>
    <x v="0"/>
    <n v="866"/>
    <n v="1249"/>
    <x v="2"/>
    <n v="866"/>
    <x v="0"/>
  </r>
  <r>
    <x v="57"/>
    <d v="2020-02-08T00:00:00"/>
    <x v="0"/>
    <n v="333"/>
    <n v="1582"/>
    <x v="2"/>
    <n v="333"/>
    <x v="0"/>
  </r>
  <r>
    <x v="57"/>
    <d v="2020-02-14T00:00:00"/>
    <x v="1"/>
    <n v="415"/>
    <n v="1167"/>
    <x v="2"/>
    <n v="-415"/>
    <x v="0"/>
  </r>
  <r>
    <x v="57"/>
    <d v="2020-02-25T00:00:00"/>
    <x v="0"/>
    <n v="937"/>
    <n v="2104"/>
    <x v="2"/>
    <n v="937"/>
    <x v="0"/>
  </r>
  <r>
    <x v="57"/>
    <d v="2020-02-28T00:00:00"/>
    <x v="1"/>
    <n v="407"/>
    <n v="1697"/>
    <x v="2"/>
    <n v="-407"/>
    <x v="0"/>
  </r>
  <r>
    <x v="57"/>
    <d v="2020-03-06T00:00:00"/>
    <x v="2"/>
    <n v="425"/>
    <n v="1272"/>
    <x v="1"/>
    <n v="-425"/>
    <x v="0"/>
  </r>
  <r>
    <x v="57"/>
    <d v="2020-03-10T00:00:00"/>
    <x v="1"/>
    <n v="358"/>
    <n v="914"/>
    <x v="1"/>
    <n v="-358"/>
    <x v="0"/>
  </r>
  <r>
    <x v="57"/>
    <d v="2020-03-17T00:00:00"/>
    <x v="2"/>
    <n v="210"/>
    <n v="704"/>
    <x v="1"/>
    <n v="-210"/>
    <x v="0"/>
  </r>
  <r>
    <x v="57"/>
    <d v="2020-03-20T00:00:00"/>
    <x v="2"/>
    <n v="939"/>
    <n v="-235"/>
    <x v="1"/>
    <n v="-939"/>
    <x v="1"/>
  </r>
  <r>
    <x v="57"/>
    <d v="2020-03-22T00:00:00"/>
    <x v="1"/>
    <n v="958"/>
    <n v="-1193"/>
    <x v="1"/>
    <n v="-958"/>
    <x v="1"/>
  </r>
  <r>
    <x v="57"/>
    <d v="2020-03-23T00:00:00"/>
    <x v="0"/>
    <n v="237"/>
    <n v="-956"/>
    <x v="1"/>
    <n v="237"/>
    <x v="1"/>
  </r>
  <r>
    <x v="57"/>
    <d v="2020-03-27T00:00:00"/>
    <x v="1"/>
    <n v="240"/>
    <n v="-1196"/>
    <x v="1"/>
    <n v="-240"/>
    <x v="1"/>
  </r>
  <r>
    <x v="57"/>
    <d v="2020-04-02T00:00:00"/>
    <x v="1"/>
    <n v="384"/>
    <n v="-1580"/>
    <x v="3"/>
    <n v="-384"/>
    <x v="1"/>
  </r>
  <r>
    <x v="57"/>
    <d v="2020-04-02T00:00:00"/>
    <x v="0"/>
    <n v="945"/>
    <n v="-635"/>
    <x v="3"/>
    <n v="945"/>
    <x v="1"/>
  </r>
  <r>
    <x v="58"/>
    <d v="2020-01-20T00:00:00"/>
    <x v="0"/>
    <n v="924"/>
    <n v="924"/>
    <x v="0"/>
    <n v="924"/>
    <x v="0"/>
  </r>
  <r>
    <x v="58"/>
    <d v="2020-02-07T00:00:00"/>
    <x v="0"/>
    <n v="570"/>
    <n v="1494"/>
    <x v="2"/>
    <n v="570"/>
    <x v="0"/>
  </r>
  <r>
    <x v="58"/>
    <d v="2020-02-09T00:00:00"/>
    <x v="0"/>
    <n v="50"/>
    <n v="1544"/>
    <x v="2"/>
    <n v="50"/>
    <x v="0"/>
  </r>
  <r>
    <x v="58"/>
    <d v="2020-02-13T00:00:00"/>
    <x v="0"/>
    <n v="646"/>
    <n v="2190"/>
    <x v="2"/>
    <n v="646"/>
    <x v="0"/>
  </r>
  <r>
    <x v="58"/>
    <d v="2020-03-02T00:00:00"/>
    <x v="2"/>
    <n v="105"/>
    <n v="2085"/>
    <x v="1"/>
    <n v="-105"/>
    <x v="0"/>
  </r>
  <r>
    <x v="58"/>
    <d v="2020-03-26T00:00:00"/>
    <x v="2"/>
    <n v="433"/>
    <n v="1652"/>
    <x v="1"/>
    <n v="-433"/>
    <x v="0"/>
  </r>
  <r>
    <x v="58"/>
    <d v="2020-04-15T00:00:00"/>
    <x v="1"/>
    <n v="854"/>
    <n v="798"/>
    <x v="3"/>
    <n v="-854"/>
    <x v="0"/>
  </r>
  <r>
    <x v="59"/>
    <d v="2020-01-19T00:00:00"/>
    <x v="0"/>
    <n v="495"/>
    <n v="495"/>
    <x v="0"/>
    <n v="495"/>
    <x v="0"/>
  </r>
  <r>
    <x v="59"/>
    <d v="2020-01-26T00:00:00"/>
    <x v="0"/>
    <n v="113"/>
    <n v="608"/>
    <x v="0"/>
    <n v="113"/>
    <x v="0"/>
  </r>
  <r>
    <x v="59"/>
    <d v="2020-01-30T00:00:00"/>
    <x v="1"/>
    <n v="797"/>
    <n v="-189"/>
    <x v="0"/>
    <n v="-797"/>
    <x v="1"/>
  </r>
  <r>
    <x v="59"/>
    <d v="2020-02-01T00:00:00"/>
    <x v="0"/>
    <n v="857"/>
    <n v="668"/>
    <x v="2"/>
    <n v="857"/>
    <x v="0"/>
  </r>
  <r>
    <x v="59"/>
    <d v="2020-03-02T00:00:00"/>
    <x v="0"/>
    <n v="188"/>
    <n v="856"/>
    <x v="1"/>
    <n v="188"/>
    <x v="0"/>
  </r>
  <r>
    <x v="59"/>
    <d v="2020-03-16T00:00:00"/>
    <x v="2"/>
    <n v="674"/>
    <n v="182"/>
    <x v="1"/>
    <n v="-674"/>
    <x v="0"/>
  </r>
  <r>
    <x v="59"/>
    <d v="2020-03-31T00:00:00"/>
    <x v="2"/>
    <n v="927"/>
    <n v="-745"/>
    <x v="1"/>
    <n v="-927"/>
    <x v="1"/>
  </r>
  <r>
    <x v="59"/>
    <d v="2020-04-02T00:00:00"/>
    <x v="2"/>
    <n v="424"/>
    <n v="-1169"/>
    <x v="3"/>
    <n v="-424"/>
    <x v="1"/>
  </r>
  <r>
    <x v="60"/>
    <d v="2020-01-21T00:00:00"/>
    <x v="0"/>
    <n v="319"/>
    <n v="319"/>
    <x v="0"/>
    <n v="319"/>
    <x v="0"/>
  </r>
  <r>
    <x v="60"/>
    <d v="2020-01-22T00:00:00"/>
    <x v="1"/>
    <n v="752"/>
    <n v="-433"/>
    <x v="0"/>
    <n v="-752"/>
    <x v="1"/>
  </r>
  <r>
    <x v="60"/>
    <d v="2020-01-24T00:00:00"/>
    <x v="0"/>
    <n v="587"/>
    <n v="154"/>
    <x v="0"/>
    <n v="587"/>
    <x v="0"/>
  </r>
  <r>
    <x v="60"/>
    <d v="2020-01-29T00:00:00"/>
    <x v="2"/>
    <n v="14"/>
    <n v="140"/>
    <x v="0"/>
    <n v="-14"/>
    <x v="0"/>
  </r>
  <r>
    <x v="60"/>
    <d v="2020-01-29T00:00:00"/>
    <x v="0"/>
    <n v="82"/>
    <n v="222"/>
    <x v="0"/>
    <n v="82"/>
    <x v="0"/>
  </r>
  <r>
    <x v="60"/>
    <d v="2020-02-02T00:00:00"/>
    <x v="0"/>
    <n v="518"/>
    <n v="740"/>
    <x v="2"/>
    <n v="518"/>
    <x v="0"/>
  </r>
  <r>
    <x v="60"/>
    <d v="2020-02-06T00:00:00"/>
    <x v="0"/>
    <n v="6"/>
    <n v="746"/>
    <x v="2"/>
    <n v="6"/>
    <x v="0"/>
  </r>
  <r>
    <x v="60"/>
    <d v="2020-02-09T00:00:00"/>
    <x v="2"/>
    <n v="689"/>
    <n v="57"/>
    <x v="2"/>
    <n v="-689"/>
    <x v="0"/>
  </r>
  <r>
    <x v="60"/>
    <d v="2020-02-19T00:00:00"/>
    <x v="0"/>
    <n v="332"/>
    <n v="389"/>
    <x v="2"/>
    <n v="332"/>
    <x v="0"/>
  </r>
  <r>
    <x v="60"/>
    <d v="2020-02-29T00:00:00"/>
    <x v="2"/>
    <n v="66"/>
    <n v="323"/>
    <x v="2"/>
    <n v="-66"/>
    <x v="0"/>
  </r>
  <r>
    <x v="60"/>
    <d v="2020-03-17T00:00:00"/>
    <x v="0"/>
    <n v="897"/>
    <n v="1220"/>
    <x v="1"/>
    <n v="897"/>
    <x v="0"/>
  </r>
  <r>
    <x v="60"/>
    <d v="2020-03-17T00:00:00"/>
    <x v="2"/>
    <n v="509"/>
    <n v="711"/>
    <x v="1"/>
    <n v="-509"/>
    <x v="0"/>
  </r>
  <r>
    <x v="60"/>
    <d v="2020-03-18T00:00:00"/>
    <x v="0"/>
    <n v="322"/>
    <n v="1033"/>
    <x v="1"/>
    <n v="322"/>
    <x v="0"/>
  </r>
  <r>
    <x v="60"/>
    <d v="2020-03-23T00:00:00"/>
    <x v="1"/>
    <n v="309"/>
    <n v="724"/>
    <x v="1"/>
    <n v="-309"/>
    <x v="0"/>
  </r>
  <r>
    <x v="60"/>
    <d v="2020-03-24T00:00:00"/>
    <x v="2"/>
    <n v="989"/>
    <n v="-265"/>
    <x v="1"/>
    <n v="-989"/>
    <x v="1"/>
  </r>
  <r>
    <x v="60"/>
    <d v="2020-03-26T00:00:00"/>
    <x v="2"/>
    <n v="497"/>
    <n v="-762"/>
    <x v="1"/>
    <n v="-497"/>
    <x v="1"/>
  </r>
  <r>
    <x v="60"/>
    <d v="2020-03-26T00:00:00"/>
    <x v="2"/>
    <n v="773"/>
    <n v="-1535"/>
    <x v="1"/>
    <n v="-773"/>
    <x v="1"/>
  </r>
  <r>
    <x v="60"/>
    <d v="2020-03-27T00:00:00"/>
    <x v="1"/>
    <n v="552"/>
    <n v="-2087"/>
    <x v="1"/>
    <n v="-552"/>
    <x v="1"/>
  </r>
  <r>
    <x v="60"/>
    <d v="2020-03-31T00:00:00"/>
    <x v="1"/>
    <n v="480"/>
    <n v="-2567"/>
    <x v="1"/>
    <n v="-480"/>
    <x v="1"/>
  </r>
  <r>
    <x v="60"/>
    <d v="2020-03-31T00:00:00"/>
    <x v="0"/>
    <n v="857"/>
    <n v="-1710"/>
    <x v="1"/>
    <n v="857"/>
    <x v="1"/>
  </r>
  <r>
    <x v="60"/>
    <d v="2020-04-04T00:00:00"/>
    <x v="1"/>
    <n v="845"/>
    <n v="-2555"/>
    <x v="3"/>
    <n v="-845"/>
    <x v="1"/>
  </r>
  <r>
    <x v="60"/>
    <d v="2020-04-15T00:00:00"/>
    <x v="0"/>
    <n v="318"/>
    <n v="-2237"/>
    <x v="3"/>
    <n v="318"/>
    <x v="1"/>
  </r>
  <r>
    <x v="61"/>
    <d v="2020-01-16T00:00:00"/>
    <x v="0"/>
    <n v="218"/>
    <n v="218"/>
    <x v="0"/>
    <n v="218"/>
    <x v="0"/>
  </r>
  <r>
    <x v="61"/>
    <d v="2020-01-24T00:00:00"/>
    <x v="1"/>
    <n v="430"/>
    <n v="-212"/>
    <x v="0"/>
    <n v="-430"/>
    <x v="1"/>
  </r>
  <r>
    <x v="61"/>
    <d v="2020-03-16T00:00:00"/>
    <x v="1"/>
    <n v="551"/>
    <n v="-763"/>
    <x v="1"/>
    <n v="-551"/>
    <x v="1"/>
  </r>
  <r>
    <x v="62"/>
    <d v="2020-01-06T00:00:00"/>
    <x v="0"/>
    <n v="234"/>
    <n v="234"/>
    <x v="0"/>
    <n v="234"/>
    <x v="0"/>
  </r>
  <r>
    <x v="62"/>
    <d v="2020-01-10T00:00:00"/>
    <x v="1"/>
    <n v="253"/>
    <n v="-19"/>
    <x v="0"/>
    <n v="-253"/>
    <x v="1"/>
  </r>
  <r>
    <x v="62"/>
    <d v="2020-01-16T00:00:00"/>
    <x v="1"/>
    <n v="88"/>
    <n v="-107"/>
    <x v="0"/>
    <n v="-88"/>
    <x v="1"/>
  </r>
  <r>
    <x v="62"/>
    <d v="2020-01-25T00:00:00"/>
    <x v="1"/>
    <n v="225"/>
    <n v="-332"/>
    <x v="0"/>
    <n v="-225"/>
    <x v="1"/>
  </r>
  <r>
    <x v="62"/>
    <d v="2020-02-08T00:00:00"/>
    <x v="1"/>
    <n v="432"/>
    <n v="-764"/>
    <x v="2"/>
    <n v="-432"/>
    <x v="1"/>
  </r>
  <r>
    <x v="62"/>
    <d v="2020-02-11T00:00:00"/>
    <x v="0"/>
    <n v="363"/>
    <n v="-401"/>
    <x v="2"/>
    <n v="363"/>
    <x v="1"/>
  </r>
  <r>
    <x v="62"/>
    <d v="2020-02-23T00:00:00"/>
    <x v="2"/>
    <n v="396"/>
    <n v="-797"/>
    <x v="2"/>
    <n v="-396"/>
    <x v="1"/>
  </r>
  <r>
    <x v="62"/>
    <d v="2020-02-24T00:00:00"/>
    <x v="2"/>
    <n v="156"/>
    <n v="-953"/>
    <x v="2"/>
    <n v="-156"/>
    <x v="1"/>
  </r>
  <r>
    <x v="62"/>
    <d v="2020-03-06T00:00:00"/>
    <x v="2"/>
    <n v="151"/>
    <n v="-1104"/>
    <x v="1"/>
    <n v="-151"/>
    <x v="1"/>
  </r>
  <r>
    <x v="62"/>
    <d v="2020-03-10T00:00:00"/>
    <x v="2"/>
    <n v="932"/>
    <n v="-2036"/>
    <x v="1"/>
    <n v="-932"/>
    <x v="1"/>
  </r>
  <r>
    <x v="62"/>
    <d v="2020-03-12T00:00:00"/>
    <x v="1"/>
    <n v="618"/>
    <n v="-2654"/>
    <x v="1"/>
    <n v="-618"/>
    <x v="1"/>
  </r>
  <r>
    <x v="62"/>
    <d v="2020-03-23T00:00:00"/>
    <x v="2"/>
    <n v="727"/>
    <n v="-3381"/>
    <x v="1"/>
    <n v="-727"/>
    <x v="1"/>
  </r>
  <r>
    <x v="62"/>
    <d v="2020-03-31T00:00:00"/>
    <x v="1"/>
    <n v="565"/>
    <n v="-3946"/>
    <x v="1"/>
    <n v="-565"/>
    <x v="1"/>
  </r>
  <r>
    <x v="63"/>
    <d v="2020-01-08T00:00:00"/>
    <x v="0"/>
    <n v="442"/>
    <n v="442"/>
    <x v="0"/>
    <n v="442"/>
    <x v="0"/>
  </r>
  <r>
    <x v="63"/>
    <d v="2020-01-25T00:00:00"/>
    <x v="0"/>
    <n v="993"/>
    <n v="1435"/>
    <x v="0"/>
    <n v="993"/>
    <x v="0"/>
  </r>
  <r>
    <x v="63"/>
    <d v="2020-01-26T00:00:00"/>
    <x v="0"/>
    <n v="897"/>
    <n v="2332"/>
    <x v="0"/>
    <n v="897"/>
    <x v="0"/>
  </r>
  <r>
    <x v="63"/>
    <d v="2020-02-03T00:00:00"/>
    <x v="0"/>
    <n v="49"/>
    <n v="2381"/>
    <x v="2"/>
    <n v="49"/>
    <x v="0"/>
  </r>
  <r>
    <x v="63"/>
    <d v="2020-02-11T00:00:00"/>
    <x v="1"/>
    <n v="464"/>
    <n v="1917"/>
    <x v="2"/>
    <n v="-464"/>
    <x v="0"/>
  </r>
  <r>
    <x v="63"/>
    <d v="2020-02-18T00:00:00"/>
    <x v="2"/>
    <n v="363"/>
    <n v="1554"/>
    <x v="2"/>
    <n v="-363"/>
    <x v="0"/>
  </r>
  <r>
    <x v="63"/>
    <d v="2020-03-08T00:00:00"/>
    <x v="0"/>
    <n v="156"/>
    <n v="1710"/>
    <x v="1"/>
    <n v="156"/>
    <x v="0"/>
  </r>
  <r>
    <x v="63"/>
    <d v="2020-03-22T00:00:00"/>
    <x v="2"/>
    <n v="904"/>
    <n v="806"/>
    <x v="1"/>
    <n v="-904"/>
    <x v="0"/>
  </r>
  <r>
    <x v="63"/>
    <d v="2020-03-29T00:00:00"/>
    <x v="1"/>
    <n v="561"/>
    <n v="245"/>
    <x v="1"/>
    <n v="-561"/>
    <x v="0"/>
  </r>
  <r>
    <x v="64"/>
    <d v="2020-01-26T00:00:00"/>
    <x v="0"/>
    <n v="690"/>
    <n v="690"/>
    <x v="0"/>
    <n v="690"/>
    <x v="0"/>
  </r>
  <r>
    <x v="64"/>
    <d v="2020-01-30T00:00:00"/>
    <x v="1"/>
    <n v="665"/>
    <n v="25"/>
    <x v="0"/>
    <n v="-665"/>
    <x v="0"/>
  </r>
  <r>
    <x v="64"/>
    <d v="2020-03-03T00:00:00"/>
    <x v="1"/>
    <n v="81"/>
    <n v="-56"/>
    <x v="1"/>
    <n v="-81"/>
    <x v="1"/>
  </r>
  <r>
    <x v="64"/>
    <d v="2020-03-17T00:00:00"/>
    <x v="0"/>
    <n v="260"/>
    <n v="204"/>
    <x v="1"/>
    <n v="260"/>
    <x v="0"/>
  </r>
  <r>
    <x v="64"/>
    <d v="2020-03-26T00:00:00"/>
    <x v="2"/>
    <n v="558"/>
    <n v="-354"/>
    <x v="1"/>
    <n v="-558"/>
    <x v="1"/>
  </r>
  <r>
    <x v="64"/>
    <d v="2020-03-26T00:00:00"/>
    <x v="1"/>
    <n v="96"/>
    <n v="-450"/>
    <x v="1"/>
    <n v="-96"/>
    <x v="1"/>
  </r>
  <r>
    <x v="64"/>
    <d v="2020-04-10T00:00:00"/>
    <x v="1"/>
    <n v="931"/>
    <n v="-1381"/>
    <x v="3"/>
    <n v="-931"/>
    <x v="1"/>
  </r>
  <r>
    <x v="65"/>
    <d v="2020-01-16T00:00:00"/>
    <x v="0"/>
    <n v="917"/>
    <n v="917"/>
    <x v="0"/>
    <n v="917"/>
    <x v="0"/>
  </r>
  <r>
    <x v="65"/>
    <d v="2020-01-17T00:00:00"/>
    <x v="0"/>
    <n v="175"/>
    <n v="1092"/>
    <x v="0"/>
    <n v="175"/>
    <x v="0"/>
  </r>
  <r>
    <x v="65"/>
    <d v="2020-01-20T00:00:00"/>
    <x v="0"/>
    <n v="463"/>
    <n v="1555"/>
    <x v="0"/>
    <n v="463"/>
    <x v="0"/>
  </r>
  <r>
    <x v="65"/>
    <d v="2020-01-22T00:00:00"/>
    <x v="0"/>
    <n v="493"/>
    <n v="2048"/>
    <x v="0"/>
    <n v="493"/>
    <x v="0"/>
  </r>
  <r>
    <x v="65"/>
    <d v="2020-01-23T00:00:00"/>
    <x v="1"/>
    <n v="77"/>
    <n v="1971"/>
    <x v="0"/>
    <n v="-77"/>
    <x v="0"/>
  </r>
  <r>
    <x v="65"/>
    <d v="2020-02-20T00:00:00"/>
    <x v="1"/>
    <n v="422"/>
    <n v="1549"/>
    <x v="2"/>
    <n v="-422"/>
    <x v="0"/>
  </r>
  <r>
    <x v="65"/>
    <d v="2020-02-21T00:00:00"/>
    <x v="2"/>
    <n v="57"/>
    <n v="1492"/>
    <x v="2"/>
    <n v="-57"/>
    <x v="0"/>
  </r>
  <r>
    <x v="65"/>
    <d v="2020-03-06T00:00:00"/>
    <x v="1"/>
    <n v="908"/>
    <n v="584"/>
    <x v="1"/>
    <n v="-908"/>
    <x v="0"/>
  </r>
  <r>
    <x v="65"/>
    <d v="2020-03-13T00:00:00"/>
    <x v="2"/>
    <n v="528"/>
    <n v="56"/>
    <x v="1"/>
    <n v="-528"/>
    <x v="0"/>
  </r>
  <r>
    <x v="65"/>
    <d v="2020-03-24T00:00:00"/>
    <x v="2"/>
    <n v="573"/>
    <n v="-517"/>
    <x v="1"/>
    <n v="-573"/>
    <x v="1"/>
  </r>
  <r>
    <x v="66"/>
    <d v="2020-01-22T00:00:00"/>
    <x v="0"/>
    <n v="79"/>
    <n v="79"/>
    <x v="0"/>
    <n v="79"/>
    <x v="0"/>
  </r>
  <r>
    <x v="66"/>
    <d v="2020-01-23T00:00:00"/>
    <x v="0"/>
    <n v="125"/>
    <n v="204"/>
    <x v="0"/>
    <n v="125"/>
    <x v="0"/>
  </r>
  <r>
    <x v="66"/>
    <d v="2020-01-23T00:00:00"/>
    <x v="0"/>
    <n v="705"/>
    <n v="909"/>
    <x v="0"/>
    <n v="705"/>
    <x v="0"/>
  </r>
  <r>
    <x v="66"/>
    <d v="2020-01-26T00:00:00"/>
    <x v="0"/>
    <n v="684"/>
    <n v="1593"/>
    <x v="0"/>
    <n v="684"/>
    <x v="0"/>
  </r>
  <r>
    <x v="66"/>
    <d v="2020-02-05T00:00:00"/>
    <x v="0"/>
    <n v="748"/>
    <n v="2341"/>
    <x v="2"/>
    <n v="748"/>
    <x v="0"/>
  </r>
  <r>
    <x v="66"/>
    <d v="2020-02-07T00:00:00"/>
    <x v="1"/>
    <n v="393"/>
    <n v="1948"/>
    <x v="2"/>
    <n v="-393"/>
    <x v="0"/>
  </r>
  <r>
    <x v="66"/>
    <d v="2020-02-18T00:00:00"/>
    <x v="0"/>
    <n v="617"/>
    <n v="2565"/>
    <x v="2"/>
    <n v="617"/>
    <x v="0"/>
  </r>
  <r>
    <x v="66"/>
    <d v="2020-03-01T00:00:00"/>
    <x v="0"/>
    <n v="873"/>
    <n v="3438"/>
    <x v="1"/>
    <n v="873"/>
    <x v="0"/>
  </r>
  <r>
    <x v="66"/>
    <d v="2020-03-01T00:00:00"/>
    <x v="1"/>
    <n v="770"/>
    <n v="2668"/>
    <x v="1"/>
    <n v="-770"/>
    <x v="0"/>
  </r>
  <r>
    <x v="66"/>
    <d v="2020-03-18T00:00:00"/>
    <x v="2"/>
    <n v="907"/>
    <n v="1761"/>
    <x v="1"/>
    <n v="-907"/>
    <x v="0"/>
  </r>
  <r>
    <x v="66"/>
    <d v="2020-03-24T00:00:00"/>
    <x v="0"/>
    <n v="289"/>
    <n v="2050"/>
    <x v="1"/>
    <n v="289"/>
    <x v="0"/>
  </r>
  <r>
    <x v="66"/>
    <d v="2020-04-02T00:00:00"/>
    <x v="0"/>
    <n v="344"/>
    <n v="2394"/>
    <x v="3"/>
    <n v="344"/>
    <x v="0"/>
  </r>
  <r>
    <x v="66"/>
    <d v="2020-04-06T00:00:00"/>
    <x v="1"/>
    <n v="230"/>
    <n v="2164"/>
    <x v="3"/>
    <n v="-230"/>
    <x v="0"/>
  </r>
  <r>
    <x v="66"/>
    <d v="2020-04-09T00:00:00"/>
    <x v="1"/>
    <n v="191"/>
    <n v="1973"/>
    <x v="3"/>
    <n v="-191"/>
    <x v="0"/>
  </r>
  <r>
    <x v="66"/>
    <d v="2020-04-09T00:00:00"/>
    <x v="1"/>
    <n v="751"/>
    <n v="1222"/>
    <x v="3"/>
    <n v="-751"/>
    <x v="0"/>
  </r>
  <r>
    <x v="67"/>
    <d v="2020-01-20T00:00:00"/>
    <x v="0"/>
    <n v="574"/>
    <n v="574"/>
    <x v="0"/>
    <n v="574"/>
    <x v="0"/>
  </r>
  <r>
    <x v="67"/>
    <d v="2020-02-27T00:00:00"/>
    <x v="1"/>
    <n v="296"/>
    <n v="278"/>
    <x v="2"/>
    <n v="-296"/>
    <x v="0"/>
  </r>
  <r>
    <x v="67"/>
    <d v="2020-03-03T00:00:00"/>
    <x v="1"/>
    <n v="696"/>
    <n v="-418"/>
    <x v="1"/>
    <n v="-696"/>
    <x v="1"/>
  </r>
  <r>
    <x v="67"/>
    <d v="2020-03-08T00:00:00"/>
    <x v="0"/>
    <n v="488"/>
    <n v="70"/>
    <x v="1"/>
    <n v="488"/>
    <x v="0"/>
  </r>
  <r>
    <x v="67"/>
    <d v="2020-03-17T00:00:00"/>
    <x v="1"/>
    <n v="536"/>
    <n v="-466"/>
    <x v="1"/>
    <n v="-536"/>
    <x v="1"/>
  </r>
  <r>
    <x v="67"/>
    <d v="2020-03-23T00:00:00"/>
    <x v="1"/>
    <n v="224"/>
    <n v="-690"/>
    <x v="1"/>
    <n v="-224"/>
    <x v="1"/>
  </r>
  <r>
    <x v="67"/>
    <d v="2020-03-24T00:00:00"/>
    <x v="0"/>
    <n v="234"/>
    <n v="-456"/>
    <x v="1"/>
    <n v="234"/>
    <x v="1"/>
  </r>
  <r>
    <x v="68"/>
    <d v="2020-01-10T00:00:00"/>
    <x v="0"/>
    <n v="124"/>
    <n v="124"/>
    <x v="0"/>
    <n v="124"/>
    <x v="0"/>
  </r>
  <r>
    <x v="68"/>
    <d v="2020-01-17T00:00:00"/>
    <x v="0"/>
    <n v="901"/>
    <n v="1025"/>
    <x v="0"/>
    <n v="901"/>
    <x v="0"/>
  </r>
  <r>
    <x v="68"/>
    <d v="2020-01-21T00:00:00"/>
    <x v="2"/>
    <n v="812"/>
    <n v="213"/>
    <x v="0"/>
    <n v="-812"/>
    <x v="0"/>
  </r>
  <r>
    <x v="68"/>
    <d v="2020-01-22T00:00:00"/>
    <x v="0"/>
    <n v="3"/>
    <n v="216"/>
    <x v="0"/>
    <n v="3"/>
    <x v="0"/>
  </r>
  <r>
    <x v="68"/>
    <d v="2020-01-23T00:00:00"/>
    <x v="1"/>
    <n v="193"/>
    <n v="23"/>
    <x v="0"/>
    <n v="-193"/>
    <x v="0"/>
  </r>
  <r>
    <x v="68"/>
    <d v="2020-02-08T00:00:00"/>
    <x v="1"/>
    <n v="976"/>
    <n v="-953"/>
    <x v="2"/>
    <n v="-976"/>
    <x v="1"/>
  </r>
  <r>
    <x v="68"/>
    <d v="2020-02-08T00:00:00"/>
    <x v="1"/>
    <n v="972"/>
    <n v="-1925"/>
    <x v="2"/>
    <n v="-972"/>
    <x v="1"/>
  </r>
  <r>
    <x v="68"/>
    <d v="2020-02-14T00:00:00"/>
    <x v="2"/>
    <n v="216"/>
    <n v="-2141"/>
    <x v="2"/>
    <n v="-216"/>
    <x v="1"/>
  </r>
  <r>
    <x v="68"/>
    <d v="2020-02-16T00:00:00"/>
    <x v="0"/>
    <n v="754"/>
    <n v="-1387"/>
    <x v="2"/>
    <n v="754"/>
    <x v="1"/>
  </r>
  <r>
    <x v="68"/>
    <d v="2020-02-19T00:00:00"/>
    <x v="0"/>
    <n v="168"/>
    <n v="-1219"/>
    <x v="2"/>
    <n v="168"/>
    <x v="1"/>
  </r>
  <r>
    <x v="68"/>
    <d v="2020-02-22T00:00:00"/>
    <x v="2"/>
    <n v="724"/>
    <n v="-1943"/>
    <x v="2"/>
    <n v="-724"/>
    <x v="1"/>
  </r>
  <r>
    <x v="68"/>
    <d v="2020-02-22T00:00:00"/>
    <x v="1"/>
    <n v="451"/>
    <n v="-2394"/>
    <x v="2"/>
    <n v="-451"/>
    <x v="1"/>
  </r>
  <r>
    <x v="68"/>
    <d v="2020-02-25T00:00:00"/>
    <x v="0"/>
    <n v="450"/>
    <n v="-1944"/>
    <x v="2"/>
    <n v="450"/>
    <x v="1"/>
  </r>
  <r>
    <x v="68"/>
    <d v="2020-03-07T00:00:00"/>
    <x v="0"/>
    <n v="792"/>
    <n v="-1152"/>
    <x v="1"/>
    <n v="792"/>
    <x v="1"/>
  </r>
  <r>
    <x v="68"/>
    <d v="2020-03-11T00:00:00"/>
    <x v="2"/>
    <n v="541"/>
    <n v="-1693"/>
    <x v="1"/>
    <n v="-541"/>
    <x v="1"/>
  </r>
  <r>
    <x v="68"/>
    <d v="2020-03-13T00:00:00"/>
    <x v="1"/>
    <n v="755"/>
    <n v="-2448"/>
    <x v="1"/>
    <n v="-755"/>
    <x v="1"/>
  </r>
  <r>
    <x v="68"/>
    <d v="2020-03-16T00:00:00"/>
    <x v="2"/>
    <n v="237"/>
    <n v="-2685"/>
    <x v="1"/>
    <n v="-237"/>
    <x v="1"/>
  </r>
  <r>
    <x v="68"/>
    <d v="2020-03-24T00:00:00"/>
    <x v="0"/>
    <n v="597"/>
    <n v="-2088"/>
    <x v="1"/>
    <n v="597"/>
    <x v="1"/>
  </r>
  <r>
    <x v="68"/>
    <d v="2020-03-27T00:00:00"/>
    <x v="0"/>
    <n v="187"/>
    <n v="-1901"/>
    <x v="1"/>
    <n v="187"/>
    <x v="1"/>
  </r>
  <r>
    <x v="68"/>
    <d v="2020-03-30T00:00:00"/>
    <x v="1"/>
    <n v="437"/>
    <n v="-2338"/>
    <x v="1"/>
    <n v="-437"/>
    <x v="1"/>
  </r>
  <r>
    <x v="68"/>
    <d v="2020-04-01T00:00:00"/>
    <x v="1"/>
    <n v="269"/>
    <n v="-2607"/>
    <x v="3"/>
    <n v="-269"/>
    <x v="1"/>
  </r>
  <r>
    <x v="68"/>
    <d v="2020-04-04T00:00:00"/>
    <x v="1"/>
    <n v="478"/>
    <n v="-3085"/>
    <x v="3"/>
    <n v="-478"/>
    <x v="1"/>
  </r>
  <r>
    <x v="69"/>
    <d v="2020-01-08T00:00:00"/>
    <x v="0"/>
    <n v="786"/>
    <n v="786"/>
    <x v="0"/>
    <n v="786"/>
    <x v="0"/>
  </r>
  <r>
    <x v="69"/>
    <d v="2020-01-17T00:00:00"/>
    <x v="2"/>
    <n v="265"/>
    <n v="521"/>
    <x v="0"/>
    <n v="-265"/>
    <x v="0"/>
  </r>
  <r>
    <x v="69"/>
    <d v="2020-01-22T00:00:00"/>
    <x v="0"/>
    <n v="205"/>
    <n v="726"/>
    <x v="0"/>
    <n v="205"/>
    <x v="0"/>
  </r>
  <r>
    <x v="69"/>
    <d v="2020-01-26T00:00:00"/>
    <x v="1"/>
    <n v="602"/>
    <n v="124"/>
    <x v="0"/>
    <n v="-602"/>
    <x v="0"/>
  </r>
  <r>
    <x v="69"/>
    <d v="2020-01-28T00:00:00"/>
    <x v="2"/>
    <n v="591"/>
    <n v="-467"/>
    <x v="0"/>
    <n v="-591"/>
    <x v="1"/>
  </r>
  <r>
    <x v="69"/>
    <d v="2020-01-31T00:00:00"/>
    <x v="2"/>
    <n v="117"/>
    <n v="-584"/>
    <x v="0"/>
    <n v="-117"/>
    <x v="1"/>
  </r>
  <r>
    <x v="69"/>
    <d v="2020-02-11T00:00:00"/>
    <x v="0"/>
    <n v="221"/>
    <n v="-363"/>
    <x v="2"/>
    <n v="221"/>
    <x v="1"/>
  </r>
  <r>
    <x v="69"/>
    <d v="2020-02-13T00:00:00"/>
    <x v="0"/>
    <n v="659"/>
    <n v="296"/>
    <x v="2"/>
    <n v="659"/>
    <x v="0"/>
  </r>
  <r>
    <x v="69"/>
    <d v="2020-02-25T00:00:00"/>
    <x v="1"/>
    <n v="359"/>
    <n v="-63"/>
    <x v="2"/>
    <n v="-359"/>
    <x v="1"/>
  </r>
  <r>
    <x v="69"/>
    <d v="2020-03-09T00:00:00"/>
    <x v="2"/>
    <n v="927"/>
    <n v="-990"/>
    <x v="1"/>
    <n v="-927"/>
    <x v="1"/>
  </r>
  <r>
    <x v="69"/>
    <d v="2020-03-17T00:00:00"/>
    <x v="0"/>
    <n v="337"/>
    <n v="-653"/>
    <x v="1"/>
    <n v="337"/>
    <x v="1"/>
  </r>
  <r>
    <x v="69"/>
    <d v="2020-03-18T00:00:00"/>
    <x v="2"/>
    <n v="62"/>
    <n v="-715"/>
    <x v="1"/>
    <n v="-62"/>
    <x v="1"/>
  </r>
  <r>
    <x v="69"/>
    <d v="2020-03-22T00:00:00"/>
    <x v="2"/>
    <n v="934"/>
    <n v="-1649"/>
    <x v="1"/>
    <n v="-934"/>
    <x v="1"/>
  </r>
  <r>
    <x v="69"/>
    <d v="2020-03-29T00:00:00"/>
    <x v="2"/>
    <n v="165"/>
    <n v="-1814"/>
    <x v="1"/>
    <n v="-165"/>
    <x v="1"/>
  </r>
  <r>
    <x v="70"/>
    <d v="2020-01-14T00:00:00"/>
    <x v="0"/>
    <n v="128"/>
    <n v="128"/>
    <x v="0"/>
    <n v="128"/>
    <x v="0"/>
  </r>
  <r>
    <x v="70"/>
    <d v="2020-02-17T00:00:00"/>
    <x v="2"/>
    <n v="178"/>
    <n v="-50"/>
    <x v="2"/>
    <n v="-178"/>
    <x v="1"/>
  </r>
  <r>
    <x v="70"/>
    <d v="2020-02-25T00:00:00"/>
    <x v="2"/>
    <n v="623"/>
    <n v="-673"/>
    <x v="2"/>
    <n v="-623"/>
    <x v="1"/>
  </r>
  <r>
    <x v="70"/>
    <d v="2020-03-14T00:00:00"/>
    <x v="2"/>
    <n v="592"/>
    <n v="-1265"/>
    <x v="1"/>
    <n v="-592"/>
    <x v="1"/>
  </r>
  <r>
    <x v="71"/>
    <d v="2020-01-20T00:00:00"/>
    <x v="0"/>
    <n v="796"/>
    <n v="796"/>
    <x v="0"/>
    <n v="796"/>
    <x v="0"/>
  </r>
  <r>
    <x v="71"/>
    <d v="2020-02-06T00:00:00"/>
    <x v="0"/>
    <n v="390"/>
    <n v="1186"/>
    <x v="2"/>
    <n v="390"/>
    <x v="0"/>
  </r>
  <r>
    <x v="71"/>
    <d v="2020-02-08T00:00:00"/>
    <x v="2"/>
    <n v="493"/>
    <n v="693"/>
    <x v="2"/>
    <n v="-493"/>
    <x v="0"/>
  </r>
  <r>
    <x v="71"/>
    <d v="2020-02-24T00:00:00"/>
    <x v="2"/>
    <n v="932"/>
    <n v="-239"/>
    <x v="2"/>
    <n v="-932"/>
    <x v="1"/>
  </r>
  <r>
    <x v="71"/>
    <d v="2020-02-28T00:00:00"/>
    <x v="2"/>
    <n v="564"/>
    <n v="-803"/>
    <x v="2"/>
    <n v="-564"/>
    <x v="1"/>
  </r>
  <r>
    <x v="71"/>
    <d v="2020-03-18T00:00:00"/>
    <x v="0"/>
    <n v="627"/>
    <n v="-176"/>
    <x v="1"/>
    <n v="627"/>
    <x v="1"/>
  </r>
  <r>
    <x v="71"/>
    <d v="2020-03-18T00:00:00"/>
    <x v="1"/>
    <n v="492"/>
    <n v="-668"/>
    <x v="1"/>
    <n v="-492"/>
    <x v="1"/>
  </r>
  <r>
    <x v="71"/>
    <d v="2020-03-24T00:00:00"/>
    <x v="1"/>
    <n v="800"/>
    <n v="-1468"/>
    <x v="1"/>
    <n v="-800"/>
    <x v="1"/>
  </r>
  <r>
    <x v="71"/>
    <d v="2020-03-28T00:00:00"/>
    <x v="1"/>
    <n v="212"/>
    <n v="-1680"/>
    <x v="1"/>
    <n v="-212"/>
    <x v="1"/>
  </r>
  <r>
    <x v="71"/>
    <d v="2020-04-10T00:00:00"/>
    <x v="1"/>
    <n v="92"/>
    <n v="-1772"/>
    <x v="3"/>
    <n v="-92"/>
    <x v="1"/>
  </r>
  <r>
    <x v="71"/>
    <d v="2020-04-17T00:00:00"/>
    <x v="2"/>
    <n v="555"/>
    <n v="-2327"/>
    <x v="3"/>
    <n v="-555"/>
    <x v="1"/>
  </r>
  <r>
    <x v="72"/>
    <d v="2020-01-06T00:00:00"/>
    <x v="0"/>
    <n v="442"/>
    <n v="442"/>
    <x v="0"/>
    <n v="442"/>
    <x v="0"/>
  </r>
  <r>
    <x v="72"/>
    <d v="2020-01-10T00:00:00"/>
    <x v="0"/>
    <n v="71"/>
    <n v="513"/>
    <x v="0"/>
    <n v="71"/>
    <x v="0"/>
  </r>
  <r>
    <x v="73"/>
    <d v="2020-01-13T00:00:00"/>
    <x v="0"/>
    <n v="229"/>
    <n v="229"/>
    <x v="0"/>
    <n v="229"/>
    <x v="0"/>
  </r>
  <r>
    <x v="73"/>
    <d v="2020-03-21T00:00:00"/>
    <x v="0"/>
    <n v="89"/>
    <n v="318"/>
    <x v="1"/>
    <n v="89"/>
    <x v="0"/>
  </r>
  <r>
    <x v="74"/>
    <d v="2020-01-22T00:00:00"/>
    <x v="0"/>
    <n v="234"/>
    <n v="234"/>
    <x v="0"/>
    <n v="234"/>
    <x v="0"/>
  </r>
  <r>
    <x v="74"/>
    <d v="2020-02-21T00:00:00"/>
    <x v="0"/>
    <n v="60"/>
    <n v="294"/>
    <x v="2"/>
    <n v="60"/>
    <x v="0"/>
  </r>
  <r>
    <x v="75"/>
    <d v="2020-01-04T00:00:00"/>
    <x v="0"/>
    <n v="553"/>
    <n v="553"/>
    <x v="0"/>
    <n v="553"/>
    <x v="0"/>
  </r>
  <r>
    <x v="75"/>
    <d v="2020-01-04T00:00:00"/>
    <x v="0"/>
    <n v="641"/>
    <n v="1194"/>
    <x v="0"/>
    <n v="641"/>
    <x v="0"/>
  </r>
  <r>
    <x v="75"/>
    <d v="2020-01-05T00:00:00"/>
    <x v="2"/>
    <n v="485"/>
    <n v="709"/>
    <x v="0"/>
    <n v="-485"/>
    <x v="0"/>
  </r>
  <r>
    <x v="75"/>
    <d v="2020-01-11T00:00:00"/>
    <x v="0"/>
    <n v="139"/>
    <n v="848"/>
    <x v="0"/>
    <n v="139"/>
    <x v="0"/>
  </r>
  <r>
    <x v="75"/>
    <d v="2020-01-13T00:00:00"/>
    <x v="2"/>
    <n v="900"/>
    <n v="-52"/>
    <x v="0"/>
    <n v="-900"/>
    <x v="1"/>
  </r>
  <r>
    <x v="75"/>
    <d v="2020-01-21T00:00:00"/>
    <x v="2"/>
    <n v="775"/>
    <n v="-827"/>
    <x v="0"/>
    <n v="-775"/>
    <x v="1"/>
  </r>
  <r>
    <x v="75"/>
    <d v="2020-01-24T00:00:00"/>
    <x v="0"/>
    <n v="981"/>
    <n v="154"/>
    <x v="0"/>
    <n v="981"/>
    <x v="0"/>
  </r>
  <r>
    <x v="75"/>
    <d v="2020-01-29T00:00:00"/>
    <x v="0"/>
    <n v="771"/>
    <n v="925"/>
    <x v="0"/>
    <n v="771"/>
    <x v="0"/>
  </r>
  <r>
    <x v="75"/>
    <d v="2020-02-05T00:00:00"/>
    <x v="1"/>
    <n v="847"/>
    <n v="78"/>
    <x v="2"/>
    <n v="-847"/>
    <x v="0"/>
  </r>
  <r>
    <x v="75"/>
    <d v="2020-02-08T00:00:00"/>
    <x v="0"/>
    <n v="367"/>
    <n v="445"/>
    <x v="2"/>
    <n v="367"/>
    <x v="0"/>
  </r>
  <r>
    <x v="75"/>
    <d v="2020-02-08T00:00:00"/>
    <x v="0"/>
    <n v="754"/>
    <n v="1199"/>
    <x v="2"/>
    <n v="754"/>
    <x v="0"/>
  </r>
  <r>
    <x v="75"/>
    <d v="2020-02-10T00:00:00"/>
    <x v="0"/>
    <n v="859"/>
    <n v="2058"/>
    <x v="2"/>
    <n v="859"/>
    <x v="0"/>
  </r>
  <r>
    <x v="75"/>
    <d v="2020-02-14T00:00:00"/>
    <x v="0"/>
    <n v="716"/>
    <n v="2774"/>
    <x v="2"/>
    <n v="716"/>
    <x v="0"/>
  </r>
  <r>
    <x v="75"/>
    <d v="2020-02-23T00:00:00"/>
    <x v="1"/>
    <n v="693"/>
    <n v="2081"/>
    <x v="2"/>
    <n v="-693"/>
    <x v="0"/>
  </r>
  <r>
    <x v="75"/>
    <d v="2020-03-02T00:00:00"/>
    <x v="2"/>
    <n v="251"/>
    <n v="1830"/>
    <x v="1"/>
    <n v="-251"/>
    <x v="0"/>
  </r>
  <r>
    <x v="75"/>
    <d v="2020-03-07T00:00:00"/>
    <x v="2"/>
    <n v="797"/>
    <n v="1033"/>
    <x v="1"/>
    <n v="-797"/>
    <x v="0"/>
  </r>
  <r>
    <x v="75"/>
    <d v="2020-03-26T00:00:00"/>
    <x v="1"/>
    <n v="598"/>
    <n v="435"/>
    <x v="1"/>
    <n v="-598"/>
    <x v="0"/>
  </r>
  <r>
    <x v="76"/>
    <d v="2020-01-08T00:00:00"/>
    <x v="0"/>
    <n v="120"/>
    <n v="120"/>
    <x v="0"/>
    <n v="120"/>
    <x v="0"/>
  </r>
  <r>
    <x v="76"/>
    <d v="2020-02-19T00:00:00"/>
    <x v="0"/>
    <n v="381"/>
    <n v="501"/>
    <x v="2"/>
    <n v="381"/>
    <x v="0"/>
  </r>
  <r>
    <x v="76"/>
    <d v="2020-03-01T00:00:00"/>
    <x v="0"/>
    <n v="616"/>
    <n v="1117"/>
    <x v="1"/>
    <n v="616"/>
    <x v="0"/>
  </r>
  <r>
    <x v="76"/>
    <d v="2020-03-07T00:00:00"/>
    <x v="0"/>
    <n v="92"/>
    <n v="1209"/>
    <x v="1"/>
    <n v="92"/>
    <x v="0"/>
  </r>
  <r>
    <x v="76"/>
    <d v="2020-03-08T00:00:00"/>
    <x v="2"/>
    <n v="412"/>
    <n v="797"/>
    <x v="1"/>
    <n v="-412"/>
    <x v="0"/>
  </r>
  <r>
    <x v="77"/>
    <d v="2020-01-28T00:00:00"/>
    <x v="0"/>
    <n v="986"/>
    <n v="986"/>
    <x v="0"/>
    <n v="986"/>
    <x v="0"/>
  </r>
  <r>
    <x v="77"/>
    <d v="2020-01-31T00:00:00"/>
    <x v="1"/>
    <n v="292"/>
    <n v="694"/>
    <x v="0"/>
    <n v="-292"/>
    <x v="0"/>
  </r>
  <r>
    <x v="77"/>
    <d v="2020-02-03T00:00:00"/>
    <x v="1"/>
    <n v="935"/>
    <n v="-241"/>
    <x v="2"/>
    <n v="-935"/>
    <x v="1"/>
  </r>
  <r>
    <x v="77"/>
    <d v="2020-02-05T00:00:00"/>
    <x v="1"/>
    <n v="640"/>
    <n v="-881"/>
    <x v="2"/>
    <n v="-640"/>
    <x v="1"/>
  </r>
  <r>
    <x v="77"/>
    <d v="2020-02-11T00:00:00"/>
    <x v="0"/>
    <n v="108"/>
    <n v="-773"/>
    <x v="2"/>
    <n v="108"/>
    <x v="1"/>
  </r>
  <r>
    <x v="77"/>
    <d v="2020-02-12T00:00:00"/>
    <x v="2"/>
    <n v="289"/>
    <n v="-1062"/>
    <x v="2"/>
    <n v="-289"/>
    <x v="1"/>
  </r>
  <r>
    <x v="77"/>
    <d v="2020-02-16T00:00:00"/>
    <x v="0"/>
    <n v="300"/>
    <n v="-762"/>
    <x v="2"/>
    <n v="300"/>
    <x v="1"/>
  </r>
  <r>
    <x v="77"/>
    <d v="2020-03-13T00:00:00"/>
    <x v="1"/>
    <n v="103"/>
    <n v="-865"/>
    <x v="1"/>
    <n v="-103"/>
    <x v="1"/>
  </r>
  <r>
    <x v="77"/>
    <d v="2020-03-22T00:00:00"/>
    <x v="1"/>
    <n v="511"/>
    <n v="-1376"/>
    <x v="1"/>
    <n v="-511"/>
    <x v="1"/>
  </r>
  <r>
    <x v="77"/>
    <d v="2020-03-24T00:00:00"/>
    <x v="0"/>
    <n v="659"/>
    <n v="-717"/>
    <x v="1"/>
    <n v="659"/>
    <x v="1"/>
  </r>
  <r>
    <x v="77"/>
    <d v="2020-04-14T00:00:00"/>
    <x v="1"/>
    <n v="259"/>
    <n v="-976"/>
    <x v="3"/>
    <n v="-259"/>
    <x v="1"/>
  </r>
  <r>
    <x v="78"/>
    <d v="2020-01-29T00:00:00"/>
    <x v="0"/>
    <n v="521"/>
    <n v="521"/>
    <x v="0"/>
    <n v="521"/>
    <x v="0"/>
  </r>
  <r>
    <x v="78"/>
    <d v="2020-02-24T00:00:00"/>
    <x v="0"/>
    <n v="702"/>
    <n v="1223"/>
    <x v="2"/>
    <n v="702"/>
    <x v="0"/>
  </r>
  <r>
    <x v="78"/>
    <d v="2020-02-29T00:00:00"/>
    <x v="0"/>
    <n v="157"/>
    <n v="1380"/>
    <x v="2"/>
    <n v="157"/>
    <x v="0"/>
  </r>
  <r>
    <x v="79"/>
    <d v="2020-01-25T00:00:00"/>
    <x v="0"/>
    <n v="795"/>
    <n v="795"/>
    <x v="0"/>
    <n v="795"/>
    <x v="0"/>
  </r>
  <r>
    <x v="79"/>
    <d v="2020-02-18T00:00:00"/>
    <x v="0"/>
    <n v="395"/>
    <n v="1190"/>
    <x v="2"/>
    <n v="395"/>
    <x v="0"/>
  </r>
  <r>
    <x v="79"/>
    <d v="2020-03-13T00:00:00"/>
    <x v="1"/>
    <n v="131"/>
    <n v="1059"/>
    <x v="1"/>
    <n v="-131"/>
    <x v="0"/>
  </r>
  <r>
    <x v="79"/>
    <d v="2020-03-26T00:00:00"/>
    <x v="0"/>
    <n v="80"/>
    <n v="1139"/>
    <x v="1"/>
    <n v="80"/>
    <x v="0"/>
  </r>
  <r>
    <x v="79"/>
    <d v="2020-03-31T00:00:00"/>
    <x v="1"/>
    <n v="517"/>
    <n v="622"/>
    <x v="1"/>
    <n v="-517"/>
    <x v="0"/>
  </r>
  <r>
    <x v="79"/>
    <d v="2020-04-16T00:00:00"/>
    <x v="1"/>
    <n v="423"/>
    <n v="199"/>
    <x v="3"/>
    <n v="-423"/>
    <x v="0"/>
  </r>
  <r>
    <x v="80"/>
    <d v="2020-01-25T00:00:00"/>
    <x v="0"/>
    <n v="403"/>
    <n v="403"/>
    <x v="0"/>
    <n v="403"/>
    <x v="0"/>
  </r>
  <r>
    <x v="80"/>
    <d v="2020-02-12T00:00:00"/>
    <x v="1"/>
    <n v="802"/>
    <n v="-399"/>
    <x v="2"/>
    <n v="-802"/>
    <x v="1"/>
  </r>
  <r>
    <x v="80"/>
    <d v="2020-02-22T00:00:00"/>
    <x v="2"/>
    <n v="558"/>
    <n v="-957"/>
    <x v="2"/>
    <n v="-558"/>
    <x v="1"/>
  </r>
  <r>
    <x v="80"/>
    <d v="2020-03-04T00:00:00"/>
    <x v="0"/>
    <n v="497"/>
    <n v="-460"/>
    <x v="1"/>
    <n v="497"/>
    <x v="1"/>
  </r>
  <r>
    <x v="80"/>
    <d v="2020-03-09T00:00:00"/>
    <x v="0"/>
    <n v="741"/>
    <n v="281"/>
    <x v="1"/>
    <n v="741"/>
    <x v="0"/>
  </r>
  <r>
    <x v="80"/>
    <d v="2020-03-10T00:00:00"/>
    <x v="2"/>
    <n v="744"/>
    <n v="-463"/>
    <x v="1"/>
    <n v="-744"/>
    <x v="1"/>
  </r>
  <r>
    <x v="80"/>
    <d v="2020-03-29T00:00:00"/>
    <x v="2"/>
    <n v="643"/>
    <n v="-1106"/>
    <x v="1"/>
    <n v="-643"/>
    <x v="1"/>
  </r>
  <r>
    <x v="80"/>
    <d v="2020-04-01T00:00:00"/>
    <x v="1"/>
    <n v="224"/>
    <n v="-1330"/>
    <x v="3"/>
    <n v="-224"/>
    <x v="1"/>
  </r>
  <r>
    <x v="80"/>
    <d v="2020-04-11T00:00:00"/>
    <x v="1"/>
    <n v="65"/>
    <n v="-1395"/>
    <x v="3"/>
    <n v="-65"/>
    <x v="1"/>
  </r>
  <r>
    <x v="80"/>
    <d v="2020-04-14T00:00:00"/>
    <x v="0"/>
    <n v="494"/>
    <n v="-901"/>
    <x v="3"/>
    <n v="494"/>
    <x v="1"/>
  </r>
  <r>
    <x v="80"/>
    <d v="2020-04-19T00:00:00"/>
    <x v="2"/>
    <n v="610"/>
    <n v="-1511"/>
    <x v="3"/>
    <n v="-610"/>
    <x v="1"/>
  </r>
  <r>
    <x v="80"/>
    <d v="2020-04-20T00:00:00"/>
    <x v="1"/>
    <n v="473"/>
    <n v="-1984"/>
    <x v="3"/>
    <n v="-473"/>
    <x v="1"/>
  </r>
  <r>
    <x v="81"/>
    <d v="2020-01-09T00:00:00"/>
    <x v="0"/>
    <n v="363"/>
    <n v="363"/>
    <x v="0"/>
    <n v="363"/>
    <x v="0"/>
  </r>
  <r>
    <x v="81"/>
    <d v="2020-01-15T00:00:00"/>
    <x v="1"/>
    <n v="972"/>
    <n v="-609"/>
    <x v="0"/>
    <n v="-972"/>
    <x v="1"/>
  </r>
  <r>
    <x v="81"/>
    <d v="2020-01-16T00:00:00"/>
    <x v="2"/>
    <n v="979"/>
    <n v="-1588"/>
    <x v="0"/>
    <n v="-979"/>
    <x v="1"/>
  </r>
  <r>
    <x v="81"/>
    <d v="2020-01-18T00:00:00"/>
    <x v="2"/>
    <n v="193"/>
    <n v="-1781"/>
    <x v="0"/>
    <n v="-193"/>
    <x v="1"/>
  </r>
  <r>
    <x v="81"/>
    <d v="2020-01-26T00:00:00"/>
    <x v="1"/>
    <n v="889"/>
    <n v="-2670"/>
    <x v="0"/>
    <n v="-889"/>
    <x v="1"/>
  </r>
  <r>
    <x v="81"/>
    <d v="2020-01-27T00:00:00"/>
    <x v="0"/>
    <n v="854"/>
    <n v="-1816"/>
    <x v="0"/>
    <n v="854"/>
    <x v="1"/>
  </r>
  <r>
    <x v="81"/>
    <d v="2020-01-28T00:00:00"/>
    <x v="2"/>
    <n v="436"/>
    <n v="-2252"/>
    <x v="0"/>
    <n v="-436"/>
    <x v="1"/>
  </r>
  <r>
    <x v="81"/>
    <d v="2020-01-28T00:00:00"/>
    <x v="2"/>
    <n v="760"/>
    <n v="-3012"/>
    <x v="0"/>
    <n v="-760"/>
    <x v="1"/>
  </r>
  <r>
    <x v="81"/>
    <d v="2020-01-30T00:00:00"/>
    <x v="1"/>
    <n v="900"/>
    <n v="-3912"/>
    <x v="0"/>
    <n v="-900"/>
    <x v="1"/>
  </r>
  <r>
    <x v="81"/>
    <d v="2020-02-04T00:00:00"/>
    <x v="1"/>
    <n v="74"/>
    <n v="-3986"/>
    <x v="2"/>
    <n v="-74"/>
    <x v="1"/>
  </r>
  <r>
    <x v="81"/>
    <d v="2020-03-06T00:00:00"/>
    <x v="2"/>
    <n v="66"/>
    <n v="-4052"/>
    <x v="1"/>
    <n v="-66"/>
    <x v="1"/>
  </r>
  <r>
    <x v="81"/>
    <d v="2020-03-10T00:00:00"/>
    <x v="2"/>
    <n v="764"/>
    <n v="-4816"/>
    <x v="1"/>
    <n v="-764"/>
    <x v="1"/>
  </r>
  <r>
    <x v="81"/>
    <d v="2020-03-14T00:00:00"/>
    <x v="0"/>
    <n v="778"/>
    <n v="-4038"/>
    <x v="1"/>
    <n v="778"/>
    <x v="1"/>
  </r>
  <r>
    <x v="81"/>
    <d v="2020-03-15T00:00:00"/>
    <x v="0"/>
    <n v="789"/>
    <n v="-3249"/>
    <x v="1"/>
    <n v="789"/>
    <x v="1"/>
  </r>
  <r>
    <x v="81"/>
    <d v="2020-04-02T00:00:00"/>
    <x v="1"/>
    <n v="946"/>
    <n v="-4195"/>
    <x v="3"/>
    <n v="-946"/>
    <x v="1"/>
  </r>
  <r>
    <x v="81"/>
    <d v="2020-04-03T00:00:00"/>
    <x v="1"/>
    <n v="419"/>
    <n v="-4614"/>
    <x v="3"/>
    <n v="-419"/>
    <x v="1"/>
  </r>
  <r>
    <x v="82"/>
    <d v="2020-01-09T00:00:00"/>
    <x v="0"/>
    <n v="942"/>
    <n v="942"/>
    <x v="0"/>
    <n v="942"/>
    <x v="0"/>
  </r>
  <r>
    <x v="82"/>
    <d v="2020-01-25T00:00:00"/>
    <x v="0"/>
    <n v="875"/>
    <n v="1817"/>
    <x v="0"/>
    <n v="875"/>
    <x v="0"/>
  </r>
  <r>
    <x v="82"/>
    <d v="2020-01-27T00:00:00"/>
    <x v="1"/>
    <n v="718"/>
    <n v="1099"/>
    <x v="0"/>
    <n v="-718"/>
    <x v="0"/>
  </r>
  <r>
    <x v="82"/>
    <d v="2020-02-09T00:00:00"/>
    <x v="2"/>
    <n v="655"/>
    <n v="444"/>
    <x v="2"/>
    <n v="-655"/>
    <x v="0"/>
  </r>
  <r>
    <x v="82"/>
    <d v="2020-02-11T00:00:00"/>
    <x v="1"/>
    <n v="787"/>
    <n v="-343"/>
    <x v="2"/>
    <n v="-787"/>
    <x v="1"/>
  </r>
  <r>
    <x v="82"/>
    <d v="2020-02-19T00:00:00"/>
    <x v="1"/>
    <n v="308"/>
    <n v="-651"/>
    <x v="2"/>
    <n v="-308"/>
    <x v="1"/>
  </r>
  <r>
    <x v="82"/>
    <d v="2020-02-27T00:00:00"/>
    <x v="1"/>
    <n v="41"/>
    <n v="-692"/>
    <x v="2"/>
    <n v="-41"/>
    <x v="1"/>
  </r>
  <r>
    <x v="82"/>
    <d v="2020-03-03T00:00:00"/>
    <x v="2"/>
    <n v="301"/>
    <n v="-993"/>
    <x v="1"/>
    <n v="-301"/>
    <x v="1"/>
  </r>
  <r>
    <x v="82"/>
    <d v="2020-03-09T00:00:00"/>
    <x v="0"/>
    <n v="713"/>
    <n v="-280"/>
    <x v="1"/>
    <n v="713"/>
    <x v="1"/>
  </r>
  <r>
    <x v="82"/>
    <d v="2020-03-18T00:00:00"/>
    <x v="0"/>
    <n v="617"/>
    <n v="337"/>
    <x v="1"/>
    <n v="617"/>
    <x v="0"/>
  </r>
  <r>
    <x v="82"/>
    <d v="2020-03-21T00:00:00"/>
    <x v="1"/>
    <n v="827"/>
    <n v="-490"/>
    <x v="1"/>
    <n v="-827"/>
    <x v="1"/>
  </r>
  <r>
    <x v="82"/>
    <d v="2020-03-28T00:00:00"/>
    <x v="1"/>
    <n v="566"/>
    <n v="-1056"/>
    <x v="1"/>
    <n v="-566"/>
    <x v="1"/>
  </r>
  <r>
    <x v="82"/>
    <d v="2020-03-30T00:00:00"/>
    <x v="0"/>
    <n v="247"/>
    <n v="-809"/>
    <x v="1"/>
    <n v="247"/>
    <x v="1"/>
  </r>
  <r>
    <x v="82"/>
    <d v="2020-03-30T00:00:00"/>
    <x v="0"/>
    <n v="67"/>
    <n v="-742"/>
    <x v="1"/>
    <n v="67"/>
    <x v="1"/>
  </r>
  <r>
    <x v="82"/>
    <d v="2020-04-07T00:00:00"/>
    <x v="0"/>
    <n v="365"/>
    <n v="-377"/>
    <x v="3"/>
    <n v="365"/>
    <x v="1"/>
  </r>
  <r>
    <x v="83"/>
    <d v="2020-01-23T00:00:00"/>
    <x v="0"/>
    <n v="968"/>
    <n v="968"/>
    <x v="0"/>
    <n v="968"/>
    <x v="0"/>
  </r>
  <r>
    <x v="83"/>
    <d v="2020-03-05T00:00:00"/>
    <x v="1"/>
    <n v="359"/>
    <n v="609"/>
    <x v="1"/>
    <n v="-359"/>
    <x v="0"/>
  </r>
  <r>
    <x v="84"/>
    <d v="2020-01-11T00:00:00"/>
    <x v="0"/>
    <n v="467"/>
    <n v="467"/>
    <x v="0"/>
    <n v="467"/>
    <x v="0"/>
  </r>
  <r>
    <x v="84"/>
    <d v="2020-03-23T00:00:00"/>
    <x v="0"/>
    <n v="609"/>
    <n v="1076"/>
    <x v="1"/>
    <n v="609"/>
    <x v="0"/>
  </r>
  <r>
    <x v="84"/>
    <d v="2020-04-04T00:00:00"/>
    <x v="1"/>
    <n v="430"/>
    <n v="646"/>
    <x v="3"/>
    <n v="-430"/>
    <x v="0"/>
  </r>
  <r>
    <x v="85"/>
    <d v="2020-01-03T00:00:00"/>
    <x v="0"/>
    <n v="12"/>
    <n v="12"/>
    <x v="0"/>
    <n v="12"/>
    <x v="0"/>
  </r>
  <r>
    <x v="85"/>
    <d v="2020-01-13T00:00:00"/>
    <x v="0"/>
    <n v="592"/>
    <n v="604"/>
    <x v="0"/>
    <n v="592"/>
    <x v="0"/>
  </r>
  <r>
    <x v="85"/>
    <d v="2020-01-18T00:00:00"/>
    <x v="2"/>
    <n v="681"/>
    <n v="-77"/>
    <x v="0"/>
    <n v="-681"/>
    <x v="1"/>
  </r>
  <r>
    <x v="85"/>
    <d v="2020-01-22T00:00:00"/>
    <x v="0"/>
    <n v="144"/>
    <n v="67"/>
    <x v="0"/>
    <n v="144"/>
    <x v="0"/>
  </r>
  <r>
    <x v="85"/>
    <d v="2020-01-26T00:00:00"/>
    <x v="0"/>
    <n v="143"/>
    <n v="210"/>
    <x v="0"/>
    <n v="143"/>
    <x v="0"/>
  </r>
  <r>
    <x v="85"/>
    <d v="2020-01-26T00:00:00"/>
    <x v="0"/>
    <n v="662"/>
    <n v="872"/>
    <x v="0"/>
    <n v="662"/>
    <x v="0"/>
  </r>
  <r>
    <x v="85"/>
    <d v="2020-02-06T00:00:00"/>
    <x v="1"/>
    <n v="125"/>
    <n v="747"/>
    <x v="2"/>
    <n v="-125"/>
    <x v="0"/>
  </r>
  <r>
    <x v="85"/>
    <d v="2020-02-09T00:00:00"/>
    <x v="2"/>
    <n v="993"/>
    <n v="-246"/>
    <x v="2"/>
    <n v="-993"/>
    <x v="1"/>
  </r>
  <r>
    <x v="85"/>
    <d v="2020-02-12T00:00:00"/>
    <x v="2"/>
    <n v="582"/>
    <n v="-828"/>
    <x v="2"/>
    <n v="-582"/>
    <x v="1"/>
  </r>
  <r>
    <x v="85"/>
    <d v="2020-02-21T00:00:00"/>
    <x v="2"/>
    <n v="541"/>
    <n v="-1369"/>
    <x v="2"/>
    <n v="-541"/>
    <x v="1"/>
  </r>
  <r>
    <x v="85"/>
    <d v="2020-02-24T00:00:00"/>
    <x v="0"/>
    <n v="865"/>
    <n v="-504"/>
    <x v="2"/>
    <n v="865"/>
    <x v="1"/>
  </r>
  <r>
    <x v="85"/>
    <d v="2020-03-02T00:00:00"/>
    <x v="2"/>
    <n v="767"/>
    <n v="-1271"/>
    <x v="1"/>
    <n v="-767"/>
    <x v="1"/>
  </r>
  <r>
    <x v="85"/>
    <d v="2020-03-08T00:00:00"/>
    <x v="2"/>
    <n v="217"/>
    <n v="-1488"/>
    <x v="1"/>
    <n v="-217"/>
    <x v="1"/>
  </r>
  <r>
    <x v="85"/>
    <d v="2020-03-11T00:00:00"/>
    <x v="0"/>
    <n v="901"/>
    <n v="-587"/>
    <x v="1"/>
    <n v="901"/>
    <x v="1"/>
  </r>
  <r>
    <x v="85"/>
    <d v="2020-03-20T00:00:00"/>
    <x v="1"/>
    <n v="595"/>
    <n v="-1182"/>
    <x v="1"/>
    <n v="-595"/>
    <x v="1"/>
  </r>
  <r>
    <x v="85"/>
    <d v="2020-03-22T00:00:00"/>
    <x v="0"/>
    <n v="710"/>
    <n v="-472"/>
    <x v="1"/>
    <n v="710"/>
    <x v="1"/>
  </r>
  <r>
    <x v="85"/>
    <d v="2020-03-26T00:00:00"/>
    <x v="0"/>
    <n v="772"/>
    <n v="300"/>
    <x v="1"/>
    <n v="772"/>
    <x v="0"/>
  </r>
  <r>
    <x v="85"/>
    <d v="2020-03-28T00:00:00"/>
    <x v="0"/>
    <n v="356"/>
    <n v="656"/>
    <x v="1"/>
    <n v="356"/>
    <x v="0"/>
  </r>
  <r>
    <x v="85"/>
    <d v="2020-03-30T00:00:00"/>
    <x v="1"/>
    <n v="563"/>
    <n v="93"/>
    <x v="1"/>
    <n v="-563"/>
    <x v="0"/>
  </r>
  <r>
    <x v="86"/>
    <d v="2020-01-13T00:00:00"/>
    <x v="0"/>
    <n v="777"/>
    <n v="777"/>
    <x v="0"/>
    <n v="777"/>
    <x v="0"/>
  </r>
  <r>
    <x v="86"/>
    <d v="2020-01-21T00:00:00"/>
    <x v="2"/>
    <n v="616"/>
    <n v="161"/>
    <x v="0"/>
    <n v="-616"/>
    <x v="0"/>
  </r>
  <r>
    <x v="86"/>
    <d v="2020-01-22T00:00:00"/>
    <x v="1"/>
    <n v="524"/>
    <n v="-363"/>
    <x v="0"/>
    <n v="-524"/>
    <x v="1"/>
  </r>
  <r>
    <x v="86"/>
    <d v="2020-01-29T00:00:00"/>
    <x v="1"/>
    <n v="2"/>
    <n v="-365"/>
    <x v="0"/>
    <n v="-2"/>
    <x v="1"/>
  </r>
  <r>
    <x v="86"/>
    <d v="2020-02-02T00:00:00"/>
    <x v="2"/>
    <n v="661"/>
    <n v="-1026"/>
    <x v="2"/>
    <n v="-661"/>
    <x v="1"/>
  </r>
  <r>
    <x v="86"/>
    <d v="2020-02-06T00:00:00"/>
    <x v="0"/>
    <n v="561"/>
    <n v="-465"/>
    <x v="2"/>
    <n v="561"/>
    <x v="1"/>
  </r>
  <r>
    <x v="86"/>
    <d v="2020-02-14T00:00:00"/>
    <x v="1"/>
    <n v="183"/>
    <n v="-648"/>
    <x v="2"/>
    <n v="-183"/>
    <x v="1"/>
  </r>
  <r>
    <x v="86"/>
    <d v="2020-02-17T00:00:00"/>
    <x v="2"/>
    <n v="107"/>
    <n v="-755"/>
    <x v="2"/>
    <n v="-107"/>
    <x v="1"/>
  </r>
  <r>
    <x v="86"/>
    <d v="2020-02-19T00:00:00"/>
    <x v="1"/>
    <n v="305"/>
    <n v="-1060"/>
    <x v="2"/>
    <n v="-305"/>
    <x v="1"/>
  </r>
  <r>
    <x v="86"/>
    <d v="2020-02-19T00:00:00"/>
    <x v="0"/>
    <n v="376"/>
    <n v="-684"/>
    <x v="2"/>
    <n v="376"/>
    <x v="1"/>
  </r>
  <r>
    <x v="86"/>
    <d v="2020-02-26T00:00:00"/>
    <x v="1"/>
    <n v="682"/>
    <n v="-1366"/>
    <x v="2"/>
    <n v="-682"/>
    <x v="1"/>
  </r>
  <r>
    <x v="86"/>
    <d v="2020-03-05T00:00:00"/>
    <x v="1"/>
    <n v="197"/>
    <n v="-1563"/>
    <x v="1"/>
    <n v="-197"/>
    <x v="1"/>
  </r>
  <r>
    <x v="86"/>
    <d v="2020-04-05T00:00:00"/>
    <x v="0"/>
    <n v="995"/>
    <n v="-568"/>
    <x v="3"/>
    <n v="995"/>
    <x v="1"/>
  </r>
  <r>
    <x v="86"/>
    <d v="2020-04-10T00:00:00"/>
    <x v="2"/>
    <n v="627"/>
    <n v="-1195"/>
    <x v="3"/>
    <n v="-627"/>
    <x v="1"/>
  </r>
  <r>
    <x v="87"/>
    <d v="2020-01-12T00:00:00"/>
    <x v="0"/>
    <n v="672"/>
    <n v="672"/>
    <x v="0"/>
    <n v="672"/>
    <x v="0"/>
  </r>
  <r>
    <x v="87"/>
    <d v="2020-01-20T00:00:00"/>
    <x v="0"/>
    <n v="236"/>
    <n v="908"/>
    <x v="0"/>
    <n v="236"/>
    <x v="0"/>
  </r>
  <r>
    <x v="87"/>
    <d v="2020-01-28T00:00:00"/>
    <x v="1"/>
    <n v="943"/>
    <n v="-35"/>
    <x v="0"/>
    <n v="-943"/>
    <x v="1"/>
  </r>
  <r>
    <x v="87"/>
    <d v="2020-02-04T00:00:00"/>
    <x v="1"/>
    <n v="48"/>
    <n v="-83"/>
    <x v="2"/>
    <n v="-48"/>
    <x v="1"/>
  </r>
  <r>
    <x v="87"/>
    <d v="2020-02-04T00:00:00"/>
    <x v="0"/>
    <n v="188"/>
    <n v="105"/>
    <x v="2"/>
    <n v="188"/>
    <x v="0"/>
  </r>
  <r>
    <x v="87"/>
    <d v="2020-02-17T00:00:00"/>
    <x v="0"/>
    <n v="732"/>
    <n v="837"/>
    <x v="2"/>
    <n v="732"/>
    <x v="0"/>
  </r>
  <r>
    <x v="87"/>
    <d v="2020-02-26T00:00:00"/>
    <x v="2"/>
    <n v="85"/>
    <n v="752"/>
    <x v="2"/>
    <n v="-85"/>
    <x v="0"/>
  </r>
  <r>
    <x v="87"/>
    <d v="2020-03-10T00:00:00"/>
    <x v="1"/>
    <n v="908"/>
    <n v="-156"/>
    <x v="1"/>
    <n v="-908"/>
    <x v="1"/>
  </r>
  <r>
    <x v="87"/>
    <d v="2020-03-27T00:00:00"/>
    <x v="1"/>
    <n v="580"/>
    <n v="-736"/>
    <x v="1"/>
    <n v="-580"/>
    <x v="1"/>
  </r>
  <r>
    <x v="87"/>
    <d v="2020-04-08T00:00:00"/>
    <x v="2"/>
    <n v="84"/>
    <n v="-820"/>
    <x v="3"/>
    <n v="-84"/>
    <x v="1"/>
  </r>
  <r>
    <x v="88"/>
    <d v="2020-01-25T00:00:00"/>
    <x v="0"/>
    <n v="210"/>
    <n v="210"/>
    <x v="0"/>
    <n v="210"/>
    <x v="0"/>
  </r>
  <r>
    <x v="88"/>
    <d v="2020-02-07T00:00:00"/>
    <x v="2"/>
    <n v="86"/>
    <n v="124"/>
    <x v="2"/>
    <n v="-86"/>
    <x v="0"/>
  </r>
  <r>
    <x v="88"/>
    <d v="2020-02-14T00:00:00"/>
    <x v="1"/>
    <n v="537"/>
    <n v="-413"/>
    <x v="2"/>
    <n v="-537"/>
    <x v="1"/>
  </r>
  <r>
    <x v="88"/>
    <d v="2020-02-17T00:00:00"/>
    <x v="1"/>
    <n v="478"/>
    <n v="-891"/>
    <x v="2"/>
    <n v="-478"/>
    <x v="1"/>
  </r>
  <r>
    <x v="88"/>
    <d v="2020-02-25T00:00:00"/>
    <x v="2"/>
    <n v="788"/>
    <n v="-1679"/>
    <x v="2"/>
    <n v="-788"/>
    <x v="1"/>
  </r>
  <r>
    <x v="88"/>
    <d v="2020-03-01T00:00:00"/>
    <x v="0"/>
    <n v="922"/>
    <n v="-757"/>
    <x v="1"/>
    <n v="922"/>
    <x v="1"/>
  </r>
  <r>
    <x v="88"/>
    <d v="2020-03-08T00:00:00"/>
    <x v="1"/>
    <n v="246"/>
    <n v="-1003"/>
    <x v="1"/>
    <n v="-246"/>
    <x v="1"/>
  </r>
  <r>
    <x v="88"/>
    <d v="2020-03-19T00:00:00"/>
    <x v="2"/>
    <n v="757"/>
    <n v="-1760"/>
    <x v="1"/>
    <n v="-757"/>
    <x v="1"/>
  </r>
  <r>
    <x v="88"/>
    <d v="2020-03-22T00:00:00"/>
    <x v="2"/>
    <n v="418"/>
    <n v="-2178"/>
    <x v="1"/>
    <n v="-418"/>
    <x v="1"/>
  </r>
  <r>
    <x v="88"/>
    <d v="2020-03-23T00:00:00"/>
    <x v="2"/>
    <n v="475"/>
    <n v="-2653"/>
    <x v="1"/>
    <n v="-475"/>
    <x v="1"/>
  </r>
  <r>
    <x v="88"/>
    <d v="2020-04-01T00:00:00"/>
    <x v="0"/>
    <n v="415"/>
    <n v="-2238"/>
    <x v="3"/>
    <n v="415"/>
    <x v="1"/>
  </r>
  <r>
    <x v="88"/>
    <d v="2020-04-06T00:00:00"/>
    <x v="0"/>
    <n v="737"/>
    <n v="-1501"/>
    <x v="3"/>
    <n v="737"/>
    <x v="1"/>
  </r>
  <r>
    <x v="88"/>
    <d v="2020-04-08T00:00:00"/>
    <x v="0"/>
    <n v="249"/>
    <n v="-1252"/>
    <x v="3"/>
    <n v="249"/>
    <x v="1"/>
  </r>
  <r>
    <x v="88"/>
    <d v="2020-04-16T00:00:00"/>
    <x v="1"/>
    <n v="864"/>
    <n v="-2116"/>
    <x v="3"/>
    <n v="-864"/>
    <x v="1"/>
  </r>
  <r>
    <x v="88"/>
    <d v="2020-04-20T00:00:00"/>
    <x v="1"/>
    <n v="671"/>
    <n v="-2787"/>
    <x v="3"/>
    <n v="-671"/>
    <x v="1"/>
  </r>
  <r>
    <x v="88"/>
    <d v="2020-04-20T00:00:00"/>
    <x v="2"/>
    <n v="360"/>
    <n v="-3147"/>
    <x v="3"/>
    <n v="-360"/>
    <x v="1"/>
  </r>
  <r>
    <x v="89"/>
    <d v="2020-01-19T00:00:00"/>
    <x v="0"/>
    <n v="890"/>
    <n v="890"/>
    <x v="0"/>
    <n v="890"/>
    <x v="0"/>
  </r>
  <r>
    <x v="89"/>
    <d v="2020-01-22T00:00:00"/>
    <x v="0"/>
    <n v="472"/>
    <n v="1362"/>
    <x v="0"/>
    <n v="472"/>
    <x v="0"/>
  </r>
  <r>
    <x v="89"/>
    <d v="2020-01-22T00:00:00"/>
    <x v="1"/>
    <n v="25"/>
    <n v="1337"/>
    <x v="0"/>
    <n v="-25"/>
    <x v="0"/>
  </r>
  <r>
    <x v="89"/>
    <d v="2020-01-29T00:00:00"/>
    <x v="2"/>
    <n v="434"/>
    <n v="903"/>
    <x v="0"/>
    <n v="-434"/>
    <x v="0"/>
  </r>
  <r>
    <x v="89"/>
    <d v="2020-01-31T00:00:00"/>
    <x v="0"/>
    <n v="869"/>
    <n v="1772"/>
    <x v="0"/>
    <n v="869"/>
    <x v="0"/>
  </r>
  <r>
    <x v="89"/>
    <d v="2020-02-03T00:00:00"/>
    <x v="0"/>
    <n v="290"/>
    <n v="2062"/>
    <x v="2"/>
    <n v="290"/>
    <x v="0"/>
  </r>
  <r>
    <x v="89"/>
    <d v="2020-02-04T00:00:00"/>
    <x v="2"/>
    <n v="111"/>
    <n v="1951"/>
    <x v="2"/>
    <n v="-111"/>
    <x v="0"/>
  </r>
  <r>
    <x v="89"/>
    <d v="2020-02-09T00:00:00"/>
    <x v="2"/>
    <n v="830"/>
    <n v="1121"/>
    <x v="2"/>
    <n v="-830"/>
    <x v="0"/>
  </r>
  <r>
    <x v="89"/>
    <d v="2020-02-10T00:00:00"/>
    <x v="0"/>
    <n v="365"/>
    <n v="1486"/>
    <x v="2"/>
    <n v="365"/>
    <x v="0"/>
  </r>
  <r>
    <x v="89"/>
    <d v="2020-02-12T00:00:00"/>
    <x v="1"/>
    <n v="393"/>
    <n v="1093"/>
    <x v="2"/>
    <n v="-393"/>
    <x v="0"/>
  </r>
  <r>
    <x v="89"/>
    <d v="2020-02-16T00:00:00"/>
    <x v="2"/>
    <n v="978"/>
    <n v="115"/>
    <x v="2"/>
    <n v="-978"/>
    <x v="0"/>
  </r>
  <r>
    <x v="89"/>
    <d v="2020-02-23T00:00:00"/>
    <x v="1"/>
    <n v="534"/>
    <n v="-419"/>
    <x v="2"/>
    <n v="-534"/>
    <x v="1"/>
  </r>
  <r>
    <x v="89"/>
    <d v="2020-02-25T00:00:00"/>
    <x v="2"/>
    <n v="217"/>
    <n v="-636"/>
    <x v="2"/>
    <n v="-217"/>
    <x v="1"/>
  </r>
  <r>
    <x v="89"/>
    <d v="2020-02-26T00:00:00"/>
    <x v="1"/>
    <n v="731"/>
    <n v="-1367"/>
    <x v="2"/>
    <n v="-731"/>
    <x v="1"/>
  </r>
  <r>
    <x v="89"/>
    <d v="2020-02-29T00:00:00"/>
    <x v="0"/>
    <n v="132"/>
    <n v="-1235"/>
    <x v="2"/>
    <n v="132"/>
    <x v="1"/>
  </r>
  <r>
    <x v="89"/>
    <d v="2020-03-07T00:00:00"/>
    <x v="0"/>
    <n v="22"/>
    <n v="-1213"/>
    <x v="1"/>
    <n v="22"/>
    <x v="1"/>
  </r>
  <r>
    <x v="89"/>
    <d v="2020-03-09T00:00:00"/>
    <x v="0"/>
    <n v="279"/>
    <n v="-934"/>
    <x v="1"/>
    <n v="279"/>
    <x v="1"/>
  </r>
  <r>
    <x v="89"/>
    <d v="2020-03-28T00:00:00"/>
    <x v="0"/>
    <n v="124"/>
    <n v="-810"/>
    <x v="1"/>
    <n v="124"/>
    <x v="1"/>
  </r>
  <r>
    <x v="89"/>
    <d v="2020-03-30T00:00:00"/>
    <x v="2"/>
    <n v="814"/>
    <n v="-1624"/>
    <x v="1"/>
    <n v="-814"/>
    <x v="1"/>
  </r>
  <r>
    <x v="89"/>
    <d v="2020-04-13T00:00:00"/>
    <x v="2"/>
    <n v="222"/>
    <n v="-1846"/>
    <x v="3"/>
    <n v="-222"/>
    <x v="1"/>
  </r>
  <r>
    <x v="90"/>
    <d v="2020-01-11T00:00:00"/>
    <x v="0"/>
    <n v="856"/>
    <n v="856"/>
    <x v="0"/>
    <n v="856"/>
    <x v="0"/>
  </r>
  <r>
    <x v="90"/>
    <d v="2020-01-21T00:00:00"/>
    <x v="2"/>
    <n v="218"/>
    <n v="638"/>
    <x v="0"/>
    <n v="-218"/>
    <x v="0"/>
  </r>
  <r>
    <x v="90"/>
    <d v="2020-01-21T00:00:00"/>
    <x v="1"/>
    <n v="883"/>
    <n v="-245"/>
    <x v="0"/>
    <n v="-883"/>
    <x v="1"/>
  </r>
  <r>
    <x v="90"/>
    <d v="2020-01-22T00:00:00"/>
    <x v="2"/>
    <n v="145"/>
    <n v="-390"/>
    <x v="0"/>
    <n v="-145"/>
    <x v="1"/>
  </r>
  <r>
    <x v="90"/>
    <d v="2020-01-22T00:00:00"/>
    <x v="0"/>
    <n v="343"/>
    <n v="-47"/>
    <x v="0"/>
    <n v="343"/>
    <x v="1"/>
  </r>
  <r>
    <x v="90"/>
    <d v="2020-02-08T00:00:00"/>
    <x v="1"/>
    <n v="533"/>
    <n v="-580"/>
    <x v="2"/>
    <n v="-533"/>
    <x v="1"/>
  </r>
  <r>
    <x v="90"/>
    <d v="2020-02-10T00:00:00"/>
    <x v="2"/>
    <n v="238"/>
    <n v="-818"/>
    <x v="2"/>
    <n v="-238"/>
    <x v="1"/>
  </r>
  <r>
    <x v="90"/>
    <d v="2020-02-10T00:00:00"/>
    <x v="2"/>
    <n v="476"/>
    <n v="-1294"/>
    <x v="2"/>
    <n v="-476"/>
    <x v="1"/>
  </r>
  <r>
    <x v="90"/>
    <d v="2020-02-11T00:00:00"/>
    <x v="0"/>
    <n v="426"/>
    <n v="-868"/>
    <x v="2"/>
    <n v="426"/>
    <x v="1"/>
  </r>
  <r>
    <x v="90"/>
    <d v="2020-02-12T00:00:00"/>
    <x v="0"/>
    <n v="796"/>
    <n v="-72"/>
    <x v="2"/>
    <n v="796"/>
    <x v="1"/>
  </r>
  <r>
    <x v="90"/>
    <d v="2020-02-17T00:00:00"/>
    <x v="2"/>
    <n v="871"/>
    <n v="-943"/>
    <x v="2"/>
    <n v="-871"/>
    <x v="1"/>
  </r>
  <r>
    <x v="90"/>
    <d v="2020-02-25T00:00:00"/>
    <x v="1"/>
    <n v="501"/>
    <n v="-1444"/>
    <x v="2"/>
    <n v="-501"/>
    <x v="1"/>
  </r>
  <r>
    <x v="90"/>
    <d v="2020-02-25T00:00:00"/>
    <x v="0"/>
    <n v="485"/>
    <n v="-959"/>
    <x v="2"/>
    <n v="485"/>
    <x v="1"/>
  </r>
  <r>
    <x v="90"/>
    <d v="2020-03-01T00:00:00"/>
    <x v="1"/>
    <n v="979"/>
    <n v="-1938"/>
    <x v="1"/>
    <n v="-979"/>
    <x v="1"/>
  </r>
  <r>
    <x v="90"/>
    <d v="2020-03-14T00:00:00"/>
    <x v="1"/>
    <n v="322"/>
    <n v="-2260"/>
    <x v="1"/>
    <n v="-322"/>
    <x v="1"/>
  </r>
  <r>
    <x v="90"/>
    <d v="2020-03-17T00:00:00"/>
    <x v="0"/>
    <n v="23"/>
    <n v="-2237"/>
    <x v="1"/>
    <n v="23"/>
    <x v="1"/>
  </r>
  <r>
    <x v="90"/>
    <d v="2020-03-30T00:00:00"/>
    <x v="0"/>
    <n v="486"/>
    <n v="-1751"/>
    <x v="1"/>
    <n v="486"/>
    <x v="1"/>
  </r>
  <r>
    <x v="90"/>
    <d v="2020-03-31T00:00:00"/>
    <x v="2"/>
    <n v="909"/>
    <n v="-2660"/>
    <x v="1"/>
    <n v="-909"/>
    <x v="1"/>
  </r>
  <r>
    <x v="90"/>
    <d v="2020-04-07T00:00:00"/>
    <x v="0"/>
    <n v="165"/>
    <n v="-2495"/>
    <x v="3"/>
    <n v="165"/>
    <x v="1"/>
  </r>
  <r>
    <x v="91"/>
    <d v="2020-01-05T00:00:00"/>
    <x v="0"/>
    <n v="985"/>
    <n v="985"/>
    <x v="0"/>
    <n v="985"/>
    <x v="0"/>
  </r>
  <r>
    <x v="91"/>
    <d v="2020-03-19T00:00:00"/>
    <x v="1"/>
    <n v="50"/>
    <n v="935"/>
    <x v="1"/>
    <n v="-50"/>
    <x v="0"/>
  </r>
  <r>
    <x v="91"/>
    <d v="2020-03-22T00:00:00"/>
    <x v="1"/>
    <n v="793"/>
    <n v="142"/>
    <x v="1"/>
    <n v="-793"/>
    <x v="0"/>
  </r>
  <r>
    <x v="92"/>
    <d v="2020-01-11T00:00:00"/>
    <x v="0"/>
    <n v="557"/>
    <n v="557"/>
    <x v="0"/>
    <n v="557"/>
    <x v="0"/>
  </r>
  <r>
    <x v="92"/>
    <d v="2020-01-18T00:00:00"/>
    <x v="0"/>
    <n v="435"/>
    <n v="992"/>
    <x v="0"/>
    <n v="435"/>
    <x v="0"/>
  </r>
  <r>
    <x v="92"/>
    <d v="2020-01-20T00:00:00"/>
    <x v="2"/>
    <n v="593"/>
    <n v="399"/>
    <x v="0"/>
    <n v="-593"/>
    <x v="0"/>
  </r>
  <r>
    <x v="92"/>
    <d v="2020-02-01T00:00:00"/>
    <x v="2"/>
    <n v="717"/>
    <n v="-318"/>
    <x v="2"/>
    <n v="-717"/>
    <x v="1"/>
  </r>
  <r>
    <x v="92"/>
    <d v="2020-02-08T00:00:00"/>
    <x v="0"/>
    <n v="394"/>
    <n v="76"/>
    <x v="2"/>
    <n v="394"/>
    <x v="0"/>
  </r>
  <r>
    <x v="92"/>
    <d v="2020-02-09T00:00:00"/>
    <x v="1"/>
    <n v="366"/>
    <n v="-290"/>
    <x v="2"/>
    <n v="-366"/>
    <x v="1"/>
  </r>
  <r>
    <x v="92"/>
    <d v="2020-02-13T00:00:00"/>
    <x v="1"/>
    <n v="16"/>
    <n v="-306"/>
    <x v="2"/>
    <n v="-16"/>
    <x v="1"/>
  </r>
  <r>
    <x v="92"/>
    <d v="2020-02-16T00:00:00"/>
    <x v="0"/>
    <n v="807"/>
    <n v="501"/>
    <x v="2"/>
    <n v="807"/>
    <x v="0"/>
  </r>
  <r>
    <x v="92"/>
    <d v="2020-02-21T00:00:00"/>
    <x v="0"/>
    <n v="635"/>
    <n v="1136"/>
    <x v="2"/>
    <n v="635"/>
    <x v="0"/>
  </r>
  <r>
    <x v="92"/>
    <d v="2020-02-23T00:00:00"/>
    <x v="2"/>
    <n v="462"/>
    <n v="674"/>
    <x v="2"/>
    <n v="-462"/>
    <x v="0"/>
  </r>
  <r>
    <x v="92"/>
    <d v="2020-02-27T00:00:00"/>
    <x v="0"/>
    <n v="429"/>
    <n v="1103"/>
    <x v="2"/>
    <n v="429"/>
    <x v="0"/>
  </r>
  <r>
    <x v="92"/>
    <d v="2020-03-20T00:00:00"/>
    <x v="0"/>
    <n v="993"/>
    <n v="2096"/>
    <x v="1"/>
    <n v="993"/>
    <x v="0"/>
  </r>
  <r>
    <x v="92"/>
    <d v="2020-03-27T00:00:00"/>
    <x v="2"/>
    <n v="154"/>
    <n v="1942"/>
    <x v="1"/>
    <n v="-154"/>
    <x v="0"/>
  </r>
  <r>
    <x v="92"/>
    <d v="2020-03-29T00:00:00"/>
    <x v="2"/>
    <n v="477"/>
    <n v="1465"/>
    <x v="1"/>
    <n v="-477"/>
    <x v="0"/>
  </r>
  <r>
    <x v="92"/>
    <d v="2020-03-30T00:00:00"/>
    <x v="1"/>
    <n v="279"/>
    <n v="1186"/>
    <x v="1"/>
    <n v="-279"/>
    <x v="0"/>
  </r>
  <r>
    <x v="92"/>
    <d v="2020-04-09T00:00:00"/>
    <x v="2"/>
    <n v="218"/>
    <n v="968"/>
    <x v="3"/>
    <n v="-218"/>
    <x v="0"/>
  </r>
  <r>
    <x v="93"/>
    <d v="2020-01-01T00:00:00"/>
    <x v="0"/>
    <n v="902"/>
    <n v="902"/>
    <x v="0"/>
    <n v="902"/>
    <x v="0"/>
  </r>
  <r>
    <x v="93"/>
    <d v="2020-01-13T00:00:00"/>
    <x v="2"/>
    <n v="435"/>
    <n v="467"/>
    <x v="0"/>
    <n v="-435"/>
    <x v="0"/>
  </r>
  <r>
    <x v="93"/>
    <d v="2020-01-25T00:00:00"/>
    <x v="2"/>
    <n v="449"/>
    <n v="18"/>
    <x v="0"/>
    <n v="-449"/>
    <x v="0"/>
  </r>
  <r>
    <x v="93"/>
    <d v="2020-01-30T00:00:00"/>
    <x v="2"/>
    <n v="784"/>
    <n v="-766"/>
    <x v="0"/>
    <n v="-784"/>
    <x v="1"/>
  </r>
  <r>
    <x v="93"/>
    <d v="2020-02-02T00:00:00"/>
    <x v="2"/>
    <n v="738"/>
    <n v="-1504"/>
    <x v="2"/>
    <n v="-738"/>
    <x v="1"/>
  </r>
  <r>
    <x v="93"/>
    <d v="2020-02-29T00:00:00"/>
    <x v="0"/>
    <n v="8"/>
    <n v="-1496"/>
    <x v="2"/>
    <n v="8"/>
    <x v="1"/>
  </r>
  <r>
    <x v="93"/>
    <d v="2020-03-08T00:00:00"/>
    <x v="2"/>
    <n v="736"/>
    <n v="-2232"/>
    <x v="1"/>
    <n v="-736"/>
    <x v="1"/>
  </r>
  <r>
    <x v="93"/>
    <d v="2020-03-23T00:00:00"/>
    <x v="0"/>
    <n v="690"/>
    <n v="-1542"/>
    <x v="1"/>
    <n v="690"/>
    <x v="1"/>
  </r>
  <r>
    <x v="94"/>
    <d v="2020-01-03T00:00:00"/>
    <x v="0"/>
    <n v="19"/>
    <n v="19"/>
    <x v="0"/>
    <n v="19"/>
    <x v="0"/>
  </r>
  <r>
    <x v="94"/>
    <d v="2020-01-05T00:00:00"/>
    <x v="0"/>
    <n v="198"/>
    <n v="217"/>
    <x v="0"/>
    <n v="198"/>
    <x v="0"/>
  </r>
  <r>
    <x v="94"/>
    <d v="2020-02-06T00:00:00"/>
    <x v="2"/>
    <n v="608"/>
    <n v="-391"/>
    <x v="2"/>
    <n v="-608"/>
    <x v="1"/>
  </r>
  <r>
    <x v="94"/>
    <d v="2020-02-12T00:00:00"/>
    <x v="2"/>
    <n v="622"/>
    <n v="-1013"/>
    <x v="2"/>
    <n v="-622"/>
    <x v="1"/>
  </r>
  <r>
    <x v="94"/>
    <d v="2020-02-16T00:00:00"/>
    <x v="0"/>
    <n v="706"/>
    <n v="-307"/>
    <x v="2"/>
    <n v="706"/>
    <x v="1"/>
  </r>
  <r>
    <x v="94"/>
    <d v="2020-02-23T00:00:00"/>
    <x v="0"/>
    <n v="911"/>
    <n v="604"/>
    <x v="2"/>
    <n v="911"/>
    <x v="0"/>
  </r>
  <r>
    <x v="94"/>
    <d v="2020-02-24T00:00:00"/>
    <x v="2"/>
    <n v="36"/>
    <n v="568"/>
    <x v="2"/>
    <n v="-36"/>
    <x v="0"/>
  </r>
  <r>
    <x v="94"/>
    <d v="2020-02-26T00:00:00"/>
    <x v="0"/>
    <n v="930"/>
    <n v="1498"/>
    <x v="2"/>
    <n v="930"/>
    <x v="0"/>
  </r>
  <r>
    <x v="94"/>
    <d v="2020-02-27T00:00:00"/>
    <x v="1"/>
    <n v="538"/>
    <n v="960"/>
    <x v="2"/>
    <n v="-538"/>
    <x v="0"/>
  </r>
  <r>
    <x v="94"/>
    <d v="2020-03-07T00:00:00"/>
    <x v="1"/>
    <n v="321"/>
    <n v="639"/>
    <x v="1"/>
    <n v="-321"/>
    <x v="0"/>
  </r>
  <r>
    <x v="94"/>
    <d v="2020-03-10T00:00:00"/>
    <x v="0"/>
    <n v="387"/>
    <n v="1026"/>
    <x v="1"/>
    <n v="387"/>
    <x v="0"/>
  </r>
  <r>
    <x v="94"/>
    <d v="2020-03-22T00:00:00"/>
    <x v="0"/>
    <n v="949"/>
    <n v="1975"/>
    <x v="1"/>
    <n v="949"/>
    <x v="0"/>
  </r>
  <r>
    <x v="94"/>
    <d v="2020-03-27T00:00:00"/>
    <x v="0"/>
    <n v="978"/>
    <n v="2953"/>
    <x v="1"/>
    <n v="978"/>
    <x v="0"/>
  </r>
  <r>
    <x v="94"/>
    <d v="2020-03-28T00:00:00"/>
    <x v="2"/>
    <n v="977"/>
    <n v="1976"/>
    <x v="1"/>
    <n v="-977"/>
    <x v="0"/>
  </r>
  <r>
    <x v="94"/>
    <d v="2020-03-30T00:00:00"/>
    <x v="1"/>
    <n v="530"/>
    <n v="1446"/>
    <x v="1"/>
    <n v="-530"/>
    <x v="0"/>
  </r>
  <r>
    <x v="95"/>
    <d v="2020-01-03T00:00:00"/>
    <x v="0"/>
    <n v="492"/>
    <n v="492"/>
    <x v="0"/>
    <n v="492"/>
    <x v="0"/>
  </r>
  <r>
    <x v="95"/>
    <d v="2020-01-03T00:00:00"/>
    <x v="0"/>
    <n v="753"/>
    <n v="1245"/>
    <x v="0"/>
    <n v="753"/>
    <x v="0"/>
  </r>
  <r>
    <x v="95"/>
    <d v="2020-01-20T00:00:00"/>
    <x v="1"/>
    <n v="303"/>
    <n v="942"/>
    <x v="0"/>
    <n v="-303"/>
    <x v="0"/>
  </r>
  <r>
    <x v="95"/>
    <d v="2020-01-21T00:00:00"/>
    <x v="2"/>
    <n v="290"/>
    <n v="652"/>
    <x v="0"/>
    <n v="-290"/>
    <x v="0"/>
  </r>
  <r>
    <x v="95"/>
    <d v="2020-01-24T00:00:00"/>
    <x v="0"/>
    <n v="301"/>
    <n v="953"/>
    <x v="0"/>
    <n v="301"/>
    <x v="0"/>
  </r>
  <r>
    <x v="95"/>
    <d v="2020-01-31T00:00:00"/>
    <x v="0"/>
    <n v="95"/>
    <n v="1048"/>
    <x v="0"/>
    <n v="95"/>
    <x v="0"/>
  </r>
  <r>
    <x v="95"/>
    <d v="2020-02-02T00:00:00"/>
    <x v="0"/>
    <n v="445"/>
    <n v="1493"/>
    <x v="2"/>
    <n v="445"/>
    <x v="0"/>
  </r>
  <r>
    <x v="95"/>
    <d v="2020-02-13T00:00:00"/>
    <x v="1"/>
    <n v="30"/>
    <n v="1463"/>
    <x v="2"/>
    <n v="-30"/>
    <x v="0"/>
  </r>
  <r>
    <x v="95"/>
    <d v="2020-02-16T00:00:00"/>
    <x v="2"/>
    <n v="65"/>
    <n v="1398"/>
    <x v="2"/>
    <n v="-65"/>
    <x v="0"/>
  </r>
  <r>
    <x v="95"/>
    <d v="2020-02-28T00:00:00"/>
    <x v="0"/>
    <n v="31"/>
    <n v="1429"/>
    <x v="2"/>
    <n v="31"/>
    <x v="0"/>
  </r>
  <r>
    <x v="95"/>
    <d v="2020-02-29T00:00:00"/>
    <x v="0"/>
    <n v="108"/>
    <n v="1537"/>
    <x v="2"/>
    <n v="108"/>
    <x v="0"/>
  </r>
  <r>
    <x v="95"/>
    <d v="2020-03-04T00:00:00"/>
    <x v="1"/>
    <n v="311"/>
    <n v="1226"/>
    <x v="1"/>
    <n v="-311"/>
    <x v="0"/>
  </r>
  <r>
    <x v="95"/>
    <d v="2020-03-08T00:00:00"/>
    <x v="0"/>
    <n v="488"/>
    <n v="1714"/>
    <x v="1"/>
    <n v="488"/>
    <x v="0"/>
  </r>
  <r>
    <x v="95"/>
    <d v="2020-03-10T00:00:00"/>
    <x v="2"/>
    <n v="545"/>
    <n v="1169"/>
    <x v="1"/>
    <n v="-545"/>
    <x v="0"/>
  </r>
  <r>
    <x v="95"/>
    <d v="2020-03-23T00:00:00"/>
    <x v="2"/>
    <n v="490"/>
    <n v="679"/>
    <x v="1"/>
    <n v="-490"/>
    <x v="0"/>
  </r>
  <r>
    <x v="95"/>
    <d v="2020-03-24T00:00:00"/>
    <x v="2"/>
    <n v="417"/>
    <n v="262"/>
    <x v="1"/>
    <n v="-417"/>
    <x v="0"/>
  </r>
  <r>
    <x v="95"/>
    <d v="2020-03-28T00:00:00"/>
    <x v="0"/>
    <n v="891"/>
    <n v="1153"/>
    <x v="1"/>
    <n v="891"/>
    <x v="0"/>
  </r>
  <r>
    <x v="95"/>
    <d v="2020-03-30T00:00:00"/>
    <x v="1"/>
    <n v="211"/>
    <n v="942"/>
    <x v="1"/>
    <n v="-211"/>
    <x v="0"/>
  </r>
  <r>
    <x v="96"/>
    <d v="2020-01-04T00:00:00"/>
    <x v="0"/>
    <n v="681"/>
    <n v="681"/>
    <x v="0"/>
    <n v="681"/>
    <x v="0"/>
  </r>
  <r>
    <x v="96"/>
    <d v="2020-01-08T00:00:00"/>
    <x v="0"/>
    <n v="992"/>
    <n v="1673"/>
    <x v="0"/>
    <n v="992"/>
    <x v="0"/>
  </r>
  <r>
    <x v="96"/>
    <d v="2020-01-16T00:00:00"/>
    <x v="2"/>
    <n v="34"/>
    <n v="1639"/>
    <x v="0"/>
    <n v="-34"/>
    <x v="0"/>
  </r>
  <r>
    <x v="96"/>
    <d v="2020-01-21T00:00:00"/>
    <x v="1"/>
    <n v="32"/>
    <n v="1607"/>
    <x v="0"/>
    <n v="-32"/>
    <x v="0"/>
  </r>
  <r>
    <x v="96"/>
    <d v="2020-01-22T00:00:00"/>
    <x v="1"/>
    <n v="984"/>
    <n v="623"/>
    <x v="0"/>
    <n v="-984"/>
    <x v="0"/>
  </r>
  <r>
    <x v="96"/>
    <d v="2020-02-03T00:00:00"/>
    <x v="0"/>
    <n v="227"/>
    <n v="850"/>
    <x v="2"/>
    <n v="227"/>
    <x v="0"/>
  </r>
  <r>
    <x v="96"/>
    <d v="2020-02-06T00:00:00"/>
    <x v="2"/>
    <n v="416"/>
    <n v="434"/>
    <x v="2"/>
    <n v="-416"/>
    <x v="0"/>
  </r>
  <r>
    <x v="96"/>
    <d v="2020-02-09T00:00:00"/>
    <x v="2"/>
    <n v="917"/>
    <n v="-483"/>
    <x v="2"/>
    <n v="-917"/>
    <x v="1"/>
  </r>
  <r>
    <x v="96"/>
    <d v="2020-02-19T00:00:00"/>
    <x v="2"/>
    <n v="98"/>
    <n v="-581"/>
    <x v="2"/>
    <n v="-98"/>
    <x v="1"/>
  </r>
  <r>
    <x v="96"/>
    <d v="2020-02-24T00:00:00"/>
    <x v="0"/>
    <n v="55"/>
    <n v="-526"/>
    <x v="2"/>
    <n v="55"/>
    <x v="1"/>
  </r>
  <r>
    <x v="96"/>
    <d v="2020-02-24T00:00:00"/>
    <x v="0"/>
    <n v="286"/>
    <n v="-240"/>
    <x v="2"/>
    <n v="286"/>
    <x v="1"/>
  </r>
  <r>
    <x v="96"/>
    <d v="2020-03-01T00:00:00"/>
    <x v="2"/>
    <n v="249"/>
    <n v="-489"/>
    <x v="1"/>
    <n v="-249"/>
    <x v="1"/>
  </r>
  <r>
    <x v="96"/>
    <d v="2020-03-08T00:00:00"/>
    <x v="0"/>
    <n v="198"/>
    <n v="-291"/>
    <x v="1"/>
    <n v="198"/>
    <x v="1"/>
  </r>
  <r>
    <x v="96"/>
    <d v="2020-03-23T00:00:00"/>
    <x v="1"/>
    <n v="839"/>
    <n v="-1130"/>
    <x v="1"/>
    <n v="-839"/>
    <x v="1"/>
  </r>
  <r>
    <x v="96"/>
    <d v="2020-03-25T00:00:00"/>
    <x v="1"/>
    <n v="559"/>
    <n v="-1689"/>
    <x v="1"/>
    <n v="-559"/>
    <x v="1"/>
  </r>
  <r>
    <x v="96"/>
    <d v="2020-03-30T00:00:00"/>
    <x v="2"/>
    <n v="794"/>
    <n v="-2483"/>
    <x v="1"/>
    <n v="-794"/>
    <x v="1"/>
  </r>
  <r>
    <x v="97"/>
    <d v="2020-01-15T00:00:00"/>
    <x v="0"/>
    <n v="622"/>
    <n v="622"/>
    <x v="0"/>
    <n v="622"/>
    <x v="0"/>
  </r>
  <r>
    <x v="97"/>
    <d v="2020-02-25T00:00:00"/>
    <x v="2"/>
    <n v="108"/>
    <n v="514"/>
    <x v="2"/>
    <n v="-108"/>
    <x v="0"/>
  </r>
  <r>
    <x v="97"/>
    <d v="2020-02-29T00:00:00"/>
    <x v="2"/>
    <n v="227"/>
    <n v="287"/>
    <x v="2"/>
    <n v="-227"/>
    <x v="0"/>
  </r>
  <r>
    <x v="97"/>
    <d v="2020-03-01T00:00:00"/>
    <x v="2"/>
    <n v="179"/>
    <n v="108"/>
    <x v="1"/>
    <n v="-179"/>
    <x v="0"/>
  </r>
  <r>
    <x v="97"/>
    <d v="2020-03-07T00:00:00"/>
    <x v="0"/>
    <n v="193"/>
    <n v="301"/>
    <x v="1"/>
    <n v="193"/>
    <x v="0"/>
  </r>
  <r>
    <x v="97"/>
    <d v="2020-03-11T00:00:00"/>
    <x v="2"/>
    <n v="648"/>
    <n v="-347"/>
    <x v="1"/>
    <n v="-648"/>
    <x v="1"/>
  </r>
  <r>
    <x v="97"/>
    <d v="2020-03-28T00:00:00"/>
    <x v="0"/>
    <n v="252"/>
    <n v="-95"/>
    <x v="1"/>
    <n v="252"/>
    <x v="1"/>
  </r>
  <r>
    <x v="97"/>
    <d v="2020-04-01T00:00:00"/>
    <x v="2"/>
    <n v="291"/>
    <n v="-386"/>
    <x v="3"/>
    <n v="-291"/>
    <x v="1"/>
  </r>
  <r>
    <x v="97"/>
    <d v="2020-04-02T00:00:00"/>
    <x v="0"/>
    <n v="683"/>
    <n v="297"/>
    <x v="3"/>
    <n v="683"/>
    <x v="0"/>
  </r>
  <r>
    <x v="97"/>
    <d v="2020-04-13T00:00:00"/>
    <x v="0"/>
    <n v="453"/>
    <n v="750"/>
    <x v="3"/>
    <n v="453"/>
    <x v="0"/>
  </r>
  <r>
    <x v="98"/>
    <d v="2020-01-08T00:00:00"/>
    <x v="0"/>
    <n v="160"/>
    <n v="160"/>
    <x v="0"/>
    <n v="160"/>
    <x v="0"/>
  </r>
  <r>
    <x v="98"/>
    <d v="2020-01-21T00:00:00"/>
    <x v="0"/>
    <n v="789"/>
    <n v="949"/>
    <x v="0"/>
    <n v="789"/>
    <x v="0"/>
  </r>
  <r>
    <x v="98"/>
    <d v="2020-02-29T00:00:00"/>
    <x v="2"/>
    <n v="189"/>
    <n v="760"/>
    <x v="2"/>
    <n v="-189"/>
    <x v="0"/>
  </r>
  <r>
    <x v="98"/>
    <d v="2020-03-24T00:00:00"/>
    <x v="2"/>
    <n v="23"/>
    <n v="737"/>
    <x v="1"/>
    <n v="-23"/>
    <x v="0"/>
  </r>
  <r>
    <x v="99"/>
    <d v="2020-01-06T00:00:00"/>
    <x v="0"/>
    <n v="158"/>
    <n v="158"/>
    <x v="0"/>
    <n v="158"/>
    <x v="0"/>
  </r>
  <r>
    <x v="99"/>
    <d v="2020-01-14T00:00:00"/>
    <x v="0"/>
    <n v="923"/>
    <n v="1081"/>
    <x v="0"/>
    <n v="923"/>
    <x v="0"/>
  </r>
  <r>
    <x v="99"/>
    <d v="2020-02-05T00:00:00"/>
    <x v="1"/>
    <n v="749"/>
    <n v="332"/>
    <x v="2"/>
    <n v="-749"/>
    <x v="0"/>
  </r>
  <r>
    <x v="99"/>
    <d v="2020-02-08T00:00:00"/>
    <x v="1"/>
    <n v="829"/>
    <n v="-497"/>
    <x v="2"/>
    <n v="-829"/>
    <x v="1"/>
  </r>
  <r>
    <x v="99"/>
    <d v="2020-03-01T00:00:00"/>
    <x v="0"/>
    <n v="780"/>
    <n v="283"/>
    <x v="1"/>
    <n v="780"/>
    <x v="0"/>
  </r>
  <r>
    <x v="99"/>
    <d v="2020-03-03T00:00:00"/>
    <x v="2"/>
    <n v="123"/>
    <n v="160"/>
    <x v="1"/>
    <n v="-123"/>
    <x v="0"/>
  </r>
  <r>
    <x v="99"/>
    <d v="2020-03-19T00:00:00"/>
    <x v="1"/>
    <n v="854"/>
    <n v="-694"/>
    <x v="1"/>
    <n v="-854"/>
    <x v="1"/>
  </r>
  <r>
    <x v="99"/>
    <d v="2020-03-28T00:00:00"/>
    <x v="1"/>
    <n v="938"/>
    <n v="-1632"/>
    <x v="1"/>
    <n v="-938"/>
    <x v="1"/>
  </r>
  <r>
    <x v="99"/>
    <d v="2020-03-30T00:00:00"/>
    <x v="0"/>
    <n v="181"/>
    <n v="-1451"/>
    <x v="1"/>
    <n v="181"/>
    <x v="1"/>
  </r>
  <r>
    <x v="100"/>
    <d v="2020-01-12T00:00:00"/>
    <x v="0"/>
    <n v="136"/>
    <n v="136"/>
    <x v="0"/>
    <n v="136"/>
    <x v="0"/>
  </r>
  <r>
    <x v="100"/>
    <d v="2020-01-18T00:00:00"/>
    <x v="1"/>
    <n v="620"/>
    <n v="-484"/>
    <x v="0"/>
    <n v="-620"/>
    <x v="1"/>
  </r>
  <r>
    <x v="100"/>
    <d v="2020-02-05T00:00:00"/>
    <x v="2"/>
    <n v="840"/>
    <n v="-1324"/>
    <x v="2"/>
    <n v="-840"/>
    <x v="1"/>
  </r>
  <r>
    <x v="100"/>
    <d v="2020-03-07T00:00:00"/>
    <x v="2"/>
    <n v="895"/>
    <n v="-2219"/>
    <x v="1"/>
    <n v="-895"/>
    <x v="1"/>
  </r>
  <r>
    <x v="100"/>
    <d v="2020-03-12T00:00:00"/>
    <x v="0"/>
    <n v="544"/>
    <n v="-1675"/>
    <x v="1"/>
    <n v="544"/>
    <x v="1"/>
  </r>
  <r>
    <x v="100"/>
    <d v="2020-03-15T00:00:00"/>
    <x v="1"/>
    <n v="535"/>
    <n v="-2210"/>
    <x v="1"/>
    <n v="-535"/>
    <x v="1"/>
  </r>
  <r>
    <x v="100"/>
    <d v="2020-03-16T00:00:00"/>
    <x v="1"/>
    <n v="463"/>
    <n v="-2673"/>
    <x v="1"/>
    <n v="-463"/>
    <x v="1"/>
  </r>
  <r>
    <x v="101"/>
    <d v="2020-01-26T00:00:00"/>
    <x v="0"/>
    <n v="917"/>
    <n v="917"/>
    <x v="0"/>
    <n v="917"/>
    <x v="0"/>
  </r>
  <r>
    <x v="101"/>
    <d v="2020-02-06T00:00:00"/>
    <x v="0"/>
    <n v="438"/>
    <n v="1355"/>
    <x v="2"/>
    <n v="438"/>
    <x v="0"/>
  </r>
  <r>
    <x v="101"/>
    <d v="2020-02-11T00:00:00"/>
    <x v="1"/>
    <n v="926"/>
    <n v="429"/>
    <x v="2"/>
    <n v="-926"/>
    <x v="0"/>
  </r>
  <r>
    <x v="101"/>
    <d v="2020-02-12T00:00:00"/>
    <x v="1"/>
    <n v="243"/>
    <n v="186"/>
    <x v="2"/>
    <n v="-243"/>
    <x v="0"/>
  </r>
  <r>
    <x v="101"/>
    <d v="2020-02-16T00:00:00"/>
    <x v="0"/>
    <n v="562"/>
    <n v="748"/>
    <x v="2"/>
    <n v="562"/>
    <x v="0"/>
  </r>
  <r>
    <x v="101"/>
    <d v="2020-02-17T00:00:00"/>
    <x v="1"/>
    <n v="265"/>
    <n v="483"/>
    <x v="2"/>
    <n v="-265"/>
    <x v="0"/>
  </r>
  <r>
    <x v="101"/>
    <d v="2020-02-21T00:00:00"/>
    <x v="0"/>
    <n v="945"/>
    <n v="1428"/>
    <x v="2"/>
    <n v="945"/>
    <x v="0"/>
  </r>
  <r>
    <x v="101"/>
    <d v="2020-03-09T00:00:00"/>
    <x v="1"/>
    <n v="772"/>
    <n v="656"/>
    <x v="1"/>
    <n v="-772"/>
    <x v="0"/>
  </r>
  <r>
    <x v="101"/>
    <d v="2020-03-09T00:00:00"/>
    <x v="0"/>
    <n v="303"/>
    <n v="959"/>
    <x v="1"/>
    <n v="303"/>
    <x v="0"/>
  </r>
  <r>
    <x v="101"/>
    <d v="2020-03-10T00:00:00"/>
    <x v="0"/>
    <n v="591"/>
    <n v="1550"/>
    <x v="1"/>
    <n v="591"/>
    <x v="0"/>
  </r>
  <r>
    <x v="101"/>
    <d v="2020-03-14T00:00:00"/>
    <x v="2"/>
    <n v="395"/>
    <n v="1155"/>
    <x v="1"/>
    <n v="-395"/>
    <x v="0"/>
  </r>
  <r>
    <x v="101"/>
    <d v="2020-03-15T00:00:00"/>
    <x v="2"/>
    <n v="329"/>
    <n v="826"/>
    <x v="1"/>
    <n v="-329"/>
    <x v="0"/>
  </r>
  <r>
    <x v="101"/>
    <d v="2020-03-18T00:00:00"/>
    <x v="0"/>
    <n v="639"/>
    <n v="1465"/>
    <x v="1"/>
    <n v="639"/>
    <x v="0"/>
  </r>
  <r>
    <x v="101"/>
    <d v="2020-03-18T00:00:00"/>
    <x v="0"/>
    <n v="984"/>
    <n v="2449"/>
    <x v="1"/>
    <n v="984"/>
    <x v="0"/>
  </r>
  <r>
    <x v="101"/>
    <d v="2020-03-26T00:00:00"/>
    <x v="2"/>
    <n v="584"/>
    <n v="1865"/>
    <x v="1"/>
    <n v="-584"/>
    <x v="0"/>
  </r>
  <r>
    <x v="101"/>
    <d v="2020-04-02T00:00:00"/>
    <x v="0"/>
    <n v="192"/>
    <n v="2057"/>
    <x v="3"/>
    <n v="192"/>
    <x v="0"/>
  </r>
  <r>
    <x v="101"/>
    <d v="2020-04-06T00:00:00"/>
    <x v="2"/>
    <n v="468"/>
    <n v="1589"/>
    <x v="3"/>
    <n v="-468"/>
    <x v="0"/>
  </r>
  <r>
    <x v="101"/>
    <d v="2020-04-08T00:00:00"/>
    <x v="2"/>
    <n v="507"/>
    <n v="1082"/>
    <x v="3"/>
    <n v="-507"/>
    <x v="0"/>
  </r>
  <r>
    <x v="101"/>
    <d v="2020-04-15T00:00:00"/>
    <x v="0"/>
    <n v="516"/>
    <n v="1598"/>
    <x v="3"/>
    <n v="516"/>
    <x v="0"/>
  </r>
  <r>
    <x v="101"/>
    <d v="2020-04-17T00:00:00"/>
    <x v="2"/>
    <n v="921"/>
    <n v="677"/>
    <x v="3"/>
    <n v="-921"/>
    <x v="0"/>
  </r>
  <r>
    <x v="101"/>
    <d v="2020-04-18T00:00:00"/>
    <x v="2"/>
    <n v="31"/>
    <n v="646"/>
    <x v="3"/>
    <n v="-31"/>
    <x v="0"/>
  </r>
  <r>
    <x v="102"/>
    <d v="2020-01-07T00:00:00"/>
    <x v="0"/>
    <n v="646"/>
    <n v="646"/>
    <x v="0"/>
    <n v="646"/>
    <x v="0"/>
  </r>
  <r>
    <x v="102"/>
    <d v="2020-01-14T00:00:00"/>
    <x v="2"/>
    <n v="353"/>
    <n v="293"/>
    <x v="0"/>
    <n v="-353"/>
    <x v="0"/>
  </r>
  <r>
    <x v="102"/>
    <d v="2020-01-18T00:00:00"/>
    <x v="0"/>
    <n v="459"/>
    <n v="752"/>
    <x v="0"/>
    <n v="459"/>
    <x v="0"/>
  </r>
  <r>
    <x v="102"/>
    <d v="2020-01-18T00:00:00"/>
    <x v="2"/>
    <n v="512"/>
    <n v="240"/>
    <x v="0"/>
    <n v="-512"/>
    <x v="0"/>
  </r>
  <r>
    <x v="102"/>
    <d v="2020-02-16T00:00:00"/>
    <x v="1"/>
    <n v="535"/>
    <n v="-295"/>
    <x v="2"/>
    <n v="-535"/>
    <x v="1"/>
  </r>
  <r>
    <x v="102"/>
    <d v="2020-02-16T00:00:00"/>
    <x v="1"/>
    <n v="555"/>
    <n v="-850"/>
    <x v="2"/>
    <n v="-555"/>
    <x v="1"/>
  </r>
  <r>
    <x v="102"/>
    <d v="2020-03-09T00:00:00"/>
    <x v="0"/>
    <n v="410"/>
    <n v="-440"/>
    <x v="1"/>
    <n v="410"/>
    <x v="1"/>
  </r>
  <r>
    <x v="102"/>
    <d v="2020-03-10T00:00:00"/>
    <x v="0"/>
    <n v="358"/>
    <n v="-82"/>
    <x v="1"/>
    <n v="358"/>
    <x v="1"/>
  </r>
  <r>
    <x v="102"/>
    <d v="2020-03-18T00:00:00"/>
    <x v="1"/>
    <n v="688"/>
    <n v="-770"/>
    <x v="1"/>
    <n v="-688"/>
    <x v="1"/>
  </r>
  <r>
    <x v="102"/>
    <d v="2020-03-19T00:00:00"/>
    <x v="1"/>
    <n v="435"/>
    <n v="-1205"/>
    <x v="1"/>
    <n v="-435"/>
    <x v="1"/>
  </r>
  <r>
    <x v="102"/>
    <d v="2020-03-19T00:00:00"/>
    <x v="0"/>
    <n v="193"/>
    <n v="-1012"/>
    <x v="1"/>
    <n v="193"/>
    <x v="1"/>
  </r>
  <r>
    <x v="102"/>
    <d v="2020-03-19T00:00:00"/>
    <x v="2"/>
    <n v="839"/>
    <n v="-1851"/>
    <x v="1"/>
    <n v="-839"/>
    <x v="1"/>
  </r>
  <r>
    <x v="102"/>
    <d v="2020-03-26T00:00:00"/>
    <x v="1"/>
    <n v="406"/>
    <n v="-2257"/>
    <x v="1"/>
    <n v="-406"/>
    <x v="1"/>
  </r>
  <r>
    <x v="103"/>
    <d v="2020-01-25T00:00:00"/>
    <x v="0"/>
    <n v="989"/>
    <n v="989"/>
    <x v="0"/>
    <n v="989"/>
    <x v="0"/>
  </r>
  <r>
    <x v="103"/>
    <d v="2020-01-26T00:00:00"/>
    <x v="1"/>
    <n v="46"/>
    <n v="943"/>
    <x v="0"/>
    <n v="-46"/>
    <x v="0"/>
  </r>
  <r>
    <x v="103"/>
    <d v="2020-01-30T00:00:00"/>
    <x v="2"/>
    <n v="328"/>
    <n v="615"/>
    <x v="0"/>
    <n v="-328"/>
    <x v="0"/>
  </r>
  <r>
    <x v="103"/>
    <d v="2020-02-24T00:00:00"/>
    <x v="2"/>
    <n v="589"/>
    <n v="26"/>
    <x v="2"/>
    <n v="-589"/>
    <x v="0"/>
  </r>
  <r>
    <x v="103"/>
    <d v="2020-02-27T00:00:00"/>
    <x v="0"/>
    <n v="985"/>
    <n v="1011"/>
    <x v="2"/>
    <n v="985"/>
    <x v="0"/>
  </r>
  <r>
    <x v="103"/>
    <d v="2020-02-29T00:00:00"/>
    <x v="0"/>
    <n v="76"/>
    <n v="1087"/>
    <x v="2"/>
    <n v="76"/>
    <x v="0"/>
  </r>
  <r>
    <x v="103"/>
    <d v="2020-03-25T00:00:00"/>
    <x v="2"/>
    <n v="321"/>
    <n v="766"/>
    <x v="1"/>
    <n v="-321"/>
    <x v="0"/>
  </r>
  <r>
    <x v="103"/>
    <d v="2020-03-29T00:00:00"/>
    <x v="2"/>
    <n v="414"/>
    <n v="352"/>
    <x v="1"/>
    <n v="-414"/>
    <x v="0"/>
  </r>
  <r>
    <x v="103"/>
    <d v="2020-03-30T00:00:00"/>
    <x v="0"/>
    <n v="838"/>
    <n v="1190"/>
    <x v="1"/>
    <n v="838"/>
    <x v="0"/>
  </r>
  <r>
    <x v="104"/>
    <d v="2020-01-07T00:00:00"/>
    <x v="0"/>
    <n v="313"/>
    <n v="313"/>
    <x v="0"/>
    <n v="313"/>
    <x v="0"/>
  </r>
  <r>
    <x v="104"/>
    <d v="2020-01-18T00:00:00"/>
    <x v="0"/>
    <n v="701"/>
    <n v="1014"/>
    <x v="0"/>
    <n v="701"/>
    <x v="0"/>
  </r>
  <r>
    <x v="104"/>
    <d v="2020-02-09T00:00:00"/>
    <x v="1"/>
    <n v="249"/>
    <n v="765"/>
    <x v="2"/>
    <n v="-249"/>
    <x v="0"/>
  </r>
  <r>
    <x v="104"/>
    <d v="2020-02-28T00:00:00"/>
    <x v="1"/>
    <n v="599"/>
    <n v="166"/>
    <x v="2"/>
    <n v="-599"/>
    <x v="0"/>
  </r>
  <r>
    <x v="104"/>
    <d v="2020-03-04T00:00:00"/>
    <x v="0"/>
    <n v="143"/>
    <n v="309"/>
    <x v="1"/>
    <n v="143"/>
    <x v="0"/>
  </r>
  <r>
    <x v="104"/>
    <d v="2020-03-13T00:00:00"/>
    <x v="2"/>
    <n v="848"/>
    <n v="-539"/>
    <x v="1"/>
    <n v="-848"/>
    <x v="1"/>
  </r>
  <r>
    <x v="104"/>
    <d v="2020-03-15T00:00:00"/>
    <x v="0"/>
    <n v="367"/>
    <n v="-172"/>
    <x v="1"/>
    <n v="367"/>
    <x v="1"/>
  </r>
  <r>
    <x v="104"/>
    <d v="2020-03-24T00:00:00"/>
    <x v="2"/>
    <n v="119"/>
    <n v="-291"/>
    <x v="1"/>
    <n v="-119"/>
    <x v="1"/>
  </r>
  <r>
    <x v="104"/>
    <d v="2020-03-25T00:00:00"/>
    <x v="1"/>
    <n v="329"/>
    <n v="-620"/>
    <x v="1"/>
    <n v="-329"/>
    <x v="1"/>
  </r>
  <r>
    <x v="104"/>
    <d v="2020-03-30T00:00:00"/>
    <x v="0"/>
    <n v="647"/>
    <n v="27"/>
    <x v="1"/>
    <n v="647"/>
    <x v="0"/>
  </r>
  <r>
    <x v="104"/>
    <d v="2020-04-01T00:00:00"/>
    <x v="1"/>
    <n v="213"/>
    <n v="-186"/>
    <x v="3"/>
    <n v="-213"/>
    <x v="1"/>
  </r>
  <r>
    <x v="105"/>
    <d v="2020-01-24T00:00:00"/>
    <x v="0"/>
    <n v="456"/>
    <n v="456"/>
    <x v="0"/>
    <n v="456"/>
    <x v="0"/>
  </r>
  <r>
    <x v="105"/>
    <d v="2020-01-28T00:00:00"/>
    <x v="2"/>
    <n v="261"/>
    <n v="195"/>
    <x v="0"/>
    <n v="-261"/>
    <x v="0"/>
  </r>
  <r>
    <x v="105"/>
    <d v="2020-01-29T00:00:00"/>
    <x v="2"/>
    <n v="304"/>
    <n v="-109"/>
    <x v="0"/>
    <n v="-304"/>
    <x v="1"/>
  </r>
  <r>
    <x v="105"/>
    <d v="2020-02-01T00:00:00"/>
    <x v="0"/>
    <n v="747"/>
    <n v="638"/>
    <x v="2"/>
    <n v="747"/>
    <x v="0"/>
  </r>
  <r>
    <x v="105"/>
    <d v="2020-02-07T00:00:00"/>
    <x v="1"/>
    <n v="222"/>
    <n v="416"/>
    <x v="2"/>
    <n v="-222"/>
    <x v="0"/>
  </r>
  <r>
    <x v="105"/>
    <d v="2020-02-09T00:00:00"/>
    <x v="0"/>
    <n v="976"/>
    <n v="1392"/>
    <x v="2"/>
    <n v="976"/>
    <x v="0"/>
  </r>
  <r>
    <x v="105"/>
    <d v="2020-02-22T00:00:00"/>
    <x v="2"/>
    <n v="546"/>
    <n v="846"/>
    <x v="2"/>
    <n v="-546"/>
    <x v="0"/>
  </r>
  <r>
    <x v="105"/>
    <d v="2020-03-02T00:00:00"/>
    <x v="2"/>
    <n v="443"/>
    <n v="403"/>
    <x v="1"/>
    <n v="-443"/>
    <x v="0"/>
  </r>
  <r>
    <x v="105"/>
    <d v="2020-03-10T00:00:00"/>
    <x v="0"/>
    <n v="453"/>
    <n v="856"/>
    <x v="1"/>
    <n v="453"/>
    <x v="0"/>
  </r>
  <r>
    <x v="105"/>
    <d v="2020-03-11T00:00:00"/>
    <x v="0"/>
    <n v="60"/>
    <n v="916"/>
    <x v="1"/>
    <n v="60"/>
    <x v="0"/>
  </r>
  <r>
    <x v="105"/>
    <d v="2020-03-21T00:00:00"/>
    <x v="2"/>
    <n v="756"/>
    <n v="160"/>
    <x v="1"/>
    <n v="-756"/>
    <x v="0"/>
  </r>
  <r>
    <x v="105"/>
    <d v="2020-03-29T00:00:00"/>
    <x v="1"/>
    <n v="271"/>
    <n v="-111"/>
    <x v="1"/>
    <n v="-271"/>
    <x v="1"/>
  </r>
  <r>
    <x v="105"/>
    <d v="2020-04-17T00:00:00"/>
    <x v="1"/>
    <n v="728"/>
    <n v="-839"/>
    <x v="3"/>
    <n v="-728"/>
    <x v="1"/>
  </r>
  <r>
    <x v="105"/>
    <d v="2020-04-19T00:00:00"/>
    <x v="1"/>
    <n v="623"/>
    <n v="-1462"/>
    <x v="3"/>
    <n v="-623"/>
    <x v="1"/>
  </r>
  <r>
    <x v="106"/>
    <d v="2020-01-13T00:00:00"/>
    <x v="0"/>
    <n v="538"/>
    <n v="538"/>
    <x v="0"/>
    <n v="538"/>
    <x v="0"/>
  </r>
  <r>
    <x v="106"/>
    <d v="2020-01-16T00:00:00"/>
    <x v="1"/>
    <n v="682"/>
    <n v="-144"/>
    <x v="0"/>
    <n v="-682"/>
    <x v="1"/>
  </r>
  <r>
    <x v="106"/>
    <d v="2020-02-17T00:00:00"/>
    <x v="2"/>
    <n v="546"/>
    <n v="-690"/>
    <x v="2"/>
    <n v="-546"/>
    <x v="1"/>
  </r>
  <r>
    <x v="107"/>
    <d v="2020-01-30T00:00:00"/>
    <x v="0"/>
    <n v="530"/>
    <n v="530"/>
    <x v="0"/>
    <n v="530"/>
    <x v="0"/>
  </r>
  <r>
    <x v="107"/>
    <d v="2020-02-12T00:00:00"/>
    <x v="1"/>
    <n v="529"/>
    <n v="1"/>
    <x v="2"/>
    <n v="-529"/>
    <x v="0"/>
  </r>
  <r>
    <x v="107"/>
    <d v="2020-02-27T00:00:00"/>
    <x v="0"/>
    <n v="737"/>
    <n v="738"/>
    <x v="2"/>
    <n v="737"/>
    <x v="0"/>
  </r>
  <r>
    <x v="107"/>
    <d v="2020-03-26T00:00:00"/>
    <x v="0"/>
    <n v="808"/>
    <n v="1546"/>
    <x v="1"/>
    <n v="808"/>
    <x v="0"/>
  </r>
  <r>
    <x v="107"/>
    <d v="2020-04-05T00:00:00"/>
    <x v="0"/>
    <n v="737"/>
    <n v="2283"/>
    <x v="3"/>
    <n v="737"/>
    <x v="0"/>
  </r>
  <r>
    <x v="107"/>
    <d v="2020-04-05T00:00:00"/>
    <x v="1"/>
    <n v="335"/>
    <n v="1948"/>
    <x v="3"/>
    <n v="-335"/>
    <x v="0"/>
  </r>
  <r>
    <x v="107"/>
    <d v="2020-04-08T00:00:00"/>
    <x v="1"/>
    <n v="163"/>
    <n v="1785"/>
    <x v="3"/>
    <n v="-163"/>
    <x v="0"/>
  </r>
  <r>
    <x v="107"/>
    <d v="2020-04-18T00:00:00"/>
    <x v="2"/>
    <n v="279"/>
    <n v="1506"/>
    <x v="3"/>
    <n v="-279"/>
    <x v="0"/>
  </r>
  <r>
    <x v="107"/>
    <d v="2020-04-18T00:00:00"/>
    <x v="0"/>
    <n v="990"/>
    <n v="2496"/>
    <x v="3"/>
    <n v="990"/>
    <x v="0"/>
  </r>
  <r>
    <x v="107"/>
    <d v="2020-04-25T00:00:00"/>
    <x v="0"/>
    <n v="184"/>
    <n v="2680"/>
    <x v="3"/>
    <n v="184"/>
    <x v="0"/>
  </r>
  <r>
    <x v="108"/>
    <d v="2020-01-01T00:00:00"/>
    <x v="0"/>
    <n v="429"/>
    <n v="429"/>
    <x v="0"/>
    <n v="429"/>
    <x v="0"/>
  </r>
  <r>
    <x v="108"/>
    <d v="2020-02-03T00:00:00"/>
    <x v="0"/>
    <n v="767"/>
    <n v="1196"/>
    <x v="2"/>
    <n v="767"/>
    <x v="0"/>
  </r>
  <r>
    <x v="108"/>
    <d v="2020-02-05T00:00:00"/>
    <x v="0"/>
    <n v="717"/>
    <n v="1913"/>
    <x v="2"/>
    <n v="717"/>
    <x v="0"/>
  </r>
  <r>
    <x v="108"/>
    <d v="2020-02-08T00:00:00"/>
    <x v="0"/>
    <n v="578"/>
    <n v="2491"/>
    <x v="2"/>
    <n v="578"/>
    <x v="0"/>
  </r>
  <r>
    <x v="109"/>
    <d v="2020-01-01T00:00:00"/>
    <x v="0"/>
    <n v="888"/>
    <n v="888"/>
    <x v="0"/>
    <n v="888"/>
    <x v="0"/>
  </r>
  <r>
    <x v="109"/>
    <d v="2020-01-06T00:00:00"/>
    <x v="2"/>
    <n v="697"/>
    <n v="191"/>
    <x v="0"/>
    <n v="-697"/>
    <x v="0"/>
  </r>
  <r>
    <x v="109"/>
    <d v="2020-01-07T00:00:00"/>
    <x v="2"/>
    <n v="905"/>
    <n v="-714"/>
    <x v="0"/>
    <n v="-905"/>
    <x v="1"/>
  </r>
  <r>
    <x v="109"/>
    <d v="2020-01-09T00:00:00"/>
    <x v="0"/>
    <n v="241"/>
    <n v="-473"/>
    <x v="0"/>
    <n v="241"/>
    <x v="1"/>
  </r>
  <r>
    <x v="109"/>
    <d v="2020-01-13T00:00:00"/>
    <x v="2"/>
    <n v="944"/>
    <n v="-1417"/>
    <x v="0"/>
    <n v="-944"/>
    <x v="1"/>
  </r>
  <r>
    <x v="109"/>
    <d v="2020-01-14T00:00:00"/>
    <x v="0"/>
    <n v="485"/>
    <n v="-932"/>
    <x v="0"/>
    <n v="485"/>
    <x v="1"/>
  </r>
  <r>
    <x v="109"/>
    <d v="2020-01-14T00:00:00"/>
    <x v="0"/>
    <n v="545"/>
    <n v="-387"/>
    <x v="0"/>
    <n v="545"/>
    <x v="1"/>
  </r>
  <r>
    <x v="109"/>
    <d v="2020-01-18T00:00:00"/>
    <x v="0"/>
    <n v="709"/>
    <n v="322"/>
    <x v="0"/>
    <n v="709"/>
    <x v="0"/>
  </r>
  <r>
    <x v="109"/>
    <d v="2020-01-18T00:00:00"/>
    <x v="0"/>
    <n v="480"/>
    <n v="802"/>
    <x v="0"/>
    <n v="480"/>
    <x v="0"/>
  </r>
  <r>
    <x v="109"/>
    <d v="2020-01-19T00:00:00"/>
    <x v="1"/>
    <n v="85"/>
    <n v="717"/>
    <x v="0"/>
    <n v="-85"/>
    <x v="0"/>
  </r>
  <r>
    <x v="109"/>
    <d v="2020-01-19T00:00:00"/>
    <x v="1"/>
    <n v="150"/>
    <n v="567"/>
    <x v="0"/>
    <n v="-150"/>
    <x v="0"/>
  </r>
  <r>
    <x v="109"/>
    <d v="2020-01-21T00:00:00"/>
    <x v="0"/>
    <n v="705"/>
    <n v="1272"/>
    <x v="0"/>
    <n v="705"/>
    <x v="0"/>
  </r>
  <r>
    <x v="109"/>
    <d v="2020-01-26T00:00:00"/>
    <x v="1"/>
    <n v="14"/>
    <n v="1258"/>
    <x v="0"/>
    <n v="-14"/>
    <x v="0"/>
  </r>
  <r>
    <x v="109"/>
    <d v="2020-02-06T00:00:00"/>
    <x v="0"/>
    <n v="914"/>
    <n v="2172"/>
    <x v="2"/>
    <n v="914"/>
    <x v="0"/>
  </r>
  <r>
    <x v="109"/>
    <d v="2020-02-11T00:00:00"/>
    <x v="2"/>
    <n v="974"/>
    <n v="1198"/>
    <x v="2"/>
    <n v="-974"/>
    <x v="0"/>
  </r>
  <r>
    <x v="109"/>
    <d v="2020-03-03T00:00:00"/>
    <x v="0"/>
    <n v="417"/>
    <n v="1615"/>
    <x v="1"/>
    <n v="417"/>
    <x v="0"/>
  </r>
  <r>
    <x v="109"/>
    <d v="2020-03-05T00:00:00"/>
    <x v="2"/>
    <n v="373"/>
    <n v="1242"/>
    <x v="1"/>
    <n v="-373"/>
    <x v="0"/>
  </r>
  <r>
    <x v="109"/>
    <d v="2020-03-10T00:00:00"/>
    <x v="2"/>
    <n v="202"/>
    <n v="1040"/>
    <x v="1"/>
    <n v="-202"/>
    <x v="0"/>
  </r>
  <r>
    <x v="109"/>
    <d v="2020-03-17T00:00:00"/>
    <x v="0"/>
    <n v="943"/>
    <n v="1983"/>
    <x v="1"/>
    <n v="943"/>
    <x v="0"/>
  </r>
  <r>
    <x v="109"/>
    <d v="2020-03-29T00:00:00"/>
    <x v="0"/>
    <n v="250"/>
    <n v="2233"/>
    <x v="1"/>
    <n v="250"/>
    <x v="0"/>
  </r>
  <r>
    <x v="110"/>
    <d v="2020-01-28T00:00:00"/>
    <x v="0"/>
    <n v="101"/>
    <n v="101"/>
    <x v="0"/>
    <n v="101"/>
    <x v="0"/>
  </r>
  <r>
    <x v="110"/>
    <d v="2020-02-01T00:00:00"/>
    <x v="0"/>
    <n v="362"/>
    <n v="463"/>
    <x v="2"/>
    <n v="362"/>
    <x v="0"/>
  </r>
  <r>
    <x v="110"/>
    <d v="2020-03-25T00:00:00"/>
    <x v="2"/>
    <n v="364"/>
    <n v="99"/>
    <x v="1"/>
    <n v="-364"/>
    <x v="0"/>
  </r>
  <r>
    <x v="111"/>
    <d v="2020-01-08T00:00:00"/>
    <x v="0"/>
    <n v="945"/>
    <n v="945"/>
    <x v="0"/>
    <n v="945"/>
    <x v="0"/>
  </r>
  <r>
    <x v="111"/>
    <d v="2020-02-09T00:00:00"/>
    <x v="0"/>
    <n v="707"/>
    <n v="1652"/>
    <x v="2"/>
    <n v="707"/>
    <x v="0"/>
  </r>
  <r>
    <x v="111"/>
    <d v="2020-02-21T00:00:00"/>
    <x v="0"/>
    <n v="317"/>
    <n v="1969"/>
    <x v="2"/>
    <n v="317"/>
    <x v="0"/>
  </r>
  <r>
    <x v="111"/>
    <d v="2020-02-29T00:00:00"/>
    <x v="2"/>
    <n v="122"/>
    <n v="1847"/>
    <x v="2"/>
    <n v="-122"/>
    <x v="0"/>
  </r>
  <r>
    <x v="111"/>
    <d v="2020-02-29T00:00:00"/>
    <x v="2"/>
    <n v="954"/>
    <n v="893"/>
    <x v="2"/>
    <n v="-954"/>
    <x v="0"/>
  </r>
  <r>
    <x v="111"/>
    <d v="2020-03-04T00:00:00"/>
    <x v="1"/>
    <n v="523"/>
    <n v="370"/>
    <x v="1"/>
    <n v="-523"/>
    <x v="0"/>
  </r>
  <r>
    <x v="111"/>
    <d v="2020-03-18T00:00:00"/>
    <x v="1"/>
    <n v="322"/>
    <n v="48"/>
    <x v="1"/>
    <n v="-322"/>
    <x v="0"/>
  </r>
  <r>
    <x v="111"/>
    <d v="2020-03-24T00:00:00"/>
    <x v="2"/>
    <n v="164"/>
    <n v="-116"/>
    <x v="1"/>
    <n v="-164"/>
    <x v="1"/>
  </r>
  <r>
    <x v="112"/>
    <d v="2020-01-21T00:00:00"/>
    <x v="0"/>
    <n v="14"/>
    <n v="14"/>
    <x v="0"/>
    <n v="14"/>
    <x v="0"/>
  </r>
  <r>
    <x v="112"/>
    <d v="2020-01-23T00:00:00"/>
    <x v="1"/>
    <n v="525"/>
    <n v="-511"/>
    <x v="0"/>
    <n v="-525"/>
    <x v="1"/>
  </r>
  <r>
    <x v="112"/>
    <d v="2020-02-04T00:00:00"/>
    <x v="0"/>
    <n v="17"/>
    <n v="-494"/>
    <x v="2"/>
    <n v="17"/>
    <x v="1"/>
  </r>
  <r>
    <x v="112"/>
    <d v="2020-02-06T00:00:00"/>
    <x v="2"/>
    <n v="245"/>
    <n v="-739"/>
    <x v="2"/>
    <n v="-245"/>
    <x v="1"/>
  </r>
  <r>
    <x v="112"/>
    <d v="2020-02-21T00:00:00"/>
    <x v="0"/>
    <n v="753"/>
    <n v="14"/>
    <x v="2"/>
    <n v="753"/>
    <x v="0"/>
  </r>
  <r>
    <x v="112"/>
    <d v="2020-02-23T00:00:00"/>
    <x v="0"/>
    <n v="48"/>
    <n v="62"/>
    <x v="2"/>
    <n v="48"/>
    <x v="0"/>
  </r>
  <r>
    <x v="112"/>
    <d v="2020-03-10T00:00:00"/>
    <x v="2"/>
    <n v="544"/>
    <n v="-482"/>
    <x v="1"/>
    <n v="-544"/>
    <x v="1"/>
  </r>
  <r>
    <x v="112"/>
    <d v="2020-03-11T00:00:00"/>
    <x v="1"/>
    <n v="21"/>
    <n v="-503"/>
    <x v="1"/>
    <n v="-21"/>
    <x v="1"/>
  </r>
  <r>
    <x v="112"/>
    <d v="2020-03-13T00:00:00"/>
    <x v="2"/>
    <n v="468"/>
    <n v="-971"/>
    <x v="1"/>
    <n v="-468"/>
    <x v="1"/>
  </r>
  <r>
    <x v="112"/>
    <d v="2020-03-23T00:00:00"/>
    <x v="0"/>
    <n v="203"/>
    <n v="-768"/>
    <x v="1"/>
    <n v="203"/>
    <x v="1"/>
  </r>
  <r>
    <x v="112"/>
    <d v="2020-03-26T00:00:00"/>
    <x v="0"/>
    <n v="780"/>
    <n v="12"/>
    <x v="1"/>
    <n v="780"/>
    <x v="0"/>
  </r>
  <r>
    <x v="112"/>
    <d v="2020-04-02T00:00:00"/>
    <x v="2"/>
    <n v="255"/>
    <n v="-243"/>
    <x v="3"/>
    <n v="-255"/>
    <x v="1"/>
  </r>
  <r>
    <x v="112"/>
    <d v="2020-04-03T00:00:00"/>
    <x v="2"/>
    <n v="211"/>
    <n v="-454"/>
    <x v="3"/>
    <n v="-211"/>
    <x v="1"/>
  </r>
  <r>
    <x v="112"/>
    <d v="2020-04-09T00:00:00"/>
    <x v="1"/>
    <n v="686"/>
    <n v="-1140"/>
    <x v="3"/>
    <n v="-686"/>
    <x v="1"/>
  </r>
  <r>
    <x v="113"/>
    <d v="2020-01-19T00:00:00"/>
    <x v="0"/>
    <n v="743"/>
    <n v="743"/>
    <x v="0"/>
    <n v="743"/>
    <x v="0"/>
  </r>
  <r>
    <x v="113"/>
    <d v="2020-03-28T00:00:00"/>
    <x v="1"/>
    <n v="574"/>
    <n v="169"/>
    <x v="1"/>
    <n v="-574"/>
    <x v="0"/>
  </r>
  <r>
    <x v="113"/>
    <d v="2020-04-06T00:00:00"/>
    <x v="0"/>
    <n v="974"/>
    <n v="1143"/>
    <x v="3"/>
    <n v="974"/>
    <x v="0"/>
  </r>
  <r>
    <x v="114"/>
    <d v="2020-01-29T00:00:00"/>
    <x v="0"/>
    <n v="144"/>
    <n v="144"/>
    <x v="0"/>
    <n v="144"/>
    <x v="0"/>
  </r>
  <r>
    <x v="114"/>
    <d v="2020-02-01T00:00:00"/>
    <x v="1"/>
    <n v="400"/>
    <n v="-256"/>
    <x v="2"/>
    <n v="-400"/>
    <x v="1"/>
  </r>
  <r>
    <x v="114"/>
    <d v="2020-02-08T00:00:00"/>
    <x v="2"/>
    <n v="196"/>
    <n v="-452"/>
    <x v="2"/>
    <n v="-196"/>
    <x v="1"/>
  </r>
  <r>
    <x v="114"/>
    <d v="2020-02-25T00:00:00"/>
    <x v="1"/>
    <n v="393"/>
    <n v="-845"/>
    <x v="2"/>
    <n v="-393"/>
    <x v="1"/>
  </r>
  <r>
    <x v="114"/>
    <d v="2020-03-03T00:00:00"/>
    <x v="0"/>
    <n v="747"/>
    <n v="-98"/>
    <x v="1"/>
    <n v="747"/>
    <x v="1"/>
  </r>
  <r>
    <x v="114"/>
    <d v="2020-03-07T00:00:00"/>
    <x v="0"/>
    <n v="672"/>
    <n v="574"/>
    <x v="1"/>
    <n v="672"/>
    <x v="0"/>
  </r>
  <r>
    <x v="114"/>
    <d v="2020-03-28T00:00:00"/>
    <x v="1"/>
    <n v="51"/>
    <n v="523"/>
    <x v="1"/>
    <n v="-51"/>
    <x v="0"/>
  </r>
  <r>
    <x v="114"/>
    <d v="2020-03-30T00:00:00"/>
    <x v="0"/>
    <n v="361"/>
    <n v="884"/>
    <x v="1"/>
    <n v="361"/>
    <x v="0"/>
  </r>
  <r>
    <x v="114"/>
    <d v="2020-04-06T00:00:00"/>
    <x v="2"/>
    <n v="945"/>
    <n v="-61"/>
    <x v="3"/>
    <n v="-945"/>
    <x v="1"/>
  </r>
  <r>
    <x v="114"/>
    <d v="2020-04-06T00:00:00"/>
    <x v="0"/>
    <n v="20"/>
    <n v="-41"/>
    <x v="3"/>
    <n v="20"/>
    <x v="1"/>
  </r>
  <r>
    <x v="115"/>
    <d v="2020-01-28T00:00:00"/>
    <x v="0"/>
    <n v="167"/>
    <n v="167"/>
    <x v="0"/>
    <n v="167"/>
    <x v="0"/>
  </r>
  <r>
    <x v="115"/>
    <d v="2020-02-11T00:00:00"/>
    <x v="0"/>
    <n v="344"/>
    <n v="511"/>
    <x v="2"/>
    <n v="344"/>
    <x v="0"/>
  </r>
  <r>
    <x v="115"/>
    <d v="2020-02-23T00:00:00"/>
    <x v="1"/>
    <n v="458"/>
    <n v="53"/>
    <x v="2"/>
    <n v="-458"/>
    <x v="0"/>
  </r>
  <r>
    <x v="115"/>
    <d v="2020-03-20T00:00:00"/>
    <x v="0"/>
    <n v="490"/>
    <n v="543"/>
    <x v="1"/>
    <n v="490"/>
    <x v="0"/>
  </r>
  <r>
    <x v="115"/>
    <d v="2020-04-17T00:00:00"/>
    <x v="1"/>
    <n v="213"/>
    <n v="330"/>
    <x v="3"/>
    <n v="-213"/>
    <x v="0"/>
  </r>
  <r>
    <x v="116"/>
    <d v="2020-01-15T00:00:00"/>
    <x v="0"/>
    <n v="5"/>
    <n v="5"/>
    <x v="0"/>
    <n v="5"/>
    <x v="0"/>
  </r>
  <r>
    <x v="116"/>
    <d v="2020-01-28T00:00:00"/>
    <x v="2"/>
    <n v="30"/>
    <n v="-25"/>
    <x v="0"/>
    <n v="-30"/>
    <x v="1"/>
  </r>
  <r>
    <x v="116"/>
    <d v="2020-02-12T00:00:00"/>
    <x v="0"/>
    <n v="727"/>
    <n v="702"/>
    <x v="2"/>
    <n v="727"/>
    <x v="0"/>
  </r>
  <r>
    <x v="116"/>
    <d v="2020-02-14T00:00:00"/>
    <x v="2"/>
    <n v="439"/>
    <n v="263"/>
    <x v="2"/>
    <n v="-439"/>
    <x v="0"/>
  </r>
  <r>
    <x v="116"/>
    <d v="2020-02-25T00:00:00"/>
    <x v="1"/>
    <n v="479"/>
    <n v="-216"/>
    <x v="2"/>
    <n v="-479"/>
    <x v="1"/>
  </r>
  <r>
    <x v="116"/>
    <d v="2020-03-13T00:00:00"/>
    <x v="0"/>
    <n v="430"/>
    <n v="214"/>
    <x v="1"/>
    <n v="430"/>
    <x v="0"/>
  </r>
  <r>
    <x v="116"/>
    <d v="2020-03-20T00:00:00"/>
    <x v="2"/>
    <n v="920"/>
    <n v="-706"/>
    <x v="1"/>
    <n v="-920"/>
    <x v="1"/>
  </r>
  <r>
    <x v="117"/>
    <d v="2020-01-03T00:00:00"/>
    <x v="0"/>
    <n v="683"/>
    <n v="683"/>
    <x v="0"/>
    <n v="683"/>
    <x v="0"/>
  </r>
  <r>
    <x v="117"/>
    <d v="2020-01-04T00:00:00"/>
    <x v="1"/>
    <n v="389"/>
    <n v="294"/>
    <x v="0"/>
    <n v="-389"/>
    <x v="0"/>
  </r>
  <r>
    <x v="117"/>
    <d v="2020-01-24T00:00:00"/>
    <x v="1"/>
    <n v="977"/>
    <n v="-683"/>
    <x v="0"/>
    <n v="-977"/>
    <x v="1"/>
  </r>
  <r>
    <x v="117"/>
    <d v="2020-02-02T00:00:00"/>
    <x v="2"/>
    <n v="3"/>
    <n v="-686"/>
    <x v="2"/>
    <n v="-3"/>
    <x v="1"/>
  </r>
  <r>
    <x v="117"/>
    <d v="2020-02-02T00:00:00"/>
    <x v="0"/>
    <n v="173"/>
    <n v="-513"/>
    <x v="2"/>
    <n v="173"/>
    <x v="1"/>
  </r>
  <r>
    <x v="117"/>
    <d v="2020-03-11T00:00:00"/>
    <x v="1"/>
    <n v="795"/>
    <n v="-1308"/>
    <x v="1"/>
    <n v="-795"/>
    <x v="1"/>
  </r>
  <r>
    <x v="117"/>
    <d v="2020-03-15T00:00:00"/>
    <x v="2"/>
    <n v="342"/>
    <n v="-1650"/>
    <x v="1"/>
    <n v="-342"/>
    <x v="1"/>
  </r>
  <r>
    <x v="117"/>
    <d v="2020-03-30T00:00:00"/>
    <x v="0"/>
    <n v="223"/>
    <n v="-1427"/>
    <x v="1"/>
    <n v="223"/>
    <x v="1"/>
  </r>
  <r>
    <x v="118"/>
    <d v="2020-01-17T00:00:00"/>
    <x v="0"/>
    <n v="62"/>
    <n v="62"/>
    <x v="0"/>
    <n v="62"/>
    <x v="0"/>
  </r>
  <r>
    <x v="118"/>
    <d v="2020-03-09T00:00:00"/>
    <x v="2"/>
    <n v="969"/>
    <n v="-907"/>
    <x v="1"/>
    <n v="-969"/>
    <x v="1"/>
  </r>
  <r>
    <x v="118"/>
    <d v="2020-04-10T00:00:00"/>
    <x v="0"/>
    <n v="417"/>
    <n v="-490"/>
    <x v="3"/>
    <n v="417"/>
    <x v="1"/>
  </r>
  <r>
    <x v="119"/>
    <d v="2020-01-23T00:00:00"/>
    <x v="0"/>
    <n v="824"/>
    <n v="824"/>
    <x v="0"/>
    <n v="824"/>
    <x v="0"/>
  </r>
  <r>
    <x v="119"/>
    <d v="2020-02-09T00:00:00"/>
    <x v="2"/>
    <n v="374"/>
    <n v="450"/>
    <x v="2"/>
    <n v="-374"/>
    <x v="0"/>
  </r>
  <r>
    <x v="119"/>
    <d v="2020-02-10T00:00:00"/>
    <x v="0"/>
    <n v="313"/>
    <n v="763"/>
    <x v="2"/>
    <n v="313"/>
    <x v="0"/>
  </r>
  <r>
    <x v="119"/>
    <d v="2020-02-11T00:00:00"/>
    <x v="0"/>
    <n v="664"/>
    <n v="1427"/>
    <x v="2"/>
    <n v="664"/>
    <x v="0"/>
  </r>
  <r>
    <x v="119"/>
    <d v="2020-02-13T00:00:00"/>
    <x v="0"/>
    <n v="693"/>
    <n v="2120"/>
    <x v="2"/>
    <n v="693"/>
    <x v="0"/>
  </r>
  <r>
    <x v="119"/>
    <d v="2020-02-17T00:00:00"/>
    <x v="1"/>
    <n v="654"/>
    <n v="1466"/>
    <x v="2"/>
    <n v="-654"/>
    <x v="0"/>
  </r>
  <r>
    <x v="119"/>
    <d v="2020-02-20T00:00:00"/>
    <x v="0"/>
    <n v="402"/>
    <n v="1868"/>
    <x v="2"/>
    <n v="402"/>
    <x v="0"/>
  </r>
  <r>
    <x v="119"/>
    <d v="2020-02-21T00:00:00"/>
    <x v="0"/>
    <n v="970"/>
    <n v="2838"/>
    <x v="2"/>
    <n v="970"/>
    <x v="0"/>
  </r>
  <r>
    <x v="119"/>
    <d v="2020-02-22T00:00:00"/>
    <x v="1"/>
    <n v="343"/>
    <n v="2495"/>
    <x v="2"/>
    <n v="-343"/>
    <x v="0"/>
  </r>
  <r>
    <x v="119"/>
    <d v="2020-02-28T00:00:00"/>
    <x v="2"/>
    <n v="582"/>
    <n v="1913"/>
    <x v="2"/>
    <n v="-582"/>
    <x v="0"/>
  </r>
  <r>
    <x v="119"/>
    <d v="2020-03-01T00:00:00"/>
    <x v="1"/>
    <n v="879"/>
    <n v="1034"/>
    <x v="1"/>
    <n v="-879"/>
    <x v="0"/>
  </r>
  <r>
    <x v="119"/>
    <d v="2020-03-03T00:00:00"/>
    <x v="2"/>
    <n v="418"/>
    <n v="616"/>
    <x v="1"/>
    <n v="-418"/>
    <x v="0"/>
  </r>
  <r>
    <x v="119"/>
    <d v="2020-03-11T00:00:00"/>
    <x v="1"/>
    <n v="685"/>
    <n v="-69"/>
    <x v="1"/>
    <n v="-685"/>
    <x v="1"/>
  </r>
  <r>
    <x v="119"/>
    <d v="2020-03-20T00:00:00"/>
    <x v="1"/>
    <n v="145"/>
    <n v="-214"/>
    <x v="1"/>
    <n v="-145"/>
    <x v="1"/>
  </r>
  <r>
    <x v="119"/>
    <d v="2020-03-20T00:00:00"/>
    <x v="2"/>
    <n v="686"/>
    <n v="-900"/>
    <x v="1"/>
    <n v="-686"/>
    <x v="1"/>
  </r>
  <r>
    <x v="119"/>
    <d v="2020-04-06T00:00:00"/>
    <x v="2"/>
    <n v="794"/>
    <n v="-1694"/>
    <x v="3"/>
    <n v="-794"/>
    <x v="1"/>
  </r>
  <r>
    <x v="119"/>
    <d v="2020-04-21T00:00:00"/>
    <x v="0"/>
    <n v="229"/>
    <n v="-1465"/>
    <x v="3"/>
    <n v="229"/>
    <x v="1"/>
  </r>
  <r>
    <x v="120"/>
    <d v="2020-01-01T00:00:00"/>
    <x v="0"/>
    <n v="335"/>
    <n v="335"/>
    <x v="0"/>
    <n v="335"/>
    <x v="0"/>
  </r>
  <r>
    <x v="120"/>
    <d v="2020-01-20T00:00:00"/>
    <x v="0"/>
    <n v="19"/>
    <n v="354"/>
    <x v="0"/>
    <n v="19"/>
    <x v="0"/>
  </r>
  <r>
    <x v="120"/>
    <d v="2020-01-22T00:00:00"/>
    <x v="0"/>
    <n v="864"/>
    <n v="1218"/>
    <x v="0"/>
    <n v="864"/>
    <x v="0"/>
  </r>
  <r>
    <x v="120"/>
    <d v="2020-01-28T00:00:00"/>
    <x v="0"/>
    <n v="774"/>
    <n v="1992"/>
    <x v="0"/>
    <n v="774"/>
    <x v="0"/>
  </r>
  <r>
    <x v="120"/>
    <d v="2020-02-04T00:00:00"/>
    <x v="0"/>
    <n v="328"/>
    <n v="2320"/>
    <x v="2"/>
    <n v="328"/>
    <x v="0"/>
  </r>
  <r>
    <x v="120"/>
    <d v="2020-02-15T00:00:00"/>
    <x v="1"/>
    <n v="711"/>
    <n v="1609"/>
    <x v="2"/>
    <n v="-711"/>
    <x v="0"/>
  </r>
  <r>
    <x v="120"/>
    <d v="2020-02-20T00:00:00"/>
    <x v="1"/>
    <n v="543"/>
    <n v="1066"/>
    <x v="2"/>
    <n v="-543"/>
    <x v="0"/>
  </r>
  <r>
    <x v="120"/>
    <d v="2020-02-29T00:00:00"/>
    <x v="0"/>
    <n v="230"/>
    <n v="1296"/>
    <x v="2"/>
    <n v="230"/>
    <x v="0"/>
  </r>
  <r>
    <x v="120"/>
    <d v="2020-03-06T00:00:00"/>
    <x v="2"/>
    <n v="869"/>
    <n v="427"/>
    <x v="1"/>
    <n v="-869"/>
    <x v="0"/>
  </r>
  <r>
    <x v="120"/>
    <d v="2020-03-11T00:00:00"/>
    <x v="0"/>
    <n v="26"/>
    <n v="453"/>
    <x v="1"/>
    <n v="26"/>
    <x v="0"/>
  </r>
  <r>
    <x v="120"/>
    <d v="2020-03-15T00:00:00"/>
    <x v="1"/>
    <n v="878"/>
    <n v="-425"/>
    <x v="1"/>
    <n v="-878"/>
    <x v="1"/>
  </r>
  <r>
    <x v="121"/>
    <d v="2020-01-29T00:00:00"/>
    <x v="0"/>
    <n v="397"/>
    <n v="397"/>
    <x v="0"/>
    <n v="397"/>
    <x v="0"/>
  </r>
  <r>
    <x v="121"/>
    <d v="2020-01-29T00:00:00"/>
    <x v="1"/>
    <n v="83"/>
    <n v="314"/>
    <x v="0"/>
    <n v="-83"/>
    <x v="0"/>
  </r>
  <r>
    <x v="121"/>
    <d v="2020-02-05T00:00:00"/>
    <x v="1"/>
    <n v="150"/>
    <n v="164"/>
    <x v="2"/>
    <n v="-150"/>
    <x v="0"/>
  </r>
  <r>
    <x v="121"/>
    <d v="2020-02-13T00:00:00"/>
    <x v="0"/>
    <n v="88"/>
    <n v="252"/>
    <x v="2"/>
    <n v="88"/>
    <x v="0"/>
  </r>
  <r>
    <x v="121"/>
    <d v="2020-03-18T00:00:00"/>
    <x v="0"/>
    <n v="290"/>
    <n v="542"/>
    <x v="1"/>
    <n v="290"/>
    <x v="0"/>
  </r>
  <r>
    <x v="121"/>
    <d v="2020-03-27T00:00:00"/>
    <x v="0"/>
    <n v="725"/>
    <n v="1267"/>
    <x v="1"/>
    <n v="725"/>
    <x v="0"/>
  </r>
  <r>
    <x v="121"/>
    <d v="2020-03-28T00:00:00"/>
    <x v="0"/>
    <n v="80"/>
    <n v="1347"/>
    <x v="1"/>
    <n v="80"/>
    <x v="0"/>
  </r>
  <r>
    <x v="121"/>
    <d v="2020-04-07T00:00:00"/>
    <x v="2"/>
    <n v="135"/>
    <n v="1212"/>
    <x v="3"/>
    <n v="-135"/>
    <x v="0"/>
  </r>
  <r>
    <x v="121"/>
    <d v="2020-04-09T00:00:00"/>
    <x v="0"/>
    <n v="992"/>
    <n v="2204"/>
    <x v="3"/>
    <n v="992"/>
    <x v="0"/>
  </r>
  <r>
    <x v="121"/>
    <d v="2020-04-11T00:00:00"/>
    <x v="2"/>
    <n v="678"/>
    <n v="1526"/>
    <x v="3"/>
    <n v="-678"/>
    <x v="0"/>
  </r>
  <r>
    <x v="121"/>
    <d v="2020-04-12T00:00:00"/>
    <x v="0"/>
    <n v="7"/>
    <n v="1533"/>
    <x v="3"/>
    <n v="7"/>
    <x v="0"/>
  </r>
  <r>
    <x v="121"/>
    <d v="2020-04-20T00:00:00"/>
    <x v="0"/>
    <n v="51"/>
    <n v="1584"/>
    <x v="3"/>
    <n v="51"/>
    <x v="0"/>
  </r>
  <r>
    <x v="121"/>
    <d v="2020-04-23T00:00:00"/>
    <x v="2"/>
    <n v="283"/>
    <n v="1301"/>
    <x v="3"/>
    <n v="-283"/>
    <x v="0"/>
  </r>
  <r>
    <x v="121"/>
    <d v="2020-04-24T00:00:00"/>
    <x v="1"/>
    <n v="235"/>
    <n v="1066"/>
    <x v="3"/>
    <n v="-235"/>
    <x v="0"/>
  </r>
  <r>
    <x v="122"/>
    <d v="2020-01-16T00:00:00"/>
    <x v="0"/>
    <n v="423"/>
    <n v="423"/>
    <x v="0"/>
    <n v="423"/>
    <x v="0"/>
  </r>
  <r>
    <x v="122"/>
    <d v="2020-01-25T00:00:00"/>
    <x v="2"/>
    <n v="310"/>
    <n v="113"/>
    <x v="0"/>
    <n v="-310"/>
    <x v="0"/>
  </r>
  <r>
    <x v="122"/>
    <d v="2020-01-26T00:00:00"/>
    <x v="1"/>
    <n v="830"/>
    <n v="-717"/>
    <x v="0"/>
    <n v="-830"/>
    <x v="1"/>
  </r>
  <r>
    <x v="122"/>
    <d v="2020-02-09T00:00:00"/>
    <x v="1"/>
    <n v="600"/>
    <n v="-1317"/>
    <x v="2"/>
    <n v="-600"/>
    <x v="1"/>
  </r>
  <r>
    <x v="122"/>
    <d v="2020-02-19T00:00:00"/>
    <x v="2"/>
    <n v="960"/>
    <n v="-2277"/>
    <x v="2"/>
    <n v="-960"/>
    <x v="1"/>
  </r>
  <r>
    <x v="122"/>
    <d v="2020-03-07T00:00:00"/>
    <x v="1"/>
    <n v="386"/>
    <n v="-2663"/>
    <x v="1"/>
    <n v="-386"/>
    <x v="1"/>
  </r>
  <r>
    <x v="122"/>
    <d v="2020-03-28T00:00:00"/>
    <x v="0"/>
    <n v="352"/>
    <n v="-2311"/>
    <x v="1"/>
    <n v="352"/>
    <x v="1"/>
  </r>
  <r>
    <x v="122"/>
    <d v="2020-03-29T00:00:00"/>
    <x v="0"/>
    <n v="727"/>
    <n v="-1584"/>
    <x v="1"/>
    <n v="727"/>
    <x v="1"/>
  </r>
  <r>
    <x v="122"/>
    <d v="2020-04-03T00:00:00"/>
    <x v="0"/>
    <n v="540"/>
    <n v="-1044"/>
    <x v="3"/>
    <n v="540"/>
    <x v="1"/>
  </r>
  <r>
    <x v="122"/>
    <d v="2020-04-04T00:00:00"/>
    <x v="2"/>
    <n v="362"/>
    <n v="-1406"/>
    <x v="3"/>
    <n v="-362"/>
    <x v="1"/>
  </r>
  <r>
    <x v="122"/>
    <d v="2020-04-05T00:00:00"/>
    <x v="0"/>
    <n v="688"/>
    <n v="-718"/>
    <x v="3"/>
    <n v="688"/>
    <x v="1"/>
  </r>
  <r>
    <x v="122"/>
    <d v="2020-04-06T00:00:00"/>
    <x v="1"/>
    <n v="947"/>
    <n v="-1665"/>
    <x v="3"/>
    <n v="-947"/>
    <x v="1"/>
  </r>
  <r>
    <x v="122"/>
    <d v="2020-04-07T00:00:00"/>
    <x v="1"/>
    <n v="463"/>
    <n v="-2128"/>
    <x v="3"/>
    <n v="-463"/>
    <x v="1"/>
  </r>
  <r>
    <x v="123"/>
    <d v="2020-01-01T00:00:00"/>
    <x v="0"/>
    <n v="159"/>
    <n v="159"/>
    <x v="0"/>
    <n v="159"/>
    <x v="0"/>
  </r>
  <r>
    <x v="123"/>
    <d v="2020-01-11T00:00:00"/>
    <x v="2"/>
    <n v="37"/>
    <n v="122"/>
    <x v="0"/>
    <n v="-37"/>
    <x v="0"/>
  </r>
  <r>
    <x v="123"/>
    <d v="2020-01-14T00:00:00"/>
    <x v="0"/>
    <n v="564"/>
    <n v="686"/>
    <x v="0"/>
    <n v="564"/>
    <x v="0"/>
  </r>
  <r>
    <x v="123"/>
    <d v="2020-01-14T00:00:00"/>
    <x v="0"/>
    <n v="579"/>
    <n v="1265"/>
    <x v="0"/>
    <n v="579"/>
    <x v="0"/>
  </r>
  <r>
    <x v="123"/>
    <d v="2020-01-16T00:00:00"/>
    <x v="2"/>
    <n v="249"/>
    <n v="1016"/>
    <x v="0"/>
    <n v="-249"/>
    <x v="0"/>
  </r>
  <r>
    <x v="123"/>
    <d v="2020-01-19T00:00:00"/>
    <x v="2"/>
    <n v="285"/>
    <n v="731"/>
    <x v="0"/>
    <n v="-285"/>
    <x v="0"/>
  </r>
  <r>
    <x v="123"/>
    <d v="2020-02-03T00:00:00"/>
    <x v="2"/>
    <n v="427"/>
    <n v="304"/>
    <x v="2"/>
    <n v="-427"/>
    <x v="0"/>
  </r>
  <r>
    <x v="123"/>
    <d v="2020-02-07T00:00:00"/>
    <x v="0"/>
    <n v="710"/>
    <n v="1014"/>
    <x v="2"/>
    <n v="710"/>
    <x v="0"/>
  </r>
  <r>
    <x v="123"/>
    <d v="2020-02-09T00:00:00"/>
    <x v="0"/>
    <n v="162"/>
    <n v="1176"/>
    <x v="2"/>
    <n v="162"/>
    <x v="0"/>
  </r>
  <r>
    <x v="123"/>
    <d v="2020-02-11T00:00:00"/>
    <x v="0"/>
    <n v="273"/>
    <n v="1449"/>
    <x v="2"/>
    <n v="273"/>
    <x v="0"/>
  </r>
  <r>
    <x v="123"/>
    <d v="2020-02-26T00:00:00"/>
    <x v="0"/>
    <n v="429"/>
    <n v="1878"/>
    <x v="2"/>
    <n v="429"/>
    <x v="0"/>
  </r>
  <r>
    <x v="123"/>
    <d v="2020-03-09T00:00:00"/>
    <x v="1"/>
    <n v="249"/>
    <n v="1629"/>
    <x v="1"/>
    <n v="-249"/>
    <x v="0"/>
  </r>
  <r>
    <x v="123"/>
    <d v="2020-03-12T00:00:00"/>
    <x v="2"/>
    <n v="697"/>
    <n v="932"/>
    <x v="1"/>
    <n v="-697"/>
    <x v="0"/>
  </r>
  <r>
    <x v="123"/>
    <d v="2020-03-15T00:00:00"/>
    <x v="0"/>
    <n v="326"/>
    <n v="1258"/>
    <x v="1"/>
    <n v="326"/>
    <x v="0"/>
  </r>
  <r>
    <x v="123"/>
    <d v="2020-03-16T00:00:00"/>
    <x v="0"/>
    <n v="874"/>
    <n v="2132"/>
    <x v="1"/>
    <n v="874"/>
    <x v="0"/>
  </r>
  <r>
    <x v="123"/>
    <d v="2020-03-22T00:00:00"/>
    <x v="2"/>
    <n v="705"/>
    <n v="1427"/>
    <x v="1"/>
    <n v="-705"/>
    <x v="0"/>
  </r>
  <r>
    <x v="123"/>
    <d v="2020-03-22T00:00:00"/>
    <x v="1"/>
    <n v="172"/>
    <n v="1255"/>
    <x v="1"/>
    <n v="-172"/>
    <x v="0"/>
  </r>
  <r>
    <x v="123"/>
    <d v="2020-03-28T00:00:00"/>
    <x v="0"/>
    <n v="46"/>
    <n v="1301"/>
    <x v="1"/>
    <n v="46"/>
    <x v="0"/>
  </r>
  <r>
    <x v="124"/>
    <d v="2020-01-04T00:00:00"/>
    <x v="0"/>
    <n v="637"/>
    <n v="637"/>
    <x v="0"/>
    <n v="637"/>
    <x v="0"/>
  </r>
  <r>
    <x v="124"/>
    <d v="2020-01-19T00:00:00"/>
    <x v="2"/>
    <n v="506"/>
    <n v="131"/>
    <x v="0"/>
    <n v="-506"/>
    <x v="0"/>
  </r>
  <r>
    <x v="124"/>
    <d v="2020-01-28T00:00:00"/>
    <x v="2"/>
    <n v="922"/>
    <n v="-791"/>
    <x v="0"/>
    <n v="-922"/>
    <x v="1"/>
  </r>
  <r>
    <x v="124"/>
    <d v="2020-02-15T00:00:00"/>
    <x v="1"/>
    <n v="939"/>
    <n v="-1730"/>
    <x v="2"/>
    <n v="-939"/>
    <x v="1"/>
  </r>
  <r>
    <x v="124"/>
    <d v="2020-02-16T00:00:00"/>
    <x v="0"/>
    <n v="867"/>
    <n v="-863"/>
    <x v="2"/>
    <n v="867"/>
    <x v="1"/>
  </r>
  <r>
    <x v="124"/>
    <d v="2020-02-17T00:00:00"/>
    <x v="1"/>
    <n v="982"/>
    <n v="-1845"/>
    <x v="2"/>
    <n v="-982"/>
    <x v="1"/>
  </r>
  <r>
    <x v="124"/>
    <d v="2020-02-26T00:00:00"/>
    <x v="1"/>
    <n v="285"/>
    <n v="-2130"/>
    <x v="2"/>
    <n v="-285"/>
    <x v="1"/>
  </r>
  <r>
    <x v="124"/>
    <d v="2020-02-29T00:00:00"/>
    <x v="1"/>
    <n v="349"/>
    <n v="-2479"/>
    <x v="2"/>
    <n v="-349"/>
    <x v="1"/>
  </r>
  <r>
    <x v="124"/>
    <d v="2020-03-18T00:00:00"/>
    <x v="2"/>
    <n v="65"/>
    <n v="-2544"/>
    <x v="1"/>
    <n v="-65"/>
    <x v="1"/>
  </r>
  <r>
    <x v="124"/>
    <d v="2020-03-19T00:00:00"/>
    <x v="0"/>
    <n v="410"/>
    <n v="-2134"/>
    <x v="1"/>
    <n v="410"/>
    <x v="1"/>
  </r>
  <r>
    <x v="124"/>
    <d v="2020-03-23T00:00:00"/>
    <x v="0"/>
    <n v="86"/>
    <n v="-2048"/>
    <x v="1"/>
    <n v="86"/>
    <x v="1"/>
  </r>
  <r>
    <x v="124"/>
    <d v="2020-03-30T00:00:00"/>
    <x v="0"/>
    <n v="558"/>
    <n v="-1490"/>
    <x v="1"/>
    <n v="558"/>
    <x v="1"/>
  </r>
  <r>
    <x v="124"/>
    <d v="2020-03-30T00:00:00"/>
    <x v="1"/>
    <n v="946"/>
    <n v="-2436"/>
    <x v="1"/>
    <n v="-946"/>
    <x v="1"/>
  </r>
  <r>
    <x v="125"/>
    <d v="2020-01-21T00:00:00"/>
    <x v="0"/>
    <n v="120"/>
    <n v="120"/>
    <x v="0"/>
    <n v="120"/>
    <x v="0"/>
  </r>
  <r>
    <x v="125"/>
    <d v="2020-01-21T00:00:00"/>
    <x v="2"/>
    <n v="906"/>
    <n v="-786"/>
    <x v="0"/>
    <n v="-906"/>
    <x v="1"/>
  </r>
  <r>
    <x v="125"/>
    <d v="2020-02-04T00:00:00"/>
    <x v="0"/>
    <n v="394"/>
    <n v="-392"/>
    <x v="2"/>
    <n v="394"/>
    <x v="1"/>
  </r>
  <r>
    <x v="125"/>
    <d v="2020-02-07T00:00:00"/>
    <x v="1"/>
    <n v="875"/>
    <n v="-1267"/>
    <x v="2"/>
    <n v="-875"/>
    <x v="1"/>
  </r>
  <r>
    <x v="125"/>
    <d v="2020-02-10T00:00:00"/>
    <x v="0"/>
    <n v="970"/>
    <n v="-297"/>
    <x v="2"/>
    <n v="970"/>
    <x v="1"/>
  </r>
  <r>
    <x v="125"/>
    <d v="2020-02-11T00:00:00"/>
    <x v="2"/>
    <n v="806"/>
    <n v="-1103"/>
    <x v="2"/>
    <n v="-806"/>
    <x v="1"/>
  </r>
  <r>
    <x v="125"/>
    <d v="2020-02-13T00:00:00"/>
    <x v="1"/>
    <n v="167"/>
    <n v="-1270"/>
    <x v="2"/>
    <n v="-167"/>
    <x v="1"/>
  </r>
  <r>
    <x v="125"/>
    <d v="2020-02-22T00:00:00"/>
    <x v="0"/>
    <n v="280"/>
    <n v="-990"/>
    <x v="2"/>
    <n v="280"/>
    <x v="1"/>
  </r>
  <r>
    <x v="125"/>
    <d v="2020-02-23T00:00:00"/>
    <x v="1"/>
    <n v="744"/>
    <n v="-1734"/>
    <x v="2"/>
    <n v="-744"/>
    <x v="1"/>
  </r>
  <r>
    <x v="125"/>
    <d v="2020-02-25T00:00:00"/>
    <x v="0"/>
    <n v="651"/>
    <n v="-1083"/>
    <x v="2"/>
    <n v="651"/>
    <x v="1"/>
  </r>
  <r>
    <x v="125"/>
    <d v="2020-02-27T00:00:00"/>
    <x v="0"/>
    <n v="367"/>
    <n v="-716"/>
    <x v="2"/>
    <n v="367"/>
    <x v="1"/>
  </r>
  <r>
    <x v="125"/>
    <d v="2020-03-03T00:00:00"/>
    <x v="0"/>
    <n v="270"/>
    <n v="-446"/>
    <x v="1"/>
    <n v="270"/>
    <x v="1"/>
  </r>
  <r>
    <x v="125"/>
    <d v="2020-03-03T00:00:00"/>
    <x v="2"/>
    <n v="873"/>
    <n v="-1319"/>
    <x v="1"/>
    <n v="-873"/>
    <x v="1"/>
  </r>
  <r>
    <x v="125"/>
    <d v="2020-03-24T00:00:00"/>
    <x v="2"/>
    <n v="946"/>
    <n v="-2265"/>
    <x v="1"/>
    <n v="-946"/>
    <x v="1"/>
  </r>
  <r>
    <x v="125"/>
    <d v="2020-03-28T00:00:00"/>
    <x v="2"/>
    <n v="557"/>
    <n v="-2822"/>
    <x v="1"/>
    <n v="-557"/>
    <x v="1"/>
  </r>
  <r>
    <x v="126"/>
    <d v="2020-01-17T00:00:00"/>
    <x v="0"/>
    <n v="217"/>
    <n v="217"/>
    <x v="0"/>
    <n v="217"/>
    <x v="0"/>
  </r>
  <r>
    <x v="126"/>
    <d v="2020-02-01T00:00:00"/>
    <x v="0"/>
    <n v="486"/>
    <n v="703"/>
    <x v="2"/>
    <n v="486"/>
    <x v="0"/>
  </r>
  <r>
    <x v="126"/>
    <d v="2020-04-01T00:00:00"/>
    <x v="0"/>
    <n v="969"/>
    <n v="1672"/>
    <x v="3"/>
    <n v="969"/>
    <x v="0"/>
  </r>
  <r>
    <x v="127"/>
    <d v="2020-01-26T00:00:00"/>
    <x v="0"/>
    <n v="410"/>
    <n v="410"/>
    <x v="0"/>
    <n v="410"/>
    <x v="0"/>
  </r>
  <r>
    <x v="127"/>
    <d v="2020-02-04T00:00:00"/>
    <x v="0"/>
    <n v="472"/>
    <n v="882"/>
    <x v="2"/>
    <n v="472"/>
    <x v="0"/>
  </r>
  <r>
    <x v="127"/>
    <d v="2020-02-11T00:00:00"/>
    <x v="1"/>
    <n v="246"/>
    <n v="636"/>
    <x v="2"/>
    <n v="-246"/>
    <x v="0"/>
  </r>
  <r>
    <x v="127"/>
    <d v="2020-02-29T00:00:00"/>
    <x v="2"/>
    <n v="492"/>
    <n v="144"/>
    <x v="2"/>
    <n v="-492"/>
    <x v="0"/>
  </r>
  <r>
    <x v="127"/>
    <d v="2020-03-07T00:00:00"/>
    <x v="1"/>
    <n v="319"/>
    <n v="-175"/>
    <x v="1"/>
    <n v="-319"/>
    <x v="1"/>
  </r>
  <r>
    <x v="127"/>
    <d v="2020-03-21T00:00:00"/>
    <x v="1"/>
    <n v="601"/>
    <n v="-776"/>
    <x v="1"/>
    <n v="-601"/>
    <x v="1"/>
  </r>
  <r>
    <x v="127"/>
    <d v="2020-04-06T00:00:00"/>
    <x v="1"/>
    <n v="321"/>
    <n v="-1097"/>
    <x v="3"/>
    <n v="-321"/>
    <x v="1"/>
  </r>
  <r>
    <x v="127"/>
    <d v="2020-04-16T00:00:00"/>
    <x v="0"/>
    <n v="895"/>
    <n v="-202"/>
    <x v="3"/>
    <n v="895"/>
    <x v="1"/>
  </r>
  <r>
    <x v="128"/>
    <d v="2020-01-12T00:00:00"/>
    <x v="0"/>
    <n v="568"/>
    <n v="568"/>
    <x v="0"/>
    <n v="568"/>
    <x v="0"/>
  </r>
  <r>
    <x v="128"/>
    <d v="2020-01-27T00:00:00"/>
    <x v="2"/>
    <n v="508"/>
    <n v="60"/>
    <x v="0"/>
    <n v="-508"/>
    <x v="0"/>
  </r>
  <r>
    <x v="128"/>
    <d v="2020-01-31T00:00:00"/>
    <x v="0"/>
    <n v="406"/>
    <n v="466"/>
    <x v="0"/>
    <n v="406"/>
    <x v="0"/>
  </r>
  <r>
    <x v="128"/>
    <d v="2020-02-09T00:00:00"/>
    <x v="2"/>
    <n v="376"/>
    <n v="90"/>
    <x v="2"/>
    <n v="-376"/>
    <x v="0"/>
  </r>
  <r>
    <x v="128"/>
    <d v="2020-02-11T00:00:00"/>
    <x v="2"/>
    <n v="359"/>
    <n v="-269"/>
    <x v="2"/>
    <n v="-359"/>
    <x v="1"/>
  </r>
  <r>
    <x v="128"/>
    <d v="2020-02-12T00:00:00"/>
    <x v="2"/>
    <n v="23"/>
    <n v="-292"/>
    <x v="2"/>
    <n v="-23"/>
    <x v="1"/>
  </r>
  <r>
    <x v="128"/>
    <d v="2020-02-15T00:00:00"/>
    <x v="0"/>
    <n v="482"/>
    <n v="190"/>
    <x v="2"/>
    <n v="482"/>
    <x v="0"/>
  </r>
  <r>
    <x v="128"/>
    <d v="2020-02-24T00:00:00"/>
    <x v="1"/>
    <n v="986"/>
    <n v="-796"/>
    <x v="2"/>
    <n v="-986"/>
    <x v="1"/>
  </r>
  <r>
    <x v="128"/>
    <d v="2020-03-06T00:00:00"/>
    <x v="1"/>
    <n v="154"/>
    <n v="-950"/>
    <x v="1"/>
    <n v="-154"/>
    <x v="1"/>
  </r>
  <r>
    <x v="128"/>
    <d v="2020-03-17T00:00:00"/>
    <x v="0"/>
    <n v="669"/>
    <n v="-281"/>
    <x v="1"/>
    <n v="669"/>
    <x v="1"/>
  </r>
  <r>
    <x v="128"/>
    <d v="2020-03-28T00:00:00"/>
    <x v="0"/>
    <n v="349"/>
    <n v="68"/>
    <x v="1"/>
    <n v="349"/>
    <x v="0"/>
  </r>
  <r>
    <x v="128"/>
    <d v="2020-04-01T00:00:00"/>
    <x v="2"/>
    <n v="593"/>
    <n v="-525"/>
    <x v="3"/>
    <n v="-593"/>
    <x v="1"/>
  </r>
  <r>
    <x v="128"/>
    <d v="2020-04-05T00:00:00"/>
    <x v="2"/>
    <n v="867"/>
    <n v="-1392"/>
    <x v="3"/>
    <n v="-867"/>
    <x v="1"/>
  </r>
  <r>
    <x v="128"/>
    <d v="2020-04-07T00:00:00"/>
    <x v="1"/>
    <n v="615"/>
    <n v="-2007"/>
    <x v="3"/>
    <n v="-615"/>
    <x v="1"/>
  </r>
  <r>
    <x v="129"/>
    <d v="2020-01-02T00:00:00"/>
    <x v="0"/>
    <n v="557"/>
    <n v="557"/>
    <x v="0"/>
    <n v="557"/>
    <x v="0"/>
  </r>
  <r>
    <x v="129"/>
    <d v="2020-01-07T00:00:00"/>
    <x v="2"/>
    <n v="106"/>
    <n v="451"/>
    <x v="0"/>
    <n v="-106"/>
    <x v="0"/>
  </r>
  <r>
    <x v="129"/>
    <d v="2020-01-11T00:00:00"/>
    <x v="2"/>
    <n v="895"/>
    <n v="-444"/>
    <x v="0"/>
    <n v="-895"/>
    <x v="1"/>
  </r>
  <r>
    <x v="129"/>
    <d v="2020-01-19T00:00:00"/>
    <x v="0"/>
    <n v="196"/>
    <n v="-248"/>
    <x v="0"/>
    <n v="196"/>
    <x v="1"/>
  </r>
  <r>
    <x v="129"/>
    <d v="2020-02-05T00:00:00"/>
    <x v="2"/>
    <n v="488"/>
    <n v="-736"/>
    <x v="2"/>
    <n v="-488"/>
    <x v="1"/>
  </r>
  <r>
    <x v="129"/>
    <d v="2020-02-05T00:00:00"/>
    <x v="2"/>
    <n v="71"/>
    <n v="-807"/>
    <x v="2"/>
    <n v="-71"/>
    <x v="1"/>
  </r>
  <r>
    <x v="129"/>
    <d v="2020-02-15T00:00:00"/>
    <x v="1"/>
    <n v="353"/>
    <n v="-1160"/>
    <x v="2"/>
    <n v="-353"/>
    <x v="1"/>
  </r>
  <r>
    <x v="129"/>
    <d v="2020-03-01T00:00:00"/>
    <x v="1"/>
    <n v="971"/>
    <n v="-2131"/>
    <x v="1"/>
    <n v="-971"/>
    <x v="1"/>
  </r>
  <r>
    <x v="129"/>
    <d v="2020-03-04T00:00:00"/>
    <x v="0"/>
    <n v="646"/>
    <n v="-1485"/>
    <x v="1"/>
    <n v="646"/>
    <x v="1"/>
  </r>
  <r>
    <x v="129"/>
    <d v="2020-03-13T00:00:00"/>
    <x v="0"/>
    <n v="753"/>
    <n v="-732"/>
    <x v="1"/>
    <n v="753"/>
    <x v="1"/>
  </r>
  <r>
    <x v="129"/>
    <d v="2020-03-27T00:00:00"/>
    <x v="0"/>
    <n v="864"/>
    <n v="132"/>
    <x v="1"/>
    <n v="864"/>
    <x v="0"/>
  </r>
  <r>
    <x v="130"/>
    <d v="2020-01-10T00:00:00"/>
    <x v="1"/>
    <n v="846"/>
    <n v="-846"/>
    <x v="0"/>
    <n v="-846"/>
    <x v="1"/>
  </r>
  <r>
    <x v="130"/>
    <d v="2020-01-10T00:00:00"/>
    <x v="0"/>
    <n v="932"/>
    <n v="86"/>
    <x v="0"/>
    <n v="932"/>
    <x v="0"/>
  </r>
  <r>
    <x v="130"/>
    <d v="2020-01-14T00:00:00"/>
    <x v="0"/>
    <n v="803"/>
    <n v="889"/>
    <x v="0"/>
    <n v="803"/>
    <x v="0"/>
  </r>
  <r>
    <x v="130"/>
    <d v="2020-01-20T00:00:00"/>
    <x v="2"/>
    <n v="892"/>
    <n v="-3"/>
    <x v="0"/>
    <n v="-892"/>
    <x v="1"/>
  </r>
  <r>
    <x v="130"/>
    <d v="2020-01-21T00:00:00"/>
    <x v="0"/>
    <n v="868"/>
    <n v="865"/>
    <x v="0"/>
    <n v="868"/>
    <x v="0"/>
  </r>
  <r>
    <x v="130"/>
    <d v="2020-01-29T00:00:00"/>
    <x v="0"/>
    <n v="465"/>
    <n v="1330"/>
    <x v="0"/>
    <n v="465"/>
    <x v="0"/>
  </r>
  <r>
    <x v="130"/>
    <d v="2020-01-31T00:00:00"/>
    <x v="2"/>
    <n v="850"/>
    <n v="480"/>
    <x v="0"/>
    <n v="-850"/>
    <x v="0"/>
  </r>
  <r>
    <x v="130"/>
    <d v="2020-02-02T00:00:00"/>
    <x v="1"/>
    <n v="62"/>
    <n v="418"/>
    <x v="2"/>
    <n v="-62"/>
    <x v="0"/>
  </r>
  <r>
    <x v="130"/>
    <d v="2020-02-08T00:00:00"/>
    <x v="1"/>
    <n v="955"/>
    <n v="-537"/>
    <x v="2"/>
    <n v="-955"/>
    <x v="1"/>
  </r>
  <r>
    <x v="130"/>
    <d v="2020-02-10T00:00:00"/>
    <x v="1"/>
    <n v="247"/>
    <n v="-784"/>
    <x v="2"/>
    <n v="-247"/>
    <x v="1"/>
  </r>
  <r>
    <x v="130"/>
    <d v="2020-02-14T00:00:00"/>
    <x v="2"/>
    <n v="43"/>
    <n v="-827"/>
    <x v="2"/>
    <n v="-43"/>
    <x v="1"/>
  </r>
  <r>
    <x v="130"/>
    <d v="2020-02-19T00:00:00"/>
    <x v="0"/>
    <n v="98"/>
    <n v="-729"/>
    <x v="2"/>
    <n v="98"/>
    <x v="1"/>
  </r>
  <r>
    <x v="130"/>
    <d v="2020-02-25T00:00:00"/>
    <x v="1"/>
    <n v="973"/>
    <n v="-1702"/>
    <x v="2"/>
    <n v="-973"/>
    <x v="1"/>
  </r>
  <r>
    <x v="130"/>
    <d v="2020-02-27T00:00:00"/>
    <x v="0"/>
    <n v="719"/>
    <n v="-983"/>
    <x v="2"/>
    <n v="719"/>
    <x v="1"/>
  </r>
  <r>
    <x v="130"/>
    <d v="2020-03-14T00:00:00"/>
    <x v="0"/>
    <n v="181"/>
    <n v="-802"/>
    <x v="1"/>
    <n v="181"/>
    <x v="1"/>
  </r>
  <r>
    <x v="130"/>
    <d v="2020-03-15T00:00:00"/>
    <x v="0"/>
    <n v="672"/>
    <n v="-130"/>
    <x v="1"/>
    <n v="672"/>
    <x v="1"/>
  </r>
  <r>
    <x v="130"/>
    <d v="2020-03-16T00:00:00"/>
    <x v="2"/>
    <n v="707"/>
    <n v="-837"/>
    <x v="1"/>
    <n v="-707"/>
    <x v="1"/>
  </r>
  <r>
    <x v="130"/>
    <d v="2020-03-21T00:00:00"/>
    <x v="0"/>
    <n v="263"/>
    <n v="-574"/>
    <x v="1"/>
    <n v="263"/>
    <x v="1"/>
  </r>
  <r>
    <x v="130"/>
    <d v="2020-03-22T00:00:00"/>
    <x v="0"/>
    <n v="711"/>
    <n v="137"/>
    <x v="1"/>
    <n v="711"/>
    <x v="0"/>
  </r>
  <r>
    <x v="130"/>
    <d v="2020-03-27T00:00:00"/>
    <x v="1"/>
    <n v="617"/>
    <n v="-480"/>
    <x v="1"/>
    <n v="-617"/>
    <x v="1"/>
  </r>
  <r>
    <x v="130"/>
    <d v="2020-03-28T00:00:00"/>
    <x v="1"/>
    <n v="16"/>
    <n v="-496"/>
    <x v="1"/>
    <n v="-16"/>
    <x v="1"/>
  </r>
  <r>
    <x v="130"/>
    <d v="2020-03-29T00:00:00"/>
    <x v="0"/>
    <n v="344"/>
    <n v="-152"/>
    <x v="1"/>
    <n v="344"/>
    <x v="1"/>
  </r>
  <r>
    <x v="131"/>
    <d v="2020-01-10T00:00:00"/>
    <x v="0"/>
    <n v="14"/>
    <n v="14"/>
    <x v="0"/>
    <n v="14"/>
    <x v="0"/>
  </r>
  <r>
    <x v="131"/>
    <d v="2020-01-20T00:00:00"/>
    <x v="1"/>
    <n v="427"/>
    <n v="-413"/>
    <x v="0"/>
    <n v="-427"/>
    <x v="1"/>
  </r>
  <r>
    <x v="131"/>
    <d v="2020-01-30T00:00:00"/>
    <x v="2"/>
    <n v="841"/>
    <n v="-1254"/>
    <x v="0"/>
    <n v="-841"/>
    <x v="1"/>
  </r>
  <r>
    <x v="131"/>
    <d v="2020-02-06T00:00:00"/>
    <x v="2"/>
    <n v="592"/>
    <n v="-1846"/>
    <x v="2"/>
    <n v="-592"/>
    <x v="1"/>
  </r>
  <r>
    <x v="131"/>
    <d v="2020-02-07T00:00:00"/>
    <x v="1"/>
    <n v="998"/>
    <n v="-2844"/>
    <x v="2"/>
    <n v="-998"/>
    <x v="1"/>
  </r>
  <r>
    <x v="131"/>
    <d v="2020-03-05T00:00:00"/>
    <x v="1"/>
    <n v="736"/>
    <n v="-3580"/>
    <x v="1"/>
    <n v="-736"/>
    <x v="1"/>
  </r>
  <r>
    <x v="131"/>
    <d v="2020-03-20T00:00:00"/>
    <x v="2"/>
    <n v="377"/>
    <n v="-3957"/>
    <x v="1"/>
    <n v="-377"/>
    <x v="1"/>
  </r>
  <r>
    <x v="131"/>
    <d v="2020-03-26T00:00:00"/>
    <x v="2"/>
    <n v="356"/>
    <n v="-4313"/>
    <x v="1"/>
    <n v="-356"/>
    <x v="1"/>
  </r>
  <r>
    <x v="131"/>
    <d v="2020-03-30T00:00:00"/>
    <x v="1"/>
    <n v="943"/>
    <n v="-5256"/>
    <x v="1"/>
    <n v="-943"/>
    <x v="1"/>
  </r>
  <r>
    <x v="131"/>
    <d v="2020-04-08T00:00:00"/>
    <x v="1"/>
    <n v="329"/>
    <n v="-5585"/>
    <x v="3"/>
    <n v="-329"/>
    <x v="1"/>
  </r>
  <r>
    <x v="132"/>
    <d v="2020-01-10T00:00:00"/>
    <x v="0"/>
    <n v="279"/>
    <n v="279"/>
    <x v="0"/>
    <n v="279"/>
    <x v="0"/>
  </r>
  <r>
    <x v="132"/>
    <d v="2020-01-23T00:00:00"/>
    <x v="2"/>
    <n v="635"/>
    <n v="-356"/>
    <x v="0"/>
    <n v="-635"/>
    <x v="1"/>
  </r>
  <r>
    <x v="132"/>
    <d v="2020-02-26T00:00:00"/>
    <x v="1"/>
    <n v="12"/>
    <n v="-368"/>
    <x v="2"/>
    <n v="-12"/>
    <x v="1"/>
  </r>
  <r>
    <x v="133"/>
    <d v="2020-01-08T00:00:00"/>
    <x v="0"/>
    <n v="358"/>
    <n v="358"/>
    <x v="0"/>
    <n v="358"/>
    <x v="0"/>
  </r>
  <r>
    <x v="133"/>
    <d v="2020-01-11T00:00:00"/>
    <x v="0"/>
    <n v="650"/>
    <n v="1008"/>
    <x v="0"/>
    <n v="650"/>
    <x v="0"/>
  </r>
  <r>
    <x v="133"/>
    <d v="2020-01-16T00:00:00"/>
    <x v="0"/>
    <n v="911"/>
    <n v="1919"/>
    <x v="0"/>
    <n v="911"/>
    <x v="0"/>
  </r>
  <r>
    <x v="133"/>
    <d v="2020-01-25T00:00:00"/>
    <x v="0"/>
    <n v="980"/>
    <n v="2899"/>
    <x v="0"/>
    <n v="980"/>
    <x v="0"/>
  </r>
  <r>
    <x v="133"/>
    <d v="2020-01-26T00:00:00"/>
    <x v="0"/>
    <n v="496"/>
    <n v="3395"/>
    <x v="0"/>
    <n v="496"/>
    <x v="0"/>
  </r>
  <r>
    <x v="133"/>
    <d v="2020-01-26T00:00:00"/>
    <x v="1"/>
    <n v="201"/>
    <n v="3194"/>
    <x v="0"/>
    <n v="-201"/>
    <x v="0"/>
  </r>
  <r>
    <x v="133"/>
    <d v="2020-02-05T00:00:00"/>
    <x v="2"/>
    <n v="136"/>
    <n v="3058"/>
    <x v="2"/>
    <n v="-136"/>
    <x v="0"/>
  </r>
  <r>
    <x v="133"/>
    <d v="2020-02-07T00:00:00"/>
    <x v="0"/>
    <n v="135"/>
    <n v="3193"/>
    <x v="2"/>
    <n v="135"/>
    <x v="0"/>
  </r>
  <r>
    <x v="133"/>
    <d v="2020-02-14T00:00:00"/>
    <x v="1"/>
    <n v="189"/>
    <n v="3004"/>
    <x v="2"/>
    <n v="-189"/>
    <x v="0"/>
  </r>
  <r>
    <x v="133"/>
    <d v="2020-02-19T00:00:00"/>
    <x v="2"/>
    <n v="670"/>
    <n v="2334"/>
    <x v="2"/>
    <n v="-670"/>
    <x v="0"/>
  </r>
  <r>
    <x v="133"/>
    <d v="2020-02-26T00:00:00"/>
    <x v="2"/>
    <n v="102"/>
    <n v="2232"/>
    <x v="2"/>
    <n v="-102"/>
    <x v="0"/>
  </r>
  <r>
    <x v="133"/>
    <d v="2020-02-27T00:00:00"/>
    <x v="0"/>
    <n v="579"/>
    <n v="2811"/>
    <x v="2"/>
    <n v="579"/>
    <x v="0"/>
  </r>
  <r>
    <x v="133"/>
    <d v="2020-02-29T00:00:00"/>
    <x v="1"/>
    <n v="63"/>
    <n v="2748"/>
    <x v="2"/>
    <n v="-63"/>
    <x v="0"/>
  </r>
  <r>
    <x v="133"/>
    <d v="2020-03-09T00:00:00"/>
    <x v="1"/>
    <n v="339"/>
    <n v="2409"/>
    <x v="1"/>
    <n v="-339"/>
    <x v="0"/>
  </r>
  <r>
    <x v="133"/>
    <d v="2020-03-16T00:00:00"/>
    <x v="2"/>
    <n v="841"/>
    <n v="1568"/>
    <x v="1"/>
    <n v="-841"/>
    <x v="0"/>
  </r>
  <r>
    <x v="133"/>
    <d v="2020-03-20T00:00:00"/>
    <x v="0"/>
    <n v="328"/>
    <n v="1896"/>
    <x v="1"/>
    <n v="328"/>
    <x v="0"/>
  </r>
  <r>
    <x v="133"/>
    <d v="2020-03-23T00:00:00"/>
    <x v="0"/>
    <n v="155"/>
    <n v="2051"/>
    <x v="1"/>
    <n v="155"/>
    <x v="0"/>
  </r>
  <r>
    <x v="133"/>
    <d v="2020-03-27T00:00:00"/>
    <x v="2"/>
    <n v="283"/>
    <n v="1768"/>
    <x v="1"/>
    <n v="-283"/>
    <x v="0"/>
  </r>
  <r>
    <x v="134"/>
    <d v="2020-01-09T00:00:00"/>
    <x v="0"/>
    <n v="949"/>
    <n v="949"/>
    <x v="0"/>
    <n v="949"/>
    <x v="0"/>
  </r>
  <r>
    <x v="134"/>
    <d v="2020-01-22T00:00:00"/>
    <x v="2"/>
    <n v="14"/>
    <n v="935"/>
    <x v="0"/>
    <n v="-14"/>
    <x v="0"/>
  </r>
  <r>
    <x v="134"/>
    <d v="2020-01-30T00:00:00"/>
    <x v="2"/>
    <n v="831"/>
    <n v="104"/>
    <x v="0"/>
    <n v="-831"/>
    <x v="0"/>
  </r>
  <r>
    <x v="134"/>
    <d v="2020-02-11T00:00:00"/>
    <x v="0"/>
    <n v="491"/>
    <n v="595"/>
    <x v="2"/>
    <n v="491"/>
    <x v="0"/>
  </r>
  <r>
    <x v="134"/>
    <d v="2020-02-14T00:00:00"/>
    <x v="0"/>
    <n v="470"/>
    <n v="1065"/>
    <x v="2"/>
    <n v="470"/>
    <x v="0"/>
  </r>
  <r>
    <x v="134"/>
    <d v="2020-02-16T00:00:00"/>
    <x v="0"/>
    <n v="834"/>
    <n v="1899"/>
    <x v="2"/>
    <n v="834"/>
    <x v="0"/>
  </r>
  <r>
    <x v="134"/>
    <d v="2020-02-21T00:00:00"/>
    <x v="1"/>
    <n v="78"/>
    <n v="1821"/>
    <x v="2"/>
    <n v="-78"/>
    <x v="0"/>
  </r>
  <r>
    <x v="134"/>
    <d v="2020-02-22T00:00:00"/>
    <x v="2"/>
    <n v="375"/>
    <n v="1446"/>
    <x v="2"/>
    <n v="-375"/>
    <x v="0"/>
  </r>
  <r>
    <x v="134"/>
    <d v="2020-02-27T00:00:00"/>
    <x v="1"/>
    <n v="469"/>
    <n v="977"/>
    <x v="2"/>
    <n v="-469"/>
    <x v="0"/>
  </r>
  <r>
    <x v="134"/>
    <d v="2020-03-09T00:00:00"/>
    <x v="2"/>
    <n v="178"/>
    <n v="799"/>
    <x v="1"/>
    <n v="-178"/>
    <x v="0"/>
  </r>
  <r>
    <x v="134"/>
    <d v="2020-03-23T00:00:00"/>
    <x v="0"/>
    <n v="202"/>
    <n v="1001"/>
    <x v="1"/>
    <n v="202"/>
    <x v="0"/>
  </r>
  <r>
    <x v="135"/>
    <d v="2020-01-11T00:00:00"/>
    <x v="0"/>
    <n v="882"/>
    <n v="882"/>
    <x v="0"/>
    <n v="882"/>
    <x v="0"/>
  </r>
  <r>
    <x v="135"/>
    <d v="2020-01-12T00:00:00"/>
    <x v="0"/>
    <n v="19"/>
    <n v="901"/>
    <x v="0"/>
    <n v="19"/>
    <x v="0"/>
  </r>
  <r>
    <x v="135"/>
    <d v="2020-01-25T00:00:00"/>
    <x v="2"/>
    <n v="653"/>
    <n v="248"/>
    <x v="0"/>
    <n v="-653"/>
    <x v="0"/>
  </r>
  <r>
    <x v="135"/>
    <d v="2020-01-28T00:00:00"/>
    <x v="0"/>
    <n v="455"/>
    <n v="703"/>
    <x v="0"/>
    <n v="455"/>
    <x v="0"/>
  </r>
  <r>
    <x v="135"/>
    <d v="2020-01-29T00:00:00"/>
    <x v="2"/>
    <n v="224"/>
    <n v="479"/>
    <x v="0"/>
    <n v="-224"/>
    <x v="0"/>
  </r>
  <r>
    <x v="135"/>
    <d v="2020-02-27T00:00:00"/>
    <x v="0"/>
    <n v="487"/>
    <n v="966"/>
    <x v="2"/>
    <n v="487"/>
    <x v="0"/>
  </r>
  <r>
    <x v="135"/>
    <d v="2020-03-06T00:00:00"/>
    <x v="2"/>
    <n v="116"/>
    <n v="850"/>
    <x v="1"/>
    <n v="-116"/>
    <x v="0"/>
  </r>
  <r>
    <x v="135"/>
    <d v="2020-03-11T00:00:00"/>
    <x v="0"/>
    <n v="53"/>
    <n v="903"/>
    <x v="1"/>
    <n v="53"/>
    <x v="0"/>
  </r>
  <r>
    <x v="135"/>
    <d v="2020-03-24T00:00:00"/>
    <x v="2"/>
    <n v="623"/>
    <n v="280"/>
    <x v="1"/>
    <n v="-623"/>
    <x v="0"/>
  </r>
  <r>
    <x v="135"/>
    <d v="2020-03-26T00:00:00"/>
    <x v="0"/>
    <n v="103"/>
    <n v="383"/>
    <x v="1"/>
    <n v="103"/>
    <x v="0"/>
  </r>
  <r>
    <x v="135"/>
    <d v="2020-04-02T00:00:00"/>
    <x v="0"/>
    <n v="194"/>
    <n v="577"/>
    <x v="3"/>
    <n v="194"/>
    <x v="0"/>
  </r>
  <r>
    <x v="135"/>
    <d v="2020-04-09T00:00:00"/>
    <x v="1"/>
    <n v="710"/>
    <n v="-133"/>
    <x v="3"/>
    <n v="-710"/>
    <x v="1"/>
  </r>
  <r>
    <x v="136"/>
    <d v="2020-01-06T00:00:00"/>
    <x v="0"/>
    <n v="881"/>
    <n v="881"/>
    <x v="0"/>
    <n v="881"/>
    <x v="0"/>
  </r>
  <r>
    <x v="136"/>
    <d v="2020-01-20T00:00:00"/>
    <x v="1"/>
    <n v="403"/>
    <n v="478"/>
    <x v="0"/>
    <n v="-403"/>
    <x v="0"/>
  </r>
  <r>
    <x v="136"/>
    <d v="2020-01-23T00:00:00"/>
    <x v="1"/>
    <n v="82"/>
    <n v="396"/>
    <x v="0"/>
    <n v="-82"/>
    <x v="0"/>
  </r>
  <r>
    <x v="136"/>
    <d v="2020-02-16T00:00:00"/>
    <x v="1"/>
    <n v="752"/>
    <n v="-356"/>
    <x v="2"/>
    <n v="-752"/>
    <x v="1"/>
  </r>
  <r>
    <x v="137"/>
    <d v="2020-01-11T00:00:00"/>
    <x v="0"/>
    <n v="520"/>
    <n v="520"/>
    <x v="0"/>
    <n v="520"/>
    <x v="0"/>
  </r>
  <r>
    <x v="137"/>
    <d v="2020-01-23T00:00:00"/>
    <x v="0"/>
    <n v="758"/>
    <n v="1278"/>
    <x v="0"/>
    <n v="758"/>
    <x v="0"/>
  </r>
  <r>
    <x v="137"/>
    <d v="2020-01-31T00:00:00"/>
    <x v="0"/>
    <n v="38"/>
    <n v="1316"/>
    <x v="0"/>
    <n v="38"/>
    <x v="0"/>
  </r>
  <r>
    <x v="137"/>
    <d v="2020-02-01T00:00:00"/>
    <x v="0"/>
    <n v="819"/>
    <n v="2135"/>
    <x v="2"/>
    <n v="819"/>
    <x v="0"/>
  </r>
  <r>
    <x v="137"/>
    <d v="2020-02-03T00:00:00"/>
    <x v="2"/>
    <n v="954"/>
    <n v="1181"/>
    <x v="2"/>
    <n v="-954"/>
    <x v="0"/>
  </r>
  <r>
    <x v="137"/>
    <d v="2020-02-05T00:00:00"/>
    <x v="1"/>
    <n v="485"/>
    <n v="696"/>
    <x v="2"/>
    <n v="-485"/>
    <x v="0"/>
  </r>
  <r>
    <x v="137"/>
    <d v="2020-02-07T00:00:00"/>
    <x v="0"/>
    <n v="604"/>
    <n v="1300"/>
    <x v="2"/>
    <n v="604"/>
    <x v="0"/>
  </r>
  <r>
    <x v="137"/>
    <d v="2020-02-13T00:00:00"/>
    <x v="0"/>
    <n v="42"/>
    <n v="1342"/>
    <x v="2"/>
    <n v="42"/>
    <x v="0"/>
  </r>
  <r>
    <x v="137"/>
    <d v="2020-02-24T00:00:00"/>
    <x v="2"/>
    <n v="958"/>
    <n v="384"/>
    <x v="2"/>
    <n v="-958"/>
    <x v="0"/>
  </r>
  <r>
    <x v="137"/>
    <d v="2020-02-29T00:00:00"/>
    <x v="1"/>
    <n v="64"/>
    <n v="320"/>
    <x v="2"/>
    <n v="-64"/>
    <x v="0"/>
  </r>
  <r>
    <x v="137"/>
    <d v="2020-03-20T00:00:00"/>
    <x v="2"/>
    <n v="129"/>
    <n v="191"/>
    <x v="1"/>
    <n v="-129"/>
    <x v="0"/>
  </r>
  <r>
    <x v="137"/>
    <d v="2020-03-22T00:00:00"/>
    <x v="1"/>
    <n v="750"/>
    <n v="-559"/>
    <x v="1"/>
    <n v="-750"/>
    <x v="1"/>
  </r>
  <r>
    <x v="137"/>
    <d v="2020-03-24T00:00:00"/>
    <x v="0"/>
    <n v="619"/>
    <n v="60"/>
    <x v="1"/>
    <n v="619"/>
    <x v="0"/>
  </r>
  <r>
    <x v="137"/>
    <d v="2020-03-29T00:00:00"/>
    <x v="0"/>
    <n v="15"/>
    <n v="75"/>
    <x v="1"/>
    <n v="15"/>
    <x v="0"/>
  </r>
  <r>
    <x v="137"/>
    <d v="2020-04-06T00:00:00"/>
    <x v="1"/>
    <n v="850"/>
    <n v="-775"/>
    <x v="3"/>
    <n v="-850"/>
    <x v="1"/>
  </r>
  <r>
    <x v="138"/>
    <d v="2020-01-10T00:00:00"/>
    <x v="0"/>
    <n v="653"/>
    <n v="653"/>
    <x v="0"/>
    <n v="653"/>
    <x v="0"/>
  </r>
  <r>
    <x v="138"/>
    <d v="2020-01-17T00:00:00"/>
    <x v="1"/>
    <n v="370"/>
    <n v="283"/>
    <x v="0"/>
    <n v="-370"/>
    <x v="0"/>
  </r>
  <r>
    <x v="138"/>
    <d v="2020-01-18T00:00:00"/>
    <x v="2"/>
    <n v="353"/>
    <n v="-70"/>
    <x v="0"/>
    <n v="-353"/>
    <x v="1"/>
  </r>
  <r>
    <x v="138"/>
    <d v="2020-01-23T00:00:00"/>
    <x v="1"/>
    <n v="180"/>
    <n v="-250"/>
    <x v="0"/>
    <n v="-180"/>
    <x v="1"/>
  </r>
  <r>
    <x v="138"/>
    <d v="2020-01-26T00:00:00"/>
    <x v="1"/>
    <n v="95"/>
    <n v="-345"/>
    <x v="0"/>
    <n v="-95"/>
    <x v="1"/>
  </r>
  <r>
    <x v="138"/>
    <d v="2020-01-31T00:00:00"/>
    <x v="0"/>
    <n v="389"/>
    <n v="44"/>
    <x v="0"/>
    <n v="389"/>
    <x v="0"/>
  </r>
  <r>
    <x v="138"/>
    <d v="2020-02-04T00:00:00"/>
    <x v="0"/>
    <n v="460"/>
    <n v="504"/>
    <x v="2"/>
    <n v="460"/>
    <x v="0"/>
  </r>
  <r>
    <x v="138"/>
    <d v="2020-03-01T00:00:00"/>
    <x v="2"/>
    <n v="613"/>
    <n v="-109"/>
    <x v="1"/>
    <n v="-613"/>
    <x v="1"/>
  </r>
  <r>
    <x v="138"/>
    <d v="2020-03-02T00:00:00"/>
    <x v="0"/>
    <n v="418"/>
    <n v="309"/>
    <x v="1"/>
    <n v="418"/>
    <x v="0"/>
  </r>
  <r>
    <x v="138"/>
    <d v="2020-03-03T00:00:00"/>
    <x v="2"/>
    <n v="442"/>
    <n v="-133"/>
    <x v="1"/>
    <n v="-442"/>
    <x v="1"/>
  </r>
  <r>
    <x v="138"/>
    <d v="2020-03-04T00:00:00"/>
    <x v="0"/>
    <n v="830"/>
    <n v="697"/>
    <x v="1"/>
    <n v="830"/>
    <x v="0"/>
  </r>
  <r>
    <x v="138"/>
    <d v="2020-03-07T00:00:00"/>
    <x v="2"/>
    <n v="983"/>
    <n v="-286"/>
    <x v="1"/>
    <n v="-983"/>
    <x v="1"/>
  </r>
  <r>
    <x v="138"/>
    <d v="2020-03-10T00:00:00"/>
    <x v="0"/>
    <n v="951"/>
    <n v="665"/>
    <x v="1"/>
    <n v="951"/>
    <x v="0"/>
  </r>
  <r>
    <x v="138"/>
    <d v="2020-03-14T00:00:00"/>
    <x v="0"/>
    <n v="562"/>
    <n v="1227"/>
    <x v="1"/>
    <n v="562"/>
    <x v="0"/>
  </r>
  <r>
    <x v="138"/>
    <d v="2020-03-28T00:00:00"/>
    <x v="2"/>
    <n v="690"/>
    <n v="537"/>
    <x v="1"/>
    <n v="-690"/>
    <x v="0"/>
  </r>
  <r>
    <x v="139"/>
    <d v="2020-01-26T00:00:00"/>
    <x v="0"/>
    <n v="138"/>
    <n v="138"/>
    <x v="0"/>
    <n v="138"/>
    <x v="0"/>
  </r>
  <r>
    <x v="139"/>
    <d v="2020-01-26T00:00:00"/>
    <x v="0"/>
    <n v="665"/>
    <n v="803"/>
    <x v="0"/>
    <n v="665"/>
    <x v="0"/>
  </r>
  <r>
    <x v="139"/>
    <d v="2020-02-01T00:00:00"/>
    <x v="0"/>
    <n v="180"/>
    <n v="983"/>
    <x v="2"/>
    <n v="180"/>
    <x v="0"/>
  </r>
  <r>
    <x v="139"/>
    <d v="2020-02-13T00:00:00"/>
    <x v="0"/>
    <n v="543"/>
    <n v="1526"/>
    <x v="2"/>
    <n v="543"/>
    <x v="0"/>
  </r>
  <r>
    <x v="139"/>
    <d v="2020-03-05T00:00:00"/>
    <x v="2"/>
    <n v="339"/>
    <n v="1187"/>
    <x v="1"/>
    <n v="-339"/>
    <x v="0"/>
  </r>
  <r>
    <x v="139"/>
    <d v="2020-03-21T00:00:00"/>
    <x v="1"/>
    <n v="11"/>
    <n v="1176"/>
    <x v="1"/>
    <n v="-11"/>
    <x v="0"/>
  </r>
  <r>
    <x v="139"/>
    <d v="2020-03-22T00:00:00"/>
    <x v="2"/>
    <n v="656"/>
    <n v="520"/>
    <x v="1"/>
    <n v="-656"/>
    <x v="0"/>
  </r>
  <r>
    <x v="139"/>
    <d v="2020-03-26T00:00:00"/>
    <x v="0"/>
    <n v="995"/>
    <n v="1515"/>
    <x v="1"/>
    <n v="995"/>
    <x v="0"/>
  </r>
  <r>
    <x v="139"/>
    <d v="2020-03-28T00:00:00"/>
    <x v="0"/>
    <n v="830"/>
    <n v="2345"/>
    <x v="1"/>
    <n v="830"/>
    <x v="0"/>
  </r>
  <r>
    <x v="139"/>
    <d v="2020-04-02T00:00:00"/>
    <x v="1"/>
    <n v="127"/>
    <n v="2218"/>
    <x v="3"/>
    <n v="-127"/>
    <x v="0"/>
  </r>
  <r>
    <x v="139"/>
    <d v="2020-04-06T00:00:00"/>
    <x v="2"/>
    <n v="877"/>
    <n v="1341"/>
    <x v="3"/>
    <n v="-877"/>
    <x v="0"/>
  </r>
  <r>
    <x v="139"/>
    <d v="2020-04-09T00:00:00"/>
    <x v="0"/>
    <n v="590"/>
    <n v="1931"/>
    <x v="3"/>
    <n v="590"/>
    <x v="0"/>
  </r>
  <r>
    <x v="139"/>
    <d v="2020-04-13T00:00:00"/>
    <x v="2"/>
    <n v="647"/>
    <n v="1284"/>
    <x v="3"/>
    <n v="-647"/>
    <x v="0"/>
  </r>
  <r>
    <x v="139"/>
    <d v="2020-04-16T00:00:00"/>
    <x v="2"/>
    <n v="336"/>
    <n v="948"/>
    <x v="3"/>
    <n v="-336"/>
    <x v="0"/>
  </r>
  <r>
    <x v="139"/>
    <d v="2020-04-18T00:00:00"/>
    <x v="1"/>
    <n v="986"/>
    <n v="-38"/>
    <x v="3"/>
    <n v="-986"/>
    <x v="1"/>
  </r>
  <r>
    <x v="139"/>
    <d v="2020-04-19T00:00:00"/>
    <x v="0"/>
    <n v="993"/>
    <n v="955"/>
    <x v="3"/>
    <n v="993"/>
    <x v="0"/>
  </r>
  <r>
    <x v="139"/>
    <d v="2020-04-22T00:00:00"/>
    <x v="0"/>
    <n v="540"/>
    <n v="1495"/>
    <x v="3"/>
    <n v="540"/>
    <x v="0"/>
  </r>
  <r>
    <x v="140"/>
    <d v="2020-01-15T00:00:00"/>
    <x v="0"/>
    <n v="934"/>
    <n v="934"/>
    <x v="0"/>
    <n v="934"/>
    <x v="0"/>
  </r>
  <r>
    <x v="140"/>
    <d v="2020-01-20T00:00:00"/>
    <x v="1"/>
    <n v="320"/>
    <n v="614"/>
    <x v="0"/>
    <n v="-320"/>
    <x v="0"/>
  </r>
  <r>
    <x v="140"/>
    <d v="2020-01-22T00:00:00"/>
    <x v="1"/>
    <n v="983"/>
    <n v="-369"/>
    <x v="0"/>
    <n v="-983"/>
    <x v="1"/>
  </r>
  <r>
    <x v="140"/>
    <d v="2020-02-03T00:00:00"/>
    <x v="0"/>
    <n v="588"/>
    <n v="219"/>
    <x v="2"/>
    <n v="588"/>
    <x v="0"/>
  </r>
  <r>
    <x v="140"/>
    <d v="2020-02-06T00:00:00"/>
    <x v="0"/>
    <n v="50"/>
    <n v="269"/>
    <x v="2"/>
    <n v="50"/>
    <x v="0"/>
  </r>
  <r>
    <x v="140"/>
    <d v="2020-02-28T00:00:00"/>
    <x v="0"/>
    <n v="830"/>
    <n v="1099"/>
    <x v="2"/>
    <n v="830"/>
    <x v="0"/>
  </r>
  <r>
    <x v="140"/>
    <d v="2020-02-29T00:00:00"/>
    <x v="0"/>
    <n v="384"/>
    <n v="1483"/>
    <x v="2"/>
    <n v="384"/>
    <x v="0"/>
  </r>
  <r>
    <x v="140"/>
    <d v="2020-03-19T00:00:00"/>
    <x v="0"/>
    <n v="630"/>
    <n v="2113"/>
    <x v="1"/>
    <n v="630"/>
    <x v="0"/>
  </r>
  <r>
    <x v="140"/>
    <d v="2020-04-04T00:00:00"/>
    <x v="0"/>
    <n v="425"/>
    <n v="2538"/>
    <x v="3"/>
    <n v="425"/>
    <x v="0"/>
  </r>
  <r>
    <x v="141"/>
    <d v="2020-01-16T00:00:00"/>
    <x v="0"/>
    <n v="517"/>
    <n v="517"/>
    <x v="0"/>
    <n v="517"/>
    <x v="0"/>
  </r>
  <r>
    <x v="141"/>
    <d v="2020-01-27T00:00:00"/>
    <x v="0"/>
    <n v="861"/>
    <n v="1378"/>
    <x v="0"/>
    <n v="861"/>
    <x v="0"/>
  </r>
  <r>
    <x v="141"/>
    <d v="2020-02-10T00:00:00"/>
    <x v="2"/>
    <n v="441"/>
    <n v="937"/>
    <x v="2"/>
    <n v="-441"/>
    <x v="0"/>
  </r>
  <r>
    <x v="141"/>
    <d v="2020-02-19T00:00:00"/>
    <x v="1"/>
    <n v="497"/>
    <n v="440"/>
    <x v="2"/>
    <n v="-497"/>
    <x v="0"/>
  </r>
  <r>
    <x v="141"/>
    <d v="2020-03-04T00:00:00"/>
    <x v="2"/>
    <n v="323"/>
    <n v="117"/>
    <x v="1"/>
    <n v="-323"/>
    <x v="0"/>
  </r>
  <r>
    <x v="141"/>
    <d v="2020-03-08T00:00:00"/>
    <x v="0"/>
    <n v="55"/>
    <n v="172"/>
    <x v="1"/>
    <n v="55"/>
    <x v="0"/>
  </r>
  <r>
    <x v="141"/>
    <d v="2020-03-11T00:00:00"/>
    <x v="0"/>
    <n v="480"/>
    <n v="652"/>
    <x v="1"/>
    <n v="480"/>
    <x v="0"/>
  </r>
  <r>
    <x v="141"/>
    <d v="2020-03-31T00:00:00"/>
    <x v="1"/>
    <n v="435"/>
    <n v="217"/>
    <x v="1"/>
    <n v="-435"/>
    <x v="0"/>
  </r>
  <r>
    <x v="141"/>
    <d v="2020-04-01T00:00:00"/>
    <x v="0"/>
    <n v="646"/>
    <n v="863"/>
    <x v="3"/>
    <n v="646"/>
    <x v="0"/>
  </r>
  <r>
    <x v="142"/>
    <d v="2020-01-29T00:00:00"/>
    <x v="0"/>
    <n v="807"/>
    <n v="807"/>
    <x v="0"/>
    <n v="807"/>
    <x v="0"/>
  </r>
  <r>
    <x v="142"/>
    <d v="2020-02-01T00:00:00"/>
    <x v="0"/>
    <n v="483"/>
    <n v="1290"/>
    <x v="2"/>
    <n v="483"/>
    <x v="0"/>
  </r>
  <r>
    <x v="142"/>
    <d v="2020-02-04T00:00:00"/>
    <x v="1"/>
    <n v="343"/>
    <n v="947"/>
    <x v="2"/>
    <n v="-343"/>
    <x v="0"/>
  </r>
  <r>
    <x v="142"/>
    <d v="2020-02-20T00:00:00"/>
    <x v="0"/>
    <n v="602"/>
    <n v="1549"/>
    <x v="2"/>
    <n v="602"/>
    <x v="0"/>
  </r>
  <r>
    <x v="142"/>
    <d v="2020-02-29T00:00:00"/>
    <x v="0"/>
    <n v="76"/>
    <n v="1625"/>
    <x v="2"/>
    <n v="76"/>
    <x v="0"/>
  </r>
  <r>
    <x v="142"/>
    <d v="2020-03-04T00:00:00"/>
    <x v="0"/>
    <n v="24"/>
    <n v="1649"/>
    <x v="1"/>
    <n v="24"/>
    <x v="0"/>
  </r>
  <r>
    <x v="142"/>
    <d v="2020-03-07T00:00:00"/>
    <x v="2"/>
    <n v="574"/>
    <n v="1075"/>
    <x v="1"/>
    <n v="-574"/>
    <x v="0"/>
  </r>
  <r>
    <x v="142"/>
    <d v="2020-03-15T00:00:00"/>
    <x v="1"/>
    <n v="494"/>
    <n v="581"/>
    <x v="1"/>
    <n v="-494"/>
    <x v="0"/>
  </r>
  <r>
    <x v="142"/>
    <d v="2020-03-25T00:00:00"/>
    <x v="1"/>
    <n v="555"/>
    <n v="26"/>
    <x v="1"/>
    <n v="-555"/>
    <x v="0"/>
  </r>
  <r>
    <x v="142"/>
    <d v="2020-04-02T00:00:00"/>
    <x v="2"/>
    <n v="561"/>
    <n v="-535"/>
    <x v="3"/>
    <n v="-561"/>
    <x v="1"/>
  </r>
  <r>
    <x v="142"/>
    <d v="2020-04-09T00:00:00"/>
    <x v="0"/>
    <n v="295"/>
    <n v="-240"/>
    <x v="3"/>
    <n v="295"/>
    <x v="1"/>
  </r>
  <r>
    <x v="142"/>
    <d v="2020-04-19T00:00:00"/>
    <x v="1"/>
    <n v="333"/>
    <n v="-573"/>
    <x v="3"/>
    <n v="-333"/>
    <x v="1"/>
  </r>
  <r>
    <x v="142"/>
    <d v="2020-04-21T00:00:00"/>
    <x v="1"/>
    <n v="957"/>
    <n v="-1530"/>
    <x v="3"/>
    <n v="-957"/>
    <x v="1"/>
  </r>
  <r>
    <x v="142"/>
    <d v="2020-04-22T00:00:00"/>
    <x v="0"/>
    <n v="445"/>
    <n v="-1085"/>
    <x v="3"/>
    <n v="445"/>
    <x v="1"/>
  </r>
  <r>
    <x v="142"/>
    <d v="2020-04-23T00:00:00"/>
    <x v="1"/>
    <n v="823"/>
    <n v="-1908"/>
    <x v="3"/>
    <n v="-823"/>
    <x v="1"/>
  </r>
  <r>
    <x v="142"/>
    <d v="2020-04-24T00:00:00"/>
    <x v="2"/>
    <n v="549"/>
    <n v="-2457"/>
    <x v="3"/>
    <n v="-549"/>
    <x v="1"/>
  </r>
  <r>
    <x v="143"/>
    <d v="2020-01-14T00:00:00"/>
    <x v="0"/>
    <n v="559"/>
    <n v="559"/>
    <x v="0"/>
    <n v="559"/>
    <x v="0"/>
  </r>
  <r>
    <x v="143"/>
    <d v="2020-01-17T00:00:00"/>
    <x v="2"/>
    <n v="622"/>
    <n v="-63"/>
    <x v="0"/>
    <n v="-622"/>
    <x v="1"/>
  </r>
  <r>
    <x v="143"/>
    <d v="2020-01-22T00:00:00"/>
    <x v="2"/>
    <n v="672"/>
    <n v="-735"/>
    <x v="0"/>
    <n v="-672"/>
    <x v="1"/>
  </r>
  <r>
    <x v="143"/>
    <d v="2020-02-07T00:00:00"/>
    <x v="1"/>
    <n v="315"/>
    <n v="-1050"/>
    <x v="2"/>
    <n v="-315"/>
    <x v="1"/>
  </r>
  <r>
    <x v="143"/>
    <d v="2020-02-18T00:00:00"/>
    <x v="2"/>
    <n v="725"/>
    <n v="-1775"/>
    <x v="2"/>
    <n v="-725"/>
    <x v="1"/>
  </r>
  <r>
    <x v="143"/>
    <d v="2020-02-22T00:00:00"/>
    <x v="1"/>
    <n v="558"/>
    <n v="-2333"/>
    <x v="2"/>
    <n v="-558"/>
    <x v="1"/>
  </r>
  <r>
    <x v="143"/>
    <d v="2020-02-22T00:00:00"/>
    <x v="1"/>
    <n v="947"/>
    <n v="-3280"/>
    <x v="2"/>
    <n v="-947"/>
    <x v="1"/>
  </r>
  <r>
    <x v="143"/>
    <d v="2020-03-20T00:00:00"/>
    <x v="2"/>
    <n v="118"/>
    <n v="-3398"/>
    <x v="1"/>
    <n v="-118"/>
    <x v="1"/>
  </r>
  <r>
    <x v="143"/>
    <d v="2020-03-24T00:00:00"/>
    <x v="0"/>
    <n v="316"/>
    <n v="-3082"/>
    <x v="1"/>
    <n v="316"/>
    <x v="1"/>
  </r>
  <r>
    <x v="143"/>
    <d v="2020-03-31T00:00:00"/>
    <x v="0"/>
    <n v="36"/>
    <n v="-3046"/>
    <x v="1"/>
    <n v="36"/>
    <x v="1"/>
  </r>
  <r>
    <x v="143"/>
    <d v="2020-04-02T00:00:00"/>
    <x v="1"/>
    <n v="763"/>
    <n v="-3809"/>
    <x v="3"/>
    <n v="-763"/>
    <x v="1"/>
  </r>
  <r>
    <x v="143"/>
    <d v="2020-04-05T00:00:00"/>
    <x v="0"/>
    <n v="104"/>
    <n v="-3705"/>
    <x v="3"/>
    <n v="104"/>
    <x v="1"/>
  </r>
  <r>
    <x v="143"/>
    <d v="2020-04-07T00:00:00"/>
    <x v="0"/>
    <n v="479"/>
    <n v="-3226"/>
    <x v="3"/>
    <n v="479"/>
    <x v="1"/>
  </r>
  <r>
    <x v="143"/>
    <d v="2020-04-07T00:00:00"/>
    <x v="1"/>
    <n v="955"/>
    <n v="-4181"/>
    <x v="3"/>
    <n v="-955"/>
    <x v="1"/>
  </r>
  <r>
    <x v="143"/>
    <d v="2020-04-07T00:00:00"/>
    <x v="2"/>
    <n v="444"/>
    <n v="-4625"/>
    <x v="3"/>
    <n v="-444"/>
    <x v="1"/>
  </r>
  <r>
    <x v="143"/>
    <d v="2020-04-10T00:00:00"/>
    <x v="0"/>
    <n v="230"/>
    <n v="-4395"/>
    <x v="3"/>
    <n v="230"/>
    <x v="1"/>
  </r>
  <r>
    <x v="144"/>
    <d v="2020-01-02T00:00:00"/>
    <x v="0"/>
    <n v="365"/>
    <n v="365"/>
    <x v="0"/>
    <n v="365"/>
    <x v="0"/>
  </r>
  <r>
    <x v="144"/>
    <d v="2020-01-06T00:00:00"/>
    <x v="2"/>
    <n v="372"/>
    <n v="-7"/>
    <x v="0"/>
    <n v="-372"/>
    <x v="1"/>
  </r>
  <r>
    <x v="144"/>
    <d v="2020-01-07T00:00:00"/>
    <x v="1"/>
    <n v="585"/>
    <n v="-592"/>
    <x v="0"/>
    <n v="-585"/>
    <x v="1"/>
  </r>
  <r>
    <x v="144"/>
    <d v="2020-01-07T00:00:00"/>
    <x v="2"/>
    <n v="6"/>
    <n v="-598"/>
    <x v="0"/>
    <n v="-6"/>
    <x v="1"/>
  </r>
  <r>
    <x v="144"/>
    <d v="2020-01-08T00:00:00"/>
    <x v="1"/>
    <n v="972"/>
    <n v="-1570"/>
    <x v="0"/>
    <n v="-972"/>
    <x v="1"/>
  </r>
  <r>
    <x v="144"/>
    <d v="2020-01-13T00:00:00"/>
    <x v="2"/>
    <n v="373"/>
    <n v="-1943"/>
    <x v="0"/>
    <n v="-373"/>
    <x v="1"/>
  </r>
  <r>
    <x v="144"/>
    <d v="2020-01-19T00:00:00"/>
    <x v="1"/>
    <n v="112"/>
    <n v="-2055"/>
    <x v="0"/>
    <n v="-112"/>
    <x v="1"/>
  </r>
  <r>
    <x v="144"/>
    <d v="2020-01-27T00:00:00"/>
    <x v="2"/>
    <n v="996"/>
    <n v="-3051"/>
    <x v="0"/>
    <n v="-996"/>
    <x v="1"/>
  </r>
  <r>
    <x v="144"/>
    <d v="2020-02-01T00:00:00"/>
    <x v="2"/>
    <n v="54"/>
    <n v="-3105"/>
    <x v="2"/>
    <n v="-54"/>
    <x v="1"/>
  </r>
  <r>
    <x v="144"/>
    <d v="2020-02-11T00:00:00"/>
    <x v="2"/>
    <n v="283"/>
    <n v="-3388"/>
    <x v="2"/>
    <n v="-283"/>
    <x v="1"/>
  </r>
  <r>
    <x v="144"/>
    <d v="2020-02-15T00:00:00"/>
    <x v="1"/>
    <n v="980"/>
    <n v="-4368"/>
    <x v="2"/>
    <n v="-980"/>
    <x v="1"/>
  </r>
  <r>
    <x v="144"/>
    <d v="2020-02-15T00:00:00"/>
    <x v="0"/>
    <n v="921"/>
    <n v="-3447"/>
    <x v="2"/>
    <n v="921"/>
    <x v="1"/>
  </r>
  <r>
    <x v="144"/>
    <d v="2020-02-19T00:00:00"/>
    <x v="0"/>
    <n v="753"/>
    <n v="-2694"/>
    <x v="2"/>
    <n v="753"/>
    <x v="1"/>
  </r>
  <r>
    <x v="144"/>
    <d v="2020-02-23T00:00:00"/>
    <x v="0"/>
    <n v="724"/>
    <n v="-1970"/>
    <x v="2"/>
    <n v="724"/>
    <x v="1"/>
  </r>
  <r>
    <x v="144"/>
    <d v="2020-03-02T00:00:00"/>
    <x v="2"/>
    <n v="776"/>
    <n v="-2746"/>
    <x v="1"/>
    <n v="-776"/>
    <x v="1"/>
  </r>
  <r>
    <x v="144"/>
    <d v="2020-03-03T00:00:00"/>
    <x v="1"/>
    <n v="890"/>
    <n v="-3636"/>
    <x v="1"/>
    <n v="-890"/>
    <x v="1"/>
  </r>
  <r>
    <x v="144"/>
    <d v="2020-03-12T00:00:00"/>
    <x v="1"/>
    <n v="998"/>
    <n v="-4634"/>
    <x v="1"/>
    <n v="-998"/>
    <x v="1"/>
  </r>
  <r>
    <x v="144"/>
    <d v="2020-03-24T00:00:00"/>
    <x v="0"/>
    <n v="515"/>
    <n v="-4119"/>
    <x v="1"/>
    <n v="515"/>
    <x v="1"/>
  </r>
  <r>
    <x v="145"/>
    <d v="2020-01-05T00:00:00"/>
    <x v="0"/>
    <n v="657"/>
    <n v="657"/>
    <x v="0"/>
    <n v="657"/>
    <x v="0"/>
  </r>
  <r>
    <x v="145"/>
    <d v="2020-01-16T00:00:00"/>
    <x v="2"/>
    <n v="266"/>
    <n v="391"/>
    <x v="0"/>
    <n v="-266"/>
    <x v="0"/>
  </r>
  <r>
    <x v="145"/>
    <d v="2020-01-22T00:00:00"/>
    <x v="1"/>
    <n v="822"/>
    <n v="-431"/>
    <x v="0"/>
    <n v="-822"/>
    <x v="1"/>
  </r>
  <r>
    <x v="145"/>
    <d v="2020-01-27T00:00:00"/>
    <x v="2"/>
    <n v="873"/>
    <n v="-1304"/>
    <x v="0"/>
    <n v="-873"/>
    <x v="1"/>
  </r>
  <r>
    <x v="145"/>
    <d v="2020-01-30T00:00:00"/>
    <x v="0"/>
    <n v="497"/>
    <n v="-807"/>
    <x v="0"/>
    <n v="497"/>
    <x v="1"/>
  </r>
  <r>
    <x v="145"/>
    <d v="2020-02-06T00:00:00"/>
    <x v="1"/>
    <n v="349"/>
    <n v="-1156"/>
    <x v="2"/>
    <n v="-349"/>
    <x v="1"/>
  </r>
  <r>
    <x v="145"/>
    <d v="2020-02-15T00:00:00"/>
    <x v="1"/>
    <n v="950"/>
    <n v="-2106"/>
    <x v="2"/>
    <n v="-950"/>
    <x v="1"/>
  </r>
  <r>
    <x v="145"/>
    <d v="2020-02-17T00:00:00"/>
    <x v="1"/>
    <n v="225"/>
    <n v="-2331"/>
    <x v="2"/>
    <n v="-225"/>
    <x v="1"/>
  </r>
  <r>
    <x v="145"/>
    <d v="2020-02-22T00:00:00"/>
    <x v="1"/>
    <n v="936"/>
    <n v="-3267"/>
    <x v="2"/>
    <n v="-936"/>
    <x v="1"/>
  </r>
  <r>
    <x v="145"/>
    <d v="2020-03-03T00:00:00"/>
    <x v="2"/>
    <n v="569"/>
    <n v="-3836"/>
    <x v="1"/>
    <n v="-569"/>
    <x v="1"/>
  </r>
  <r>
    <x v="145"/>
    <d v="2020-03-14T00:00:00"/>
    <x v="2"/>
    <n v="315"/>
    <n v="-4151"/>
    <x v="1"/>
    <n v="-315"/>
    <x v="1"/>
  </r>
  <r>
    <x v="145"/>
    <d v="2020-03-20T00:00:00"/>
    <x v="2"/>
    <n v="617"/>
    <n v="-4768"/>
    <x v="1"/>
    <n v="-617"/>
    <x v="1"/>
  </r>
  <r>
    <x v="145"/>
    <d v="2020-03-29T00:00:00"/>
    <x v="0"/>
    <n v="987"/>
    <n v="-3781"/>
    <x v="1"/>
    <n v="987"/>
    <x v="1"/>
  </r>
  <r>
    <x v="145"/>
    <d v="2020-04-03T00:00:00"/>
    <x v="0"/>
    <n v="64"/>
    <n v="-3717"/>
    <x v="3"/>
    <n v="64"/>
    <x v="1"/>
  </r>
  <r>
    <x v="146"/>
    <d v="2020-01-15T00:00:00"/>
    <x v="0"/>
    <n v="767"/>
    <n v="767"/>
    <x v="0"/>
    <n v="767"/>
    <x v="0"/>
  </r>
  <r>
    <x v="146"/>
    <d v="2020-01-15T00:00:00"/>
    <x v="2"/>
    <n v="167"/>
    <n v="600"/>
    <x v="0"/>
    <n v="-167"/>
    <x v="0"/>
  </r>
  <r>
    <x v="146"/>
    <d v="2020-02-08T00:00:00"/>
    <x v="0"/>
    <n v="888"/>
    <n v="1488"/>
    <x v="2"/>
    <n v="888"/>
    <x v="0"/>
  </r>
  <r>
    <x v="146"/>
    <d v="2020-02-25T00:00:00"/>
    <x v="0"/>
    <n v="210"/>
    <n v="1698"/>
    <x v="2"/>
    <n v="210"/>
    <x v="0"/>
  </r>
  <r>
    <x v="147"/>
    <d v="2020-01-12T00:00:00"/>
    <x v="0"/>
    <n v="88"/>
    <n v="88"/>
    <x v="0"/>
    <n v="88"/>
    <x v="0"/>
  </r>
  <r>
    <x v="147"/>
    <d v="2020-02-09T00:00:00"/>
    <x v="1"/>
    <n v="941"/>
    <n v="-853"/>
    <x v="2"/>
    <n v="-941"/>
    <x v="1"/>
  </r>
  <r>
    <x v="147"/>
    <d v="2020-02-13T00:00:00"/>
    <x v="1"/>
    <n v="826"/>
    <n v="-1679"/>
    <x v="2"/>
    <n v="-826"/>
    <x v="1"/>
  </r>
  <r>
    <x v="147"/>
    <d v="2020-02-17T00:00:00"/>
    <x v="2"/>
    <n v="788"/>
    <n v="-2467"/>
    <x v="2"/>
    <n v="-788"/>
    <x v="1"/>
  </r>
  <r>
    <x v="147"/>
    <d v="2020-03-17T00:00:00"/>
    <x v="2"/>
    <n v="348"/>
    <n v="-2815"/>
    <x v="1"/>
    <n v="-348"/>
    <x v="1"/>
  </r>
  <r>
    <x v="147"/>
    <d v="2020-03-28T00:00:00"/>
    <x v="0"/>
    <n v="739"/>
    <n v="-2076"/>
    <x v="1"/>
    <n v="739"/>
    <x v="1"/>
  </r>
  <r>
    <x v="147"/>
    <d v="2020-04-03T00:00:00"/>
    <x v="1"/>
    <n v="113"/>
    <n v="-2189"/>
    <x v="3"/>
    <n v="-113"/>
    <x v="1"/>
  </r>
  <r>
    <x v="147"/>
    <d v="2020-04-08T00:00:00"/>
    <x v="1"/>
    <n v="541"/>
    <n v="-2730"/>
    <x v="3"/>
    <n v="-541"/>
    <x v="1"/>
  </r>
  <r>
    <x v="148"/>
    <d v="2020-01-13T00:00:00"/>
    <x v="0"/>
    <n v="831"/>
    <n v="831"/>
    <x v="0"/>
    <n v="831"/>
    <x v="0"/>
  </r>
  <r>
    <x v="148"/>
    <d v="2020-01-26T00:00:00"/>
    <x v="1"/>
    <n v="985"/>
    <n v="-154"/>
    <x v="0"/>
    <n v="-985"/>
    <x v="1"/>
  </r>
  <r>
    <x v="148"/>
    <d v="2020-01-30T00:00:00"/>
    <x v="0"/>
    <n v="498"/>
    <n v="344"/>
    <x v="0"/>
    <n v="498"/>
    <x v="0"/>
  </r>
  <r>
    <x v="148"/>
    <d v="2020-02-28T00:00:00"/>
    <x v="1"/>
    <n v="23"/>
    <n v="321"/>
    <x v="2"/>
    <n v="-23"/>
    <x v="0"/>
  </r>
  <r>
    <x v="148"/>
    <d v="2020-03-02T00:00:00"/>
    <x v="0"/>
    <n v="732"/>
    <n v="1053"/>
    <x v="1"/>
    <n v="732"/>
    <x v="0"/>
  </r>
  <r>
    <x v="148"/>
    <d v="2020-03-11T00:00:00"/>
    <x v="2"/>
    <n v="520"/>
    <n v="533"/>
    <x v="1"/>
    <n v="-520"/>
    <x v="0"/>
  </r>
  <r>
    <x v="148"/>
    <d v="2020-03-11T00:00:00"/>
    <x v="0"/>
    <n v="30"/>
    <n v="563"/>
    <x v="1"/>
    <n v="30"/>
    <x v="0"/>
  </r>
  <r>
    <x v="148"/>
    <d v="2020-03-15T00:00:00"/>
    <x v="0"/>
    <n v="822"/>
    <n v="1385"/>
    <x v="1"/>
    <n v="822"/>
    <x v="0"/>
  </r>
  <r>
    <x v="148"/>
    <d v="2020-03-18T00:00:00"/>
    <x v="2"/>
    <n v="825"/>
    <n v="560"/>
    <x v="1"/>
    <n v="-825"/>
    <x v="0"/>
  </r>
  <r>
    <x v="148"/>
    <d v="2020-03-19T00:00:00"/>
    <x v="2"/>
    <n v="791"/>
    <n v="-231"/>
    <x v="1"/>
    <n v="-791"/>
    <x v="1"/>
  </r>
  <r>
    <x v="148"/>
    <d v="2020-03-24T00:00:00"/>
    <x v="0"/>
    <n v="15"/>
    <n v="-216"/>
    <x v="1"/>
    <n v="15"/>
    <x v="1"/>
  </r>
  <r>
    <x v="148"/>
    <d v="2020-03-27T00:00:00"/>
    <x v="0"/>
    <n v="14"/>
    <n v="-202"/>
    <x v="1"/>
    <n v="14"/>
    <x v="1"/>
  </r>
  <r>
    <x v="149"/>
    <d v="2020-01-04T00:00:00"/>
    <x v="0"/>
    <n v="69"/>
    <n v="69"/>
    <x v="0"/>
    <n v="69"/>
    <x v="0"/>
  </r>
  <r>
    <x v="149"/>
    <d v="2020-01-05T00:00:00"/>
    <x v="2"/>
    <n v="715"/>
    <n v="-646"/>
    <x v="0"/>
    <n v="-715"/>
    <x v="1"/>
  </r>
  <r>
    <x v="149"/>
    <d v="2020-01-15T00:00:00"/>
    <x v="2"/>
    <n v="869"/>
    <n v="-1515"/>
    <x v="0"/>
    <n v="-869"/>
    <x v="1"/>
  </r>
  <r>
    <x v="149"/>
    <d v="2020-01-18T00:00:00"/>
    <x v="2"/>
    <n v="176"/>
    <n v="-1691"/>
    <x v="0"/>
    <n v="-176"/>
    <x v="1"/>
  </r>
  <r>
    <x v="149"/>
    <d v="2020-01-22T00:00:00"/>
    <x v="0"/>
    <n v="166"/>
    <n v="-1525"/>
    <x v="0"/>
    <n v="166"/>
    <x v="1"/>
  </r>
  <r>
    <x v="149"/>
    <d v="2020-01-27T00:00:00"/>
    <x v="0"/>
    <n v="925"/>
    <n v="-600"/>
    <x v="0"/>
    <n v="925"/>
    <x v="1"/>
  </r>
  <r>
    <x v="149"/>
    <d v="2020-02-03T00:00:00"/>
    <x v="0"/>
    <n v="63"/>
    <n v="-537"/>
    <x v="2"/>
    <n v="63"/>
    <x v="1"/>
  </r>
  <r>
    <x v="149"/>
    <d v="2020-02-09T00:00:00"/>
    <x v="1"/>
    <n v="546"/>
    <n v="-1083"/>
    <x v="2"/>
    <n v="-546"/>
    <x v="1"/>
  </r>
  <r>
    <x v="149"/>
    <d v="2020-02-12T00:00:00"/>
    <x v="1"/>
    <n v="371"/>
    <n v="-1454"/>
    <x v="2"/>
    <n v="-371"/>
    <x v="1"/>
  </r>
  <r>
    <x v="149"/>
    <d v="2020-02-19T00:00:00"/>
    <x v="1"/>
    <n v="264"/>
    <n v="-1718"/>
    <x v="2"/>
    <n v="-264"/>
    <x v="1"/>
  </r>
  <r>
    <x v="149"/>
    <d v="2020-02-28T00:00:00"/>
    <x v="0"/>
    <n v="206"/>
    <n v="-1512"/>
    <x v="2"/>
    <n v="206"/>
    <x v="1"/>
  </r>
  <r>
    <x v="149"/>
    <d v="2020-03-20T00:00:00"/>
    <x v="0"/>
    <n v="715"/>
    <n v="-797"/>
    <x v="1"/>
    <n v="715"/>
    <x v="1"/>
  </r>
  <r>
    <x v="149"/>
    <d v="2020-03-24T00:00:00"/>
    <x v="2"/>
    <n v="807"/>
    <n v="-1604"/>
    <x v="1"/>
    <n v="-807"/>
    <x v="1"/>
  </r>
  <r>
    <x v="149"/>
    <d v="2020-04-01T00:00:00"/>
    <x v="2"/>
    <n v="825"/>
    <n v="-2429"/>
    <x v="3"/>
    <n v="-825"/>
    <x v="1"/>
  </r>
  <r>
    <x v="150"/>
    <d v="2020-01-10T00:00:00"/>
    <x v="0"/>
    <n v="58"/>
    <n v="58"/>
    <x v="0"/>
    <n v="58"/>
    <x v="0"/>
  </r>
  <r>
    <x v="150"/>
    <d v="2020-01-21T00:00:00"/>
    <x v="0"/>
    <n v="387"/>
    <n v="445"/>
    <x v="0"/>
    <n v="387"/>
    <x v="0"/>
  </r>
  <r>
    <x v="150"/>
    <d v="2020-01-23T00:00:00"/>
    <x v="0"/>
    <n v="922"/>
    <n v="1367"/>
    <x v="0"/>
    <n v="922"/>
    <x v="0"/>
  </r>
  <r>
    <x v="150"/>
    <d v="2020-02-03T00:00:00"/>
    <x v="1"/>
    <n v="640"/>
    <n v="727"/>
    <x v="2"/>
    <n v="-640"/>
    <x v="0"/>
  </r>
  <r>
    <x v="150"/>
    <d v="2020-02-24T00:00:00"/>
    <x v="2"/>
    <n v="722"/>
    <n v="5"/>
    <x v="2"/>
    <n v="-722"/>
    <x v="0"/>
  </r>
  <r>
    <x v="150"/>
    <d v="2020-03-18T00:00:00"/>
    <x v="0"/>
    <n v="169"/>
    <n v="174"/>
    <x v="1"/>
    <n v="169"/>
    <x v="0"/>
  </r>
  <r>
    <x v="150"/>
    <d v="2020-03-20T00:00:00"/>
    <x v="1"/>
    <n v="428"/>
    <n v="-254"/>
    <x v="1"/>
    <n v="-428"/>
    <x v="1"/>
  </r>
  <r>
    <x v="150"/>
    <d v="2020-03-26T00:00:00"/>
    <x v="0"/>
    <n v="318"/>
    <n v="64"/>
    <x v="1"/>
    <n v="318"/>
    <x v="0"/>
  </r>
  <r>
    <x v="150"/>
    <d v="2020-03-29T00:00:00"/>
    <x v="2"/>
    <n v="951"/>
    <n v="-887"/>
    <x v="1"/>
    <n v="-951"/>
    <x v="1"/>
  </r>
  <r>
    <x v="151"/>
    <d v="2020-01-01T00:00:00"/>
    <x v="0"/>
    <n v="917"/>
    <n v="917"/>
    <x v="0"/>
    <n v="917"/>
    <x v="0"/>
  </r>
  <r>
    <x v="151"/>
    <d v="2020-01-16T00:00:00"/>
    <x v="0"/>
    <n v="340"/>
    <n v="1257"/>
    <x v="0"/>
    <n v="340"/>
    <x v="0"/>
  </r>
  <r>
    <x v="151"/>
    <d v="2020-01-17T00:00:00"/>
    <x v="0"/>
    <n v="264"/>
    <n v="1521"/>
    <x v="0"/>
    <n v="264"/>
    <x v="0"/>
  </r>
  <r>
    <x v="151"/>
    <d v="2020-01-23T00:00:00"/>
    <x v="0"/>
    <n v="310"/>
    <n v="1831"/>
    <x v="0"/>
    <n v="310"/>
    <x v="0"/>
  </r>
  <r>
    <x v="151"/>
    <d v="2020-02-04T00:00:00"/>
    <x v="0"/>
    <n v="706"/>
    <n v="2537"/>
    <x v="2"/>
    <n v="706"/>
    <x v="0"/>
  </r>
  <r>
    <x v="151"/>
    <d v="2020-02-04T00:00:00"/>
    <x v="0"/>
    <n v="696"/>
    <n v="3233"/>
    <x v="2"/>
    <n v="696"/>
    <x v="0"/>
  </r>
  <r>
    <x v="151"/>
    <d v="2020-02-09T00:00:00"/>
    <x v="2"/>
    <n v="849"/>
    <n v="2384"/>
    <x v="2"/>
    <n v="-849"/>
    <x v="0"/>
  </r>
  <r>
    <x v="151"/>
    <d v="2020-02-13T00:00:00"/>
    <x v="1"/>
    <n v="334"/>
    <n v="2050"/>
    <x v="2"/>
    <n v="-334"/>
    <x v="0"/>
  </r>
  <r>
    <x v="151"/>
    <d v="2020-02-15T00:00:00"/>
    <x v="0"/>
    <n v="812"/>
    <n v="2862"/>
    <x v="2"/>
    <n v="812"/>
    <x v="0"/>
  </r>
  <r>
    <x v="151"/>
    <d v="2020-02-22T00:00:00"/>
    <x v="1"/>
    <n v="960"/>
    <n v="1902"/>
    <x v="2"/>
    <n v="-960"/>
    <x v="0"/>
  </r>
  <r>
    <x v="151"/>
    <d v="2020-03-20T00:00:00"/>
    <x v="0"/>
    <n v="68"/>
    <n v="1970"/>
    <x v="1"/>
    <n v="68"/>
    <x v="0"/>
  </r>
  <r>
    <x v="151"/>
    <d v="2020-03-28T00:00:00"/>
    <x v="0"/>
    <n v="14"/>
    <n v="1984"/>
    <x v="1"/>
    <n v="14"/>
    <x v="0"/>
  </r>
  <r>
    <x v="152"/>
    <d v="2020-01-18T00:00:00"/>
    <x v="0"/>
    <n v="754"/>
    <n v="754"/>
    <x v="0"/>
    <n v="754"/>
    <x v="0"/>
  </r>
  <r>
    <x v="152"/>
    <d v="2020-01-22T00:00:00"/>
    <x v="1"/>
    <n v="987"/>
    <n v="-233"/>
    <x v="0"/>
    <n v="-987"/>
    <x v="1"/>
  </r>
  <r>
    <x v="152"/>
    <d v="2020-01-22T00:00:00"/>
    <x v="2"/>
    <n v="587"/>
    <n v="-820"/>
    <x v="0"/>
    <n v="-587"/>
    <x v="1"/>
  </r>
  <r>
    <x v="152"/>
    <d v="2020-01-23T00:00:00"/>
    <x v="2"/>
    <n v="431"/>
    <n v="-1251"/>
    <x v="0"/>
    <n v="-431"/>
    <x v="1"/>
  </r>
  <r>
    <x v="152"/>
    <d v="2020-01-26T00:00:00"/>
    <x v="2"/>
    <n v="703"/>
    <n v="-1954"/>
    <x v="0"/>
    <n v="-703"/>
    <x v="1"/>
  </r>
  <r>
    <x v="152"/>
    <d v="2020-02-01T00:00:00"/>
    <x v="1"/>
    <n v="302"/>
    <n v="-2256"/>
    <x v="2"/>
    <n v="-302"/>
    <x v="1"/>
  </r>
  <r>
    <x v="152"/>
    <d v="2020-02-06T00:00:00"/>
    <x v="2"/>
    <n v="181"/>
    <n v="-2437"/>
    <x v="2"/>
    <n v="-181"/>
    <x v="1"/>
  </r>
  <r>
    <x v="152"/>
    <d v="2020-02-07T00:00:00"/>
    <x v="0"/>
    <n v="664"/>
    <n v="-1773"/>
    <x v="2"/>
    <n v="664"/>
    <x v="1"/>
  </r>
  <r>
    <x v="152"/>
    <d v="2020-02-08T00:00:00"/>
    <x v="1"/>
    <n v="578"/>
    <n v="-2351"/>
    <x v="2"/>
    <n v="-578"/>
    <x v="1"/>
  </r>
  <r>
    <x v="152"/>
    <d v="2020-02-15T00:00:00"/>
    <x v="0"/>
    <n v="752"/>
    <n v="-1599"/>
    <x v="2"/>
    <n v="752"/>
    <x v="1"/>
  </r>
  <r>
    <x v="152"/>
    <d v="2020-02-20T00:00:00"/>
    <x v="0"/>
    <n v="959"/>
    <n v="-640"/>
    <x v="2"/>
    <n v="959"/>
    <x v="1"/>
  </r>
  <r>
    <x v="152"/>
    <d v="2020-02-24T00:00:00"/>
    <x v="0"/>
    <n v="353"/>
    <n v="-287"/>
    <x v="2"/>
    <n v="353"/>
    <x v="1"/>
  </r>
  <r>
    <x v="152"/>
    <d v="2020-02-25T00:00:00"/>
    <x v="2"/>
    <n v="107"/>
    <n v="-394"/>
    <x v="2"/>
    <n v="-107"/>
    <x v="1"/>
  </r>
  <r>
    <x v="152"/>
    <d v="2020-02-26T00:00:00"/>
    <x v="1"/>
    <n v="382"/>
    <n v="-776"/>
    <x v="2"/>
    <n v="-382"/>
    <x v="1"/>
  </r>
  <r>
    <x v="152"/>
    <d v="2020-03-07T00:00:00"/>
    <x v="1"/>
    <n v="683"/>
    <n v="-1459"/>
    <x v="1"/>
    <n v="-683"/>
    <x v="1"/>
  </r>
  <r>
    <x v="152"/>
    <d v="2020-03-10T00:00:00"/>
    <x v="0"/>
    <n v="378"/>
    <n v="-1081"/>
    <x v="1"/>
    <n v="378"/>
    <x v="1"/>
  </r>
  <r>
    <x v="152"/>
    <d v="2020-03-21T00:00:00"/>
    <x v="1"/>
    <n v="274"/>
    <n v="-1355"/>
    <x v="1"/>
    <n v="-274"/>
    <x v="1"/>
  </r>
  <r>
    <x v="152"/>
    <d v="2020-03-23T00:00:00"/>
    <x v="0"/>
    <n v="683"/>
    <n v="-672"/>
    <x v="1"/>
    <n v="683"/>
    <x v="1"/>
  </r>
  <r>
    <x v="152"/>
    <d v="2020-03-27T00:00:00"/>
    <x v="1"/>
    <n v="178"/>
    <n v="-850"/>
    <x v="1"/>
    <n v="-178"/>
    <x v="1"/>
  </r>
  <r>
    <x v="152"/>
    <d v="2020-03-31T00:00:00"/>
    <x v="1"/>
    <n v="845"/>
    <n v="-1695"/>
    <x v="1"/>
    <n v="-845"/>
    <x v="1"/>
  </r>
  <r>
    <x v="153"/>
    <d v="2020-01-15T00:00:00"/>
    <x v="0"/>
    <n v="120"/>
    <n v="120"/>
    <x v="0"/>
    <n v="120"/>
    <x v="0"/>
  </r>
  <r>
    <x v="153"/>
    <d v="2020-01-15T00:00:00"/>
    <x v="1"/>
    <n v="801"/>
    <n v="-681"/>
    <x v="0"/>
    <n v="-801"/>
    <x v="1"/>
  </r>
  <r>
    <x v="153"/>
    <d v="2020-01-28T00:00:00"/>
    <x v="2"/>
    <n v="447"/>
    <n v="-1128"/>
    <x v="0"/>
    <n v="-447"/>
    <x v="1"/>
  </r>
  <r>
    <x v="153"/>
    <d v="2020-01-31T00:00:00"/>
    <x v="1"/>
    <n v="994"/>
    <n v="-2122"/>
    <x v="0"/>
    <n v="-994"/>
    <x v="1"/>
  </r>
  <r>
    <x v="153"/>
    <d v="2020-01-31T00:00:00"/>
    <x v="0"/>
    <n v="730"/>
    <n v="-1392"/>
    <x v="0"/>
    <n v="730"/>
    <x v="1"/>
  </r>
  <r>
    <x v="153"/>
    <d v="2020-02-07T00:00:00"/>
    <x v="2"/>
    <n v="13"/>
    <n v="-1405"/>
    <x v="2"/>
    <n v="-13"/>
    <x v="1"/>
  </r>
  <r>
    <x v="153"/>
    <d v="2020-02-07T00:00:00"/>
    <x v="0"/>
    <n v="938"/>
    <n v="-467"/>
    <x v="2"/>
    <n v="938"/>
    <x v="1"/>
  </r>
  <r>
    <x v="153"/>
    <d v="2020-02-08T00:00:00"/>
    <x v="1"/>
    <n v="239"/>
    <n v="-706"/>
    <x v="2"/>
    <n v="-239"/>
    <x v="1"/>
  </r>
  <r>
    <x v="153"/>
    <d v="2020-02-09T00:00:00"/>
    <x v="1"/>
    <n v="255"/>
    <n v="-961"/>
    <x v="2"/>
    <n v="-255"/>
    <x v="1"/>
  </r>
  <r>
    <x v="153"/>
    <d v="2020-02-13T00:00:00"/>
    <x v="2"/>
    <n v="437"/>
    <n v="-1398"/>
    <x v="2"/>
    <n v="-437"/>
    <x v="1"/>
  </r>
  <r>
    <x v="153"/>
    <d v="2020-02-19T00:00:00"/>
    <x v="0"/>
    <n v="66"/>
    <n v="-1332"/>
    <x v="2"/>
    <n v="66"/>
    <x v="1"/>
  </r>
  <r>
    <x v="153"/>
    <d v="2020-02-27T00:00:00"/>
    <x v="1"/>
    <n v="219"/>
    <n v="-1551"/>
    <x v="2"/>
    <n v="-219"/>
    <x v="1"/>
  </r>
  <r>
    <x v="153"/>
    <d v="2020-02-28T00:00:00"/>
    <x v="0"/>
    <n v="86"/>
    <n v="-1465"/>
    <x v="2"/>
    <n v="86"/>
    <x v="1"/>
  </r>
  <r>
    <x v="153"/>
    <d v="2020-02-29T00:00:00"/>
    <x v="2"/>
    <n v="875"/>
    <n v="-2340"/>
    <x v="2"/>
    <n v="-875"/>
    <x v="1"/>
  </r>
  <r>
    <x v="153"/>
    <d v="2020-03-03T00:00:00"/>
    <x v="0"/>
    <n v="988"/>
    <n v="-1352"/>
    <x v="1"/>
    <n v="988"/>
    <x v="1"/>
  </r>
  <r>
    <x v="153"/>
    <d v="2020-03-04T00:00:00"/>
    <x v="2"/>
    <n v="12"/>
    <n v="-1364"/>
    <x v="1"/>
    <n v="-12"/>
    <x v="1"/>
  </r>
  <r>
    <x v="153"/>
    <d v="2020-03-15T00:00:00"/>
    <x v="0"/>
    <n v="663"/>
    <n v="-701"/>
    <x v="1"/>
    <n v="663"/>
    <x v="1"/>
  </r>
  <r>
    <x v="153"/>
    <d v="2020-03-16T00:00:00"/>
    <x v="2"/>
    <n v="988"/>
    <n v="-1689"/>
    <x v="1"/>
    <n v="-988"/>
    <x v="1"/>
  </r>
  <r>
    <x v="153"/>
    <d v="2020-03-19T00:00:00"/>
    <x v="2"/>
    <n v="415"/>
    <n v="-2104"/>
    <x v="1"/>
    <n v="-415"/>
    <x v="1"/>
  </r>
  <r>
    <x v="153"/>
    <d v="2020-04-07T00:00:00"/>
    <x v="0"/>
    <n v="86"/>
    <n v="-2018"/>
    <x v="3"/>
    <n v="86"/>
    <x v="1"/>
  </r>
  <r>
    <x v="153"/>
    <d v="2020-04-12T00:00:00"/>
    <x v="1"/>
    <n v="537"/>
    <n v="-2555"/>
    <x v="3"/>
    <n v="-537"/>
    <x v="1"/>
  </r>
  <r>
    <x v="154"/>
    <d v="2020-01-10T00:00:00"/>
    <x v="0"/>
    <n v="712"/>
    <n v="712"/>
    <x v="0"/>
    <n v="712"/>
    <x v="0"/>
  </r>
  <r>
    <x v="154"/>
    <d v="2020-01-19T00:00:00"/>
    <x v="1"/>
    <n v="360"/>
    <n v="352"/>
    <x v="0"/>
    <n v="-360"/>
    <x v="0"/>
  </r>
  <r>
    <x v="154"/>
    <d v="2020-01-24T00:00:00"/>
    <x v="1"/>
    <n v="717"/>
    <n v="-365"/>
    <x v="0"/>
    <n v="-717"/>
    <x v="1"/>
  </r>
  <r>
    <x v="154"/>
    <d v="2020-01-29T00:00:00"/>
    <x v="1"/>
    <n v="631"/>
    <n v="-996"/>
    <x v="0"/>
    <n v="-631"/>
    <x v="1"/>
  </r>
  <r>
    <x v="154"/>
    <d v="2020-02-04T00:00:00"/>
    <x v="1"/>
    <n v="295"/>
    <n v="-1291"/>
    <x v="2"/>
    <n v="-295"/>
    <x v="1"/>
  </r>
  <r>
    <x v="154"/>
    <d v="2020-02-15T00:00:00"/>
    <x v="2"/>
    <n v="804"/>
    <n v="-2095"/>
    <x v="2"/>
    <n v="-804"/>
    <x v="1"/>
  </r>
  <r>
    <x v="154"/>
    <d v="2020-02-15T00:00:00"/>
    <x v="0"/>
    <n v="804"/>
    <n v="-1291"/>
    <x v="2"/>
    <n v="804"/>
    <x v="1"/>
  </r>
  <r>
    <x v="154"/>
    <d v="2020-02-20T00:00:00"/>
    <x v="1"/>
    <n v="751"/>
    <n v="-2042"/>
    <x v="2"/>
    <n v="-751"/>
    <x v="1"/>
  </r>
  <r>
    <x v="154"/>
    <d v="2020-02-29T00:00:00"/>
    <x v="1"/>
    <n v="899"/>
    <n v="-2941"/>
    <x v="2"/>
    <n v="-899"/>
    <x v="1"/>
  </r>
  <r>
    <x v="154"/>
    <d v="2020-03-07T00:00:00"/>
    <x v="2"/>
    <n v="751"/>
    <n v="-3692"/>
    <x v="1"/>
    <n v="-751"/>
    <x v="1"/>
  </r>
  <r>
    <x v="154"/>
    <d v="2020-03-16T00:00:00"/>
    <x v="2"/>
    <n v="627"/>
    <n v="-4319"/>
    <x v="1"/>
    <n v="-627"/>
    <x v="1"/>
  </r>
  <r>
    <x v="154"/>
    <d v="2020-03-19T00:00:00"/>
    <x v="0"/>
    <n v="117"/>
    <n v="-4202"/>
    <x v="1"/>
    <n v="117"/>
    <x v="1"/>
  </r>
  <r>
    <x v="154"/>
    <d v="2020-03-19T00:00:00"/>
    <x v="0"/>
    <n v="630"/>
    <n v="-3572"/>
    <x v="1"/>
    <n v="630"/>
    <x v="1"/>
  </r>
  <r>
    <x v="154"/>
    <d v="2020-03-28T00:00:00"/>
    <x v="0"/>
    <n v="494"/>
    <n v="-3078"/>
    <x v="1"/>
    <n v="494"/>
    <x v="1"/>
  </r>
  <r>
    <x v="154"/>
    <d v="2020-03-29T00:00:00"/>
    <x v="0"/>
    <n v="890"/>
    <n v="-2188"/>
    <x v="1"/>
    <n v="890"/>
    <x v="1"/>
  </r>
  <r>
    <x v="154"/>
    <d v="2020-03-29T00:00:00"/>
    <x v="2"/>
    <n v="494"/>
    <n v="-2682"/>
    <x v="1"/>
    <n v="-494"/>
    <x v="1"/>
  </r>
  <r>
    <x v="154"/>
    <d v="2020-03-30T00:00:00"/>
    <x v="2"/>
    <n v="595"/>
    <n v="-3277"/>
    <x v="1"/>
    <n v="-595"/>
    <x v="1"/>
  </r>
  <r>
    <x v="154"/>
    <d v="2020-03-31T00:00:00"/>
    <x v="2"/>
    <n v="100"/>
    <n v="-3377"/>
    <x v="1"/>
    <n v="-100"/>
    <x v="1"/>
  </r>
  <r>
    <x v="154"/>
    <d v="2020-04-04T00:00:00"/>
    <x v="1"/>
    <n v="501"/>
    <n v="-3878"/>
    <x v="3"/>
    <n v="-501"/>
    <x v="1"/>
  </r>
  <r>
    <x v="154"/>
    <d v="2020-04-05T00:00:00"/>
    <x v="2"/>
    <n v="652"/>
    <n v="-4530"/>
    <x v="3"/>
    <n v="-652"/>
    <x v="1"/>
  </r>
  <r>
    <x v="155"/>
    <d v="2020-01-24T00:00:00"/>
    <x v="0"/>
    <n v="82"/>
    <n v="82"/>
    <x v="0"/>
    <n v="82"/>
    <x v="0"/>
  </r>
  <r>
    <x v="155"/>
    <d v="2020-04-08T00:00:00"/>
    <x v="0"/>
    <n v="230"/>
    <n v="312"/>
    <x v="3"/>
    <n v="230"/>
    <x v="0"/>
  </r>
  <r>
    <x v="156"/>
    <d v="2020-01-06T00:00:00"/>
    <x v="0"/>
    <n v="721"/>
    <n v="721"/>
    <x v="0"/>
    <n v="721"/>
    <x v="0"/>
  </r>
  <r>
    <x v="156"/>
    <d v="2020-01-28T00:00:00"/>
    <x v="1"/>
    <n v="583"/>
    <n v="138"/>
    <x v="0"/>
    <n v="-583"/>
    <x v="0"/>
  </r>
  <r>
    <x v="156"/>
    <d v="2020-02-29T00:00:00"/>
    <x v="2"/>
    <n v="749"/>
    <n v="-611"/>
    <x v="2"/>
    <n v="-749"/>
    <x v="1"/>
  </r>
  <r>
    <x v="156"/>
    <d v="2020-03-01T00:00:00"/>
    <x v="0"/>
    <n v="941"/>
    <n v="330"/>
    <x v="1"/>
    <n v="941"/>
    <x v="0"/>
  </r>
  <r>
    <x v="156"/>
    <d v="2020-03-06T00:00:00"/>
    <x v="0"/>
    <n v="517"/>
    <n v="847"/>
    <x v="1"/>
    <n v="517"/>
    <x v="0"/>
  </r>
  <r>
    <x v="156"/>
    <d v="2020-03-09T00:00:00"/>
    <x v="0"/>
    <n v="395"/>
    <n v="1242"/>
    <x v="1"/>
    <n v="395"/>
    <x v="0"/>
  </r>
  <r>
    <x v="156"/>
    <d v="2020-03-14T00:00:00"/>
    <x v="0"/>
    <n v="697"/>
    <n v="1939"/>
    <x v="1"/>
    <n v="697"/>
    <x v="0"/>
  </r>
  <r>
    <x v="156"/>
    <d v="2020-03-18T00:00:00"/>
    <x v="0"/>
    <n v="827"/>
    <n v="2766"/>
    <x v="1"/>
    <n v="827"/>
    <x v="0"/>
  </r>
  <r>
    <x v="157"/>
    <d v="2020-01-18T00:00:00"/>
    <x v="1"/>
    <n v="109"/>
    <n v="-109"/>
    <x v="0"/>
    <n v="-109"/>
    <x v="1"/>
  </r>
  <r>
    <x v="157"/>
    <d v="2020-01-18T00:00:00"/>
    <x v="0"/>
    <n v="642"/>
    <n v="533"/>
    <x v="0"/>
    <n v="642"/>
    <x v="0"/>
  </r>
  <r>
    <x v="157"/>
    <d v="2020-01-28T00:00:00"/>
    <x v="1"/>
    <n v="477"/>
    <n v="56"/>
    <x v="0"/>
    <n v="-477"/>
    <x v="0"/>
  </r>
  <r>
    <x v="157"/>
    <d v="2020-02-08T00:00:00"/>
    <x v="1"/>
    <n v="192"/>
    <n v="-136"/>
    <x v="2"/>
    <n v="-192"/>
    <x v="1"/>
  </r>
  <r>
    <x v="157"/>
    <d v="2020-03-09T00:00:00"/>
    <x v="2"/>
    <n v="799"/>
    <n v="-935"/>
    <x v="1"/>
    <n v="-799"/>
    <x v="1"/>
  </r>
  <r>
    <x v="157"/>
    <d v="2020-03-13T00:00:00"/>
    <x v="1"/>
    <n v="235"/>
    <n v="-1170"/>
    <x v="1"/>
    <n v="-235"/>
    <x v="1"/>
  </r>
  <r>
    <x v="157"/>
    <d v="2020-03-16T00:00:00"/>
    <x v="1"/>
    <n v="546"/>
    <n v="-1716"/>
    <x v="1"/>
    <n v="-546"/>
    <x v="1"/>
  </r>
  <r>
    <x v="157"/>
    <d v="2020-03-19T00:00:00"/>
    <x v="0"/>
    <n v="567"/>
    <n v="-1149"/>
    <x v="1"/>
    <n v="567"/>
    <x v="1"/>
  </r>
  <r>
    <x v="157"/>
    <d v="2020-03-23T00:00:00"/>
    <x v="0"/>
    <n v="683"/>
    <n v="-466"/>
    <x v="1"/>
    <n v="683"/>
    <x v="1"/>
  </r>
  <r>
    <x v="157"/>
    <d v="2020-03-27T00:00:00"/>
    <x v="2"/>
    <n v="118"/>
    <n v="-584"/>
    <x v="1"/>
    <n v="-118"/>
    <x v="1"/>
  </r>
  <r>
    <x v="157"/>
    <d v="2020-03-29T00:00:00"/>
    <x v="1"/>
    <n v="522"/>
    <n v="-1106"/>
    <x v="1"/>
    <n v="-522"/>
    <x v="1"/>
  </r>
  <r>
    <x v="158"/>
    <d v="2020-01-04T00:00:00"/>
    <x v="0"/>
    <n v="669"/>
    <n v="669"/>
    <x v="0"/>
    <n v="669"/>
    <x v="0"/>
  </r>
  <r>
    <x v="158"/>
    <d v="2020-01-06T00:00:00"/>
    <x v="1"/>
    <n v="236"/>
    <n v="433"/>
    <x v="0"/>
    <n v="-236"/>
    <x v="0"/>
  </r>
  <r>
    <x v="158"/>
    <d v="2020-01-16T00:00:00"/>
    <x v="2"/>
    <n v="734"/>
    <n v="-301"/>
    <x v="0"/>
    <n v="-734"/>
    <x v="1"/>
  </r>
  <r>
    <x v="159"/>
    <d v="2020-01-17T00:00:00"/>
    <x v="0"/>
    <n v="843"/>
    <n v="843"/>
    <x v="0"/>
    <n v="843"/>
    <x v="0"/>
  </r>
  <r>
    <x v="159"/>
    <d v="2020-02-04T00:00:00"/>
    <x v="0"/>
    <n v="734"/>
    <n v="1577"/>
    <x v="2"/>
    <n v="734"/>
    <x v="0"/>
  </r>
  <r>
    <x v="159"/>
    <d v="2020-02-11T00:00:00"/>
    <x v="2"/>
    <n v="845"/>
    <n v="732"/>
    <x v="2"/>
    <n v="-845"/>
    <x v="0"/>
  </r>
  <r>
    <x v="159"/>
    <d v="2020-02-11T00:00:00"/>
    <x v="2"/>
    <n v="982"/>
    <n v="-250"/>
    <x v="2"/>
    <n v="-982"/>
    <x v="1"/>
  </r>
  <r>
    <x v="159"/>
    <d v="2020-02-13T00:00:00"/>
    <x v="0"/>
    <n v="18"/>
    <n v="-232"/>
    <x v="2"/>
    <n v="18"/>
    <x v="1"/>
  </r>
  <r>
    <x v="159"/>
    <d v="2020-02-21T00:00:00"/>
    <x v="0"/>
    <n v="421"/>
    <n v="189"/>
    <x v="2"/>
    <n v="421"/>
    <x v="0"/>
  </r>
  <r>
    <x v="159"/>
    <d v="2020-02-23T00:00:00"/>
    <x v="2"/>
    <n v="632"/>
    <n v="-443"/>
    <x v="2"/>
    <n v="-632"/>
    <x v="1"/>
  </r>
  <r>
    <x v="159"/>
    <d v="2020-02-26T00:00:00"/>
    <x v="0"/>
    <n v="986"/>
    <n v="543"/>
    <x v="2"/>
    <n v="986"/>
    <x v="0"/>
  </r>
  <r>
    <x v="159"/>
    <d v="2020-03-01T00:00:00"/>
    <x v="1"/>
    <n v="459"/>
    <n v="84"/>
    <x v="1"/>
    <n v="-459"/>
    <x v="0"/>
  </r>
  <r>
    <x v="159"/>
    <d v="2020-03-23T00:00:00"/>
    <x v="0"/>
    <n v="767"/>
    <n v="851"/>
    <x v="1"/>
    <n v="767"/>
    <x v="0"/>
  </r>
  <r>
    <x v="159"/>
    <d v="2020-03-28T00:00:00"/>
    <x v="2"/>
    <n v="920"/>
    <n v="-69"/>
    <x v="1"/>
    <n v="-920"/>
    <x v="1"/>
  </r>
  <r>
    <x v="159"/>
    <d v="2020-04-04T00:00:00"/>
    <x v="1"/>
    <n v="633"/>
    <n v="-702"/>
    <x v="3"/>
    <n v="-633"/>
    <x v="1"/>
  </r>
  <r>
    <x v="159"/>
    <d v="2020-04-11T00:00:00"/>
    <x v="0"/>
    <n v="75"/>
    <n v="-627"/>
    <x v="3"/>
    <n v="75"/>
    <x v="1"/>
  </r>
  <r>
    <x v="159"/>
    <d v="2020-04-15T00:00:00"/>
    <x v="0"/>
    <n v="320"/>
    <n v="-307"/>
    <x v="3"/>
    <n v="320"/>
    <x v="1"/>
  </r>
  <r>
    <x v="160"/>
    <d v="2020-01-08T00:00:00"/>
    <x v="0"/>
    <n v="526"/>
    <n v="526"/>
    <x v="0"/>
    <n v="526"/>
    <x v="0"/>
  </r>
  <r>
    <x v="160"/>
    <d v="2020-01-08T00:00:00"/>
    <x v="2"/>
    <n v="914"/>
    <n v="-388"/>
    <x v="0"/>
    <n v="-914"/>
    <x v="1"/>
  </r>
  <r>
    <x v="160"/>
    <d v="2020-01-09T00:00:00"/>
    <x v="1"/>
    <n v="160"/>
    <n v="-548"/>
    <x v="0"/>
    <n v="-160"/>
    <x v="1"/>
  </r>
  <r>
    <x v="160"/>
    <d v="2020-01-15T00:00:00"/>
    <x v="2"/>
    <n v="67"/>
    <n v="-615"/>
    <x v="0"/>
    <n v="-67"/>
    <x v="1"/>
  </r>
  <r>
    <x v="160"/>
    <d v="2020-01-21T00:00:00"/>
    <x v="2"/>
    <n v="50"/>
    <n v="-665"/>
    <x v="0"/>
    <n v="-50"/>
    <x v="1"/>
  </r>
  <r>
    <x v="160"/>
    <d v="2020-01-25T00:00:00"/>
    <x v="2"/>
    <n v="177"/>
    <n v="-842"/>
    <x v="0"/>
    <n v="-177"/>
    <x v="1"/>
  </r>
  <r>
    <x v="160"/>
    <d v="2020-01-29T00:00:00"/>
    <x v="1"/>
    <n v="279"/>
    <n v="-1121"/>
    <x v="0"/>
    <n v="-279"/>
    <x v="1"/>
  </r>
  <r>
    <x v="160"/>
    <d v="2020-02-11T00:00:00"/>
    <x v="0"/>
    <n v="440"/>
    <n v="-681"/>
    <x v="2"/>
    <n v="440"/>
    <x v="1"/>
  </r>
  <r>
    <x v="160"/>
    <d v="2020-02-12T00:00:00"/>
    <x v="1"/>
    <n v="743"/>
    <n v="-1424"/>
    <x v="2"/>
    <n v="-743"/>
    <x v="1"/>
  </r>
  <r>
    <x v="160"/>
    <d v="2020-02-20T00:00:00"/>
    <x v="1"/>
    <n v="553"/>
    <n v="-1977"/>
    <x v="2"/>
    <n v="-553"/>
    <x v="1"/>
  </r>
  <r>
    <x v="160"/>
    <d v="2020-02-23T00:00:00"/>
    <x v="0"/>
    <n v="380"/>
    <n v="-1597"/>
    <x v="2"/>
    <n v="380"/>
    <x v="1"/>
  </r>
  <r>
    <x v="160"/>
    <d v="2020-02-29T00:00:00"/>
    <x v="0"/>
    <n v="636"/>
    <n v="-961"/>
    <x v="2"/>
    <n v="636"/>
    <x v="1"/>
  </r>
  <r>
    <x v="160"/>
    <d v="2020-03-02T00:00:00"/>
    <x v="0"/>
    <n v="832"/>
    <n v="-129"/>
    <x v="1"/>
    <n v="832"/>
    <x v="1"/>
  </r>
  <r>
    <x v="160"/>
    <d v="2020-03-11T00:00:00"/>
    <x v="0"/>
    <n v="342"/>
    <n v="213"/>
    <x v="1"/>
    <n v="342"/>
    <x v="0"/>
  </r>
  <r>
    <x v="160"/>
    <d v="2020-03-15T00:00:00"/>
    <x v="0"/>
    <n v="177"/>
    <n v="390"/>
    <x v="1"/>
    <n v="177"/>
    <x v="0"/>
  </r>
  <r>
    <x v="160"/>
    <d v="2020-03-16T00:00:00"/>
    <x v="1"/>
    <n v="379"/>
    <n v="11"/>
    <x v="1"/>
    <n v="-379"/>
    <x v="0"/>
  </r>
  <r>
    <x v="160"/>
    <d v="2020-03-21T00:00:00"/>
    <x v="1"/>
    <n v="735"/>
    <n v="-724"/>
    <x v="1"/>
    <n v="-735"/>
    <x v="1"/>
  </r>
  <r>
    <x v="160"/>
    <d v="2020-03-27T00:00:00"/>
    <x v="2"/>
    <n v="722"/>
    <n v="-1446"/>
    <x v="1"/>
    <n v="-722"/>
    <x v="1"/>
  </r>
  <r>
    <x v="160"/>
    <d v="2020-03-30T00:00:00"/>
    <x v="2"/>
    <n v="243"/>
    <n v="-1689"/>
    <x v="1"/>
    <n v="-243"/>
    <x v="1"/>
  </r>
  <r>
    <x v="160"/>
    <d v="2020-03-31T00:00:00"/>
    <x v="0"/>
    <n v="869"/>
    <n v="-820"/>
    <x v="1"/>
    <n v="869"/>
    <x v="1"/>
  </r>
  <r>
    <x v="160"/>
    <d v="2020-03-31T00:00:00"/>
    <x v="0"/>
    <n v="529"/>
    <n v="-291"/>
    <x v="1"/>
    <n v="529"/>
    <x v="1"/>
  </r>
  <r>
    <x v="161"/>
    <d v="2020-01-10T00:00:00"/>
    <x v="0"/>
    <n v="123"/>
    <n v="123"/>
    <x v="0"/>
    <n v="123"/>
    <x v="0"/>
  </r>
  <r>
    <x v="161"/>
    <d v="2020-02-01T00:00:00"/>
    <x v="0"/>
    <n v="847"/>
    <n v="970"/>
    <x v="2"/>
    <n v="847"/>
    <x v="0"/>
  </r>
  <r>
    <x v="161"/>
    <d v="2020-02-08T00:00:00"/>
    <x v="1"/>
    <n v="186"/>
    <n v="784"/>
    <x v="2"/>
    <n v="-186"/>
    <x v="0"/>
  </r>
  <r>
    <x v="162"/>
    <d v="2020-01-14T00:00:00"/>
    <x v="0"/>
    <n v="523"/>
    <n v="523"/>
    <x v="0"/>
    <n v="523"/>
    <x v="0"/>
  </r>
  <r>
    <x v="162"/>
    <d v="2020-01-18T00:00:00"/>
    <x v="1"/>
    <n v="596"/>
    <n v="-73"/>
    <x v="0"/>
    <n v="-596"/>
    <x v="1"/>
  </r>
  <r>
    <x v="162"/>
    <d v="2020-02-09T00:00:00"/>
    <x v="1"/>
    <n v="118"/>
    <n v="-191"/>
    <x v="2"/>
    <n v="-118"/>
    <x v="1"/>
  </r>
  <r>
    <x v="162"/>
    <d v="2020-02-12T00:00:00"/>
    <x v="1"/>
    <n v="137"/>
    <n v="-328"/>
    <x v="2"/>
    <n v="-137"/>
    <x v="1"/>
  </r>
  <r>
    <x v="162"/>
    <d v="2020-03-02T00:00:00"/>
    <x v="2"/>
    <n v="197"/>
    <n v="-525"/>
    <x v="1"/>
    <n v="-197"/>
    <x v="1"/>
  </r>
  <r>
    <x v="162"/>
    <d v="2020-03-09T00:00:00"/>
    <x v="2"/>
    <n v="747"/>
    <n v="-1272"/>
    <x v="1"/>
    <n v="-747"/>
    <x v="1"/>
  </r>
  <r>
    <x v="162"/>
    <d v="2020-03-14T00:00:00"/>
    <x v="1"/>
    <n v="867"/>
    <n v="-2139"/>
    <x v="1"/>
    <n v="-867"/>
    <x v="1"/>
  </r>
  <r>
    <x v="162"/>
    <d v="2020-03-26T00:00:00"/>
    <x v="2"/>
    <n v="792"/>
    <n v="-2931"/>
    <x v="1"/>
    <n v="-792"/>
    <x v="1"/>
  </r>
  <r>
    <x v="162"/>
    <d v="2020-03-27T00:00:00"/>
    <x v="2"/>
    <n v="185"/>
    <n v="-3116"/>
    <x v="1"/>
    <n v="-185"/>
    <x v="1"/>
  </r>
  <r>
    <x v="162"/>
    <d v="2020-04-02T00:00:00"/>
    <x v="1"/>
    <n v="579"/>
    <n v="-3695"/>
    <x v="3"/>
    <n v="-579"/>
    <x v="1"/>
  </r>
  <r>
    <x v="162"/>
    <d v="2020-04-03T00:00:00"/>
    <x v="1"/>
    <n v="969"/>
    <n v="-4664"/>
    <x v="3"/>
    <n v="-969"/>
    <x v="1"/>
  </r>
  <r>
    <x v="162"/>
    <d v="2020-04-04T00:00:00"/>
    <x v="0"/>
    <n v="622"/>
    <n v="-4042"/>
    <x v="3"/>
    <n v="622"/>
    <x v="1"/>
  </r>
  <r>
    <x v="162"/>
    <d v="2020-04-06T00:00:00"/>
    <x v="0"/>
    <n v="581"/>
    <n v="-3461"/>
    <x v="3"/>
    <n v="581"/>
    <x v="1"/>
  </r>
  <r>
    <x v="162"/>
    <d v="2020-04-07T00:00:00"/>
    <x v="0"/>
    <n v="406"/>
    <n v="-3055"/>
    <x v="3"/>
    <n v="406"/>
    <x v="1"/>
  </r>
  <r>
    <x v="163"/>
    <d v="2020-01-10T00:00:00"/>
    <x v="0"/>
    <n v="548"/>
    <n v="548"/>
    <x v="0"/>
    <n v="548"/>
    <x v="0"/>
  </r>
  <r>
    <x v="163"/>
    <d v="2020-02-16T00:00:00"/>
    <x v="0"/>
    <n v="409"/>
    <n v="957"/>
    <x v="2"/>
    <n v="409"/>
    <x v="0"/>
  </r>
  <r>
    <x v="164"/>
    <d v="2020-01-23T00:00:00"/>
    <x v="0"/>
    <n v="42"/>
    <n v="42"/>
    <x v="0"/>
    <n v="42"/>
    <x v="0"/>
  </r>
  <r>
    <x v="164"/>
    <d v="2020-01-24T00:00:00"/>
    <x v="1"/>
    <n v="393"/>
    <n v="-351"/>
    <x v="0"/>
    <n v="-393"/>
    <x v="1"/>
  </r>
  <r>
    <x v="164"/>
    <d v="2020-01-25T00:00:00"/>
    <x v="0"/>
    <n v="391"/>
    <n v="40"/>
    <x v="0"/>
    <n v="391"/>
    <x v="0"/>
  </r>
  <r>
    <x v="164"/>
    <d v="2020-01-26T00:00:00"/>
    <x v="0"/>
    <n v="439"/>
    <n v="479"/>
    <x v="0"/>
    <n v="439"/>
    <x v="0"/>
  </r>
  <r>
    <x v="164"/>
    <d v="2020-01-28T00:00:00"/>
    <x v="1"/>
    <n v="540"/>
    <n v="-61"/>
    <x v="0"/>
    <n v="-540"/>
    <x v="1"/>
  </r>
  <r>
    <x v="164"/>
    <d v="2020-02-02T00:00:00"/>
    <x v="0"/>
    <n v="185"/>
    <n v="124"/>
    <x v="2"/>
    <n v="185"/>
    <x v="0"/>
  </r>
  <r>
    <x v="164"/>
    <d v="2020-02-08T00:00:00"/>
    <x v="0"/>
    <n v="250"/>
    <n v="374"/>
    <x v="2"/>
    <n v="250"/>
    <x v="0"/>
  </r>
  <r>
    <x v="164"/>
    <d v="2020-02-14T00:00:00"/>
    <x v="1"/>
    <n v="593"/>
    <n v="-219"/>
    <x v="2"/>
    <n v="-593"/>
    <x v="1"/>
  </r>
  <r>
    <x v="164"/>
    <d v="2020-02-25T00:00:00"/>
    <x v="2"/>
    <n v="869"/>
    <n v="-1088"/>
    <x v="2"/>
    <n v="-869"/>
    <x v="1"/>
  </r>
  <r>
    <x v="164"/>
    <d v="2020-03-03T00:00:00"/>
    <x v="2"/>
    <n v="901"/>
    <n v="-1989"/>
    <x v="1"/>
    <n v="-901"/>
    <x v="1"/>
  </r>
  <r>
    <x v="164"/>
    <d v="2020-03-05T00:00:00"/>
    <x v="2"/>
    <n v="199"/>
    <n v="-2188"/>
    <x v="1"/>
    <n v="-199"/>
    <x v="1"/>
  </r>
  <r>
    <x v="164"/>
    <d v="2020-03-17T00:00:00"/>
    <x v="1"/>
    <n v="230"/>
    <n v="-2418"/>
    <x v="1"/>
    <n v="-230"/>
    <x v="1"/>
  </r>
  <r>
    <x v="164"/>
    <d v="2020-03-17T00:00:00"/>
    <x v="1"/>
    <n v="714"/>
    <n v="-3132"/>
    <x v="1"/>
    <n v="-714"/>
    <x v="1"/>
  </r>
  <r>
    <x v="164"/>
    <d v="2020-03-21T00:00:00"/>
    <x v="1"/>
    <n v="784"/>
    <n v="-3916"/>
    <x v="1"/>
    <n v="-784"/>
    <x v="1"/>
  </r>
  <r>
    <x v="164"/>
    <d v="2020-03-22T00:00:00"/>
    <x v="0"/>
    <n v="215"/>
    <n v="-3701"/>
    <x v="1"/>
    <n v="215"/>
    <x v="1"/>
  </r>
  <r>
    <x v="164"/>
    <d v="2020-04-02T00:00:00"/>
    <x v="0"/>
    <n v="763"/>
    <n v="-2938"/>
    <x v="3"/>
    <n v="763"/>
    <x v="1"/>
  </r>
  <r>
    <x v="164"/>
    <d v="2020-04-02T00:00:00"/>
    <x v="0"/>
    <n v="353"/>
    <n v="-2585"/>
    <x v="3"/>
    <n v="353"/>
    <x v="1"/>
  </r>
  <r>
    <x v="164"/>
    <d v="2020-04-06T00:00:00"/>
    <x v="2"/>
    <n v="985"/>
    <n v="-3570"/>
    <x v="3"/>
    <n v="-985"/>
    <x v="1"/>
  </r>
  <r>
    <x v="164"/>
    <d v="2020-04-10T00:00:00"/>
    <x v="2"/>
    <n v="297"/>
    <n v="-3867"/>
    <x v="3"/>
    <n v="-297"/>
    <x v="1"/>
  </r>
  <r>
    <x v="164"/>
    <d v="2020-04-12T00:00:00"/>
    <x v="2"/>
    <n v="164"/>
    <n v="-4031"/>
    <x v="3"/>
    <n v="-164"/>
    <x v="1"/>
  </r>
  <r>
    <x v="164"/>
    <d v="2020-04-17T00:00:00"/>
    <x v="0"/>
    <n v="197"/>
    <n v="-3834"/>
    <x v="3"/>
    <n v="197"/>
    <x v="1"/>
  </r>
  <r>
    <x v="164"/>
    <d v="2020-04-21T00:00:00"/>
    <x v="2"/>
    <n v="97"/>
    <n v="-3931"/>
    <x v="3"/>
    <n v="-97"/>
    <x v="1"/>
  </r>
  <r>
    <x v="165"/>
    <d v="2020-01-22T00:00:00"/>
    <x v="0"/>
    <n v="957"/>
    <n v="957"/>
    <x v="0"/>
    <n v="957"/>
    <x v="0"/>
  </r>
  <r>
    <x v="165"/>
    <d v="2020-02-13T00:00:00"/>
    <x v="0"/>
    <n v="589"/>
    <n v="1546"/>
    <x v="2"/>
    <n v="589"/>
    <x v="0"/>
  </r>
  <r>
    <x v="165"/>
    <d v="2020-03-11T00:00:00"/>
    <x v="0"/>
    <n v="285"/>
    <n v="1831"/>
    <x v="1"/>
    <n v="285"/>
    <x v="0"/>
  </r>
  <r>
    <x v="165"/>
    <d v="2020-03-25T00:00:00"/>
    <x v="2"/>
    <n v="528"/>
    <n v="1303"/>
    <x v="1"/>
    <n v="-528"/>
    <x v="0"/>
  </r>
  <r>
    <x v="165"/>
    <d v="2020-04-06T00:00:00"/>
    <x v="0"/>
    <n v="185"/>
    <n v="1488"/>
    <x v="3"/>
    <n v="185"/>
    <x v="0"/>
  </r>
  <r>
    <x v="165"/>
    <d v="2020-04-13T00:00:00"/>
    <x v="0"/>
    <n v="295"/>
    <n v="1783"/>
    <x v="3"/>
    <n v="295"/>
    <x v="0"/>
  </r>
  <r>
    <x v="166"/>
    <d v="2020-01-30T00:00:00"/>
    <x v="0"/>
    <n v="51"/>
    <n v="51"/>
    <x v="0"/>
    <n v="51"/>
    <x v="0"/>
  </r>
  <r>
    <x v="166"/>
    <d v="2020-02-03T00:00:00"/>
    <x v="0"/>
    <n v="545"/>
    <n v="596"/>
    <x v="2"/>
    <n v="545"/>
    <x v="0"/>
  </r>
  <r>
    <x v="166"/>
    <d v="2020-02-04T00:00:00"/>
    <x v="1"/>
    <n v="12"/>
    <n v="584"/>
    <x v="2"/>
    <n v="-12"/>
    <x v="0"/>
  </r>
  <r>
    <x v="166"/>
    <d v="2020-02-06T00:00:00"/>
    <x v="0"/>
    <n v="101"/>
    <n v="685"/>
    <x v="2"/>
    <n v="101"/>
    <x v="0"/>
  </r>
  <r>
    <x v="166"/>
    <d v="2020-02-09T00:00:00"/>
    <x v="0"/>
    <n v="669"/>
    <n v="1354"/>
    <x v="2"/>
    <n v="669"/>
    <x v="0"/>
  </r>
  <r>
    <x v="166"/>
    <d v="2020-02-21T00:00:00"/>
    <x v="2"/>
    <n v="88"/>
    <n v="1266"/>
    <x v="2"/>
    <n v="-88"/>
    <x v="0"/>
  </r>
  <r>
    <x v="166"/>
    <d v="2020-02-29T00:00:00"/>
    <x v="1"/>
    <n v="692"/>
    <n v="574"/>
    <x v="2"/>
    <n v="-692"/>
    <x v="0"/>
  </r>
  <r>
    <x v="166"/>
    <d v="2020-03-02T00:00:00"/>
    <x v="2"/>
    <n v="6"/>
    <n v="568"/>
    <x v="1"/>
    <n v="-6"/>
    <x v="0"/>
  </r>
  <r>
    <x v="166"/>
    <d v="2020-03-03T00:00:00"/>
    <x v="0"/>
    <n v="14"/>
    <n v="582"/>
    <x v="1"/>
    <n v="14"/>
    <x v="0"/>
  </r>
  <r>
    <x v="166"/>
    <d v="2020-03-07T00:00:00"/>
    <x v="1"/>
    <n v="244"/>
    <n v="338"/>
    <x v="1"/>
    <n v="-244"/>
    <x v="0"/>
  </r>
  <r>
    <x v="166"/>
    <d v="2020-03-11T00:00:00"/>
    <x v="2"/>
    <n v="804"/>
    <n v="-466"/>
    <x v="1"/>
    <n v="-804"/>
    <x v="1"/>
  </r>
  <r>
    <x v="166"/>
    <d v="2020-03-13T00:00:00"/>
    <x v="1"/>
    <n v="49"/>
    <n v="-515"/>
    <x v="1"/>
    <n v="-49"/>
    <x v="1"/>
  </r>
  <r>
    <x v="166"/>
    <d v="2020-03-16T00:00:00"/>
    <x v="1"/>
    <n v="51"/>
    <n v="-566"/>
    <x v="1"/>
    <n v="-51"/>
    <x v="1"/>
  </r>
  <r>
    <x v="166"/>
    <d v="2020-04-02T00:00:00"/>
    <x v="2"/>
    <n v="711"/>
    <n v="-1277"/>
    <x v="3"/>
    <n v="-711"/>
    <x v="1"/>
  </r>
  <r>
    <x v="166"/>
    <d v="2020-04-07T00:00:00"/>
    <x v="0"/>
    <n v="766"/>
    <n v="-511"/>
    <x v="3"/>
    <n v="766"/>
    <x v="1"/>
  </r>
  <r>
    <x v="166"/>
    <d v="2020-04-18T00:00:00"/>
    <x v="0"/>
    <n v="942"/>
    <n v="431"/>
    <x v="3"/>
    <n v="942"/>
    <x v="0"/>
  </r>
  <r>
    <x v="166"/>
    <d v="2020-04-21T00:00:00"/>
    <x v="1"/>
    <n v="163"/>
    <n v="268"/>
    <x v="3"/>
    <n v="-163"/>
    <x v="0"/>
  </r>
  <r>
    <x v="166"/>
    <d v="2020-04-21T00:00:00"/>
    <x v="0"/>
    <n v="153"/>
    <n v="421"/>
    <x v="3"/>
    <n v="153"/>
    <x v="0"/>
  </r>
  <r>
    <x v="166"/>
    <d v="2020-04-23T00:00:00"/>
    <x v="2"/>
    <n v="180"/>
    <n v="241"/>
    <x v="3"/>
    <n v="-180"/>
    <x v="0"/>
  </r>
  <r>
    <x v="166"/>
    <d v="2020-04-25T00:00:00"/>
    <x v="2"/>
    <n v="989"/>
    <n v="-748"/>
    <x v="3"/>
    <n v="-989"/>
    <x v="1"/>
  </r>
  <r>
    <x v="167"/>
    <d v="2020-01-13T00:00:00"/>
    <x v="0"/>
    <n v="114"/>
    <n v="114"/>
    <x v="0"/>
    <n v="114"/>
    <x v="0"/>
  </r>
  <r>
    <x v="167"/>
    <d v="2020-02-03T00:00:00"/>
    <x v="0"/>
    <n v="187"/>
    <n v="301"/>
    <x v="2"/>
    <n v="187"/>
    <x v="0"/>
  </r>
  <r>
    <x v="167"/>
    <d v="2020-02-24T00:00:00"/>
    <x v="1"/>
    <n v="919"/>
    <n v="-618"/>
    <x v="2"/>
    <n v="-919"/>
    <x v="1"/>
  </r>
  <r>
    <x v="167"/>
    <d v="2020-02-25T00:00:00"/>
    <x v="1"/>
    <n v="183"/>
    <n v="-801"/>
    <x v="2"/>
    <n v="-183"/>
    <x v="1"/>
  </r>
  <r>
    <x v="168"/>
    <d v="2020-01-10T00:00:00"/>
    <x v="0"/>
    <n v="628"/>
    <n v="628"/>
    <x v="0"/>
    <n v="628"/>
    <x v="0"/>
  </r>
  <r>
    <x v="168"/>
    <d v="2020-01-14T00:00:00"/>
    <x v="2"/>
    <n v="601"/>
    <n v="27"/>
    <x v="0"/>
    <n v="-601"/>
    <x v="0"/>
  </r>
  <r>
    <x v="168"/>
    <d v="2020-01-19T00:00:00"/>
    <x v="1"/>
    <n v="268"/>
    <n v="-241"/>
    <x v="0"/>
    <n v="-268"/>
    <x v="1"/>
  </r>
  <r>
    <x v="168"/>
    <d v="2020-01-25T00:00:00"/>
    <x v="1"/>
    <n v="985"/>
    <n v="-1226"/>
    <x v="0"/>
    <n v="-985"/>
    <x v="1"/>
  </r>
  <r>
    <x v="168"/>
    <d v="2020-01-29T00:00:00"/>
    <x v="0"/>
    <n v="657"/>
    <n v="-569"/>
    <x v="0"/>
    <n v="657"/>
    <x v="1"/>
  </r>
  <r>
    <x v="168"/>
    <d v="2020-02-06T00:00:00"/>
    <x v="0"/>
    <n v="176"/>
    <n v="-393"/>
    <x v="2"/>
    <n v="176"/>
    <x v="1"/>
  </r>
  <r>
    <x v="168"/>
    <d v="2020-02-19T00:00:00"/>
    <x v="2"/>
    <n v="417"/>
    <n v="-810"/>
    <x v="2"/>
    <n v="-417"/>
    <x v="1"/>
  </r>
  <r>
    <x v="168"/>
    <d v="2020-02-26T00:00:00"/>
    <x v="0"/>
    <n v="59"/>
    <n v="-751"/>
    <x v="2"/>
    <n v="59"/>
    <x v="1"/>
  </r>
  <r>
    <x v="168"/>
    <d v="2020-02-28T00:00:00"/>
    <x v="2"/>
    <n v="439"/>
    <n v="-1190"/>
    <x v="2"/>
    <n v="-439"/>
    <x v="1"/>
  </r>
  <r>
    <x v="168"/>
    <d v="2020-03-09T00:00:00"/>
    <x v="0"/>
    <n v="737"/>
    <n v="-453"/>
    <x v="1"/>
    <n v="737"/>
    <x v="1"/>
  </r>
  <r>
    <x v="168"/>
    <d v="2020-03-15T00:00:00"/>
    <x v="2"/>
    <n v="3"/>
    <n v="-456"/>
    <x v="1"/>
    <n v="-3"/>
    <x v="1"/>
  </r>
  <r>
    <x v="168"/>
    <d v="2020-03-16T00:00:00"/>
    <x v="0"/>
    <n v="529"/>
    <n v="73"/>
    <x v="1"/>
    <n v="529"/>
    <x v="0"/>
  </r>
  <r>
    <x v="168"/>
    <d v="2020-03-22T00:00:00"/>
    <x v="1"/>
    <n v="64"/>
    <n v="9"/>
    <x v="1"/>
    <n v="-64"/>
    <x v="0"/>
  </r>
  <r>
    <x v="168"/>
    <d v="2020-04-08T00:00:00"/>
    <x v="0"/>
    <n v="897"/>
    <n v="906"/>
    <x v="3"/>
    <n v="897"/>
    <x v="0"/>
  </r>
  <r>
    <x v="169"/>
    <d v="2020-01-14T00:00:00"/>
    <x v="0"/>
    <n v="788"/>
    <n v="788"/>
    <x v="0"/>
    <n v="788"/>
    <x v="0"/>
  </r>
  <r>
    <x v="169"/>
    <d v="2020-01-21T00:00:00"/>
    <x v="0"/>
    <n v="339"/>
    <n v="1127"/>
    <x v="0"/>
    <n v="339"/>
    <x v="0"/>
  </r>
  <r>
    <x v="169"/>
    <d v="2020-01-28T00:00:00"/>
    <x v="2"/>
    <n v="759"/>
    <n v="368"/>
    <x v="0"/>
    <n v="-759"/>
    <x v="0"/>
  </r>
  <r>
    <x v="169"/>
    <d v="2020-01-30T00:00:00"/>
    <x v="2"/>
    <n v="406"/>
    <n v="-38"/>
    <x v="0"/>
    <n v="-406"/>
    <x v="1"/>
  </r>
  <r>
    <x v="169"/>
    <d v="2020-02-11T00:00:00"/>
    <x v="1"/>
    <n v="335"/>
    <n v="-373"/>
    <x v="2"/>
    <n v="-335"/>
    <x v="1"/>
  </r>
  <r>
    <x v="169"/>
    <d v="2020-03-13T00:00:00"/>
    <x v="1"/>
    <n v="773"/>
    <n v="-1146"/>
    <x v="1"/>
    <n v="-773"/>
    <x v="1"/>
  </r>
  <r>
    <x v="169"/>
    <d v="2020-03-15T00:00:00"/>
    <x v="0"/>
    <n v="675"/>
    <n v="-471"/>
    <x v="1"/>
    <n v="675"/>
    <x v="1"/>
  </r>
  <r>
    <x v="169"/>
    <d v="2020-03-15T00:00:00"/>
    <x v="0"/>
    <n v="560"/>
    <n v="89"/>
    <x v="1"/>
    <n v="560"/>
    <x v="0"/>
  </r>
  <r>
    <x v="169"/>
    <d v="2020-03-20T00:00:00"/>
    <x v="2"/>
    <n v="226"/>
    <n v="-137"/>
    <x v="1"/>
    <n v="-226"/>
    <x v="1"/>
  </r>
  <r>
    <x v="169"/>
    <d v="2020-04-02T00:00:00"/>
    <x v="1"/>
    <n v="392"/>
    <n v="-529"/>
    <x v="3"/>
    <n v="-392"/>
    <x v="1"/>
  </r>
  <r>
    <x v="169"/>
    <d v="2020-04-03T00:00:00"/>
    <x v="0"/>
    <n v="296"/>
    <n v="-233"/>
    <x v="3"/>
    <n v="296"/>
    <x v="1"/>
  </r>
  <r>
    <x v="169"/>
    <d v="2020-04-04T00:00:00"/>
    <x v="1"/>
    <n v="617"/>
    <n v="-850"/>
    <x v="3"/>
    <n v="-617"/>
    <x v="1"/>
  </r>
  <r>
    <x v="170"/>
    <d v="2020-01-17T00:00:00"/>
    <x v="0"/>
    <n v="471"/>
    <n v="471"/>
    <x v="0"/>
    <n v="471"/>
    <x v="0"/>
  </r>
  <r>
    <x v="170"/>
    <d v="2020-01-21T00:00:00"/>
    <x v="1"/>
    <n v="795"/>
    <n v="-324"/>
    <x v="0"/>
    <n v="-795"/>
    <x v="1"/>
  </r>
  <r>
    <x v="170"/>
    <d v="2020-01-21T00:00:00"/>
    <x v="1"/>
    <n v="270"/>
    <n v="-594"/>
    <x v="0"/>
    <n v="-270"/>
    <x v="1"/>
  </r>
  <r>
    <x v="170"/>
    <d v="2020-01-23T00:00:00"/>
    <x v="0"/>
    <n v="397"/>
    <n v="-197"/>
    <x v="0"/>
    <n v="397"/>
    <x v="1"/>
  </r>
  <r>
    <x v="170"/>
    <d v="2020-02-02T00:00:00"/>
    <x v="2"/>
    <n v="989"/>
    <n v="-1186"/>
    <x v="2"/>
    <n v="-989"/>
    <x v="1"/>
  </r>
  <r>
    <x v="170"/>
    <d v="2020-02-12T00:00:00"/>
    <x v="0"/>
    <n v="451"/>
    <n v="-735"/>
    <x v="2"/>
    <n v="451"/>
    <x v="1"/>
  </r>
  <r>
    <x v="170"/>
    <d v="2020-02-24T00:00:00"/>
    <x v="2"/>
    <n v="721"/>
    <n v="-1456"/>
    <x v="2"/>
    <n v="-721"/>
    <x v="1"/>
  </r>
  <r>
    <x v="170"/>
    <d v="2020-02-26T00:00:00"/>
    <x v="0"/>
    <n v="699"/>
    <n v="-757"/>
    <x v="2"/>
    <n v="699"/>
    <x v="1"/>
  </r>
  <r>
    <x v="170"/>
    <d v="2020-02-29T00:00:00"/>
    <x v="2"/>
    <n v="643"/>
    <n v="-1400"/>
    <x v="2"/>
    <n v="-643"/>
    <x v="1"/>
  </r>
  <r>
    <x v="170"/>
    <d v="2020-03-18T00:00:00"/>
    <x v="2"/>
    <n v="201"/>
    <n v="-1601"/>
    <x v="1"/>
    <n v="-201"/>
    <x v="1"/>
  </r>
  <r>
    <x v="170"/>
    <d v="2020-03-22T00:00:00"/>
    <x v="2"/>
    <n v="765"/>
    <n v="-2366"/>
    <x v="1"/>
    <n v="-765"/>
    <x v="1"/>
  </r>
  <r>
    <x v="170"/>
    <d v="2020-03-24T00:00:00"/>
    <x v="0"/>
    <n v="445"/>
    <n v="-1921"/>
    <x v="1"/>
    <n v="445"/>
    <x v="1"/>
  </r>
  <r>
    <x v="170"/>
    <d v="2020-04-03T00:00:00"/>
    <x v="2"/>
    <n v="297"/>
    <n v="-2218"/>
    <x v="3"/>
    <n v="-297"/>
    <x v="1"/>
  </r>
  <r>
    <x v="170"/>
    <d v="2020-04-06T00:00:00"/>
    <x v="0"/>
    <n v="548"/>
    <n v="-1670"/>
    <x v="3"/>
    <n v="548"/>
    <x v="1"/>
  </r>
  <r>
    <x v="170"/>
    <d v="2020-04-12T00:00:00"/>
    <x v="0"/>
    <n v="759"/>
    <n v="-911"/>
    <x v="3"/>
    <n v="759"/>
    <x v="1"/>
  </r>
  <r>
    <x v="171"/>
    <d v="2020-01-12T00:00:00"/>
    <x v="0"/>
    <n v="548"/>
    <n v="548"/>
    <x v="0"/>
    <n v="548"/>
    <x v="0"/>
  </r>
  <r>
    <x v="171"/>
    <d v="2020-01-14T00:00:00"/>
    <x v="2"/>
    <n v="966"/>
    <n v="-418"/>
    <x v="0"/>
    <n v="-966"/>
    <x v="1"/>
  </r>
  <r>
    <x v="171"/>
    <d v="2020-01-31T00:00:00"/>
    <x v="0"/>
    <n v="244"/>
    <n v="-174"/>
    <x v="0"/>
    <n v="244"/>
    <x v="1"/>
  </r>
  <r>
    <x v="171"/>
    <d v="2020-03-10T00:00:00"/>
    <x v="0"/>
    <n v="59"/>
    <n v="-115"/>
    <x v="1"/>
    <n v="59"/>
    <x v="1"/>
  </r>
  <r>
    <x v="171"/>
    <d v="2020-03-13T00:00:00"/>
    <x v="2"/>
    <n v="446"/>
    <n v="-561"/>
    <x v="1"/>
    <n v="-446"/>
    <x v="1"/>
  </r>
  <r>
    <x v="171"/>
    <d v="2020-03-16T00:00:00"/>
    <x v="2"/>
    <n v="477"/>
    <n v="-1038"/>
    <x v="1"/>
    <n v="-477"/>
    <x v="1"/>
  </r>
  <r>
    <x v="172"/>
    <d v="2020-01-14T00:00:00"/>
    <x v="0"/>
    <n v="720"/>
    <n v="720"/>
    <x v="0"/>
    <n v="720"/>
    <x v="0"/>
  </r>
  <r>
    <x v="172"/>
    <d v="2020-01-25T00:00:00"/>
    <x v="0"/>
    <n v="578"/>
    <n v="1298"/>
    <x v="0"/>
    <n v="578"/>
    <x v="0"/>
  </r>
  <r>
    <x v="172"/>
    <d v="2020-02-04T00:00:00"/>
    <x v="0"/>
    <n v="486"/>
    <n v="1784"/>
    <x v="2"/>
    <n v="486"/>
    <x v="0"/>
  </r>
  <r>
    <x v="172"/>
    <d v="2020-02-14T00:00:00"/>
    <x v="2"/>
    <n v="383"/>
    <n v="1401"/>
    <x v="2"/>
    <n v="-383"/>
    <x v="0"/>
  </r>
  <r>
    <x v="172"/>
    <d v="2020-02-27T00:00:00"/>
    <x v="1"/>
    <n v="3"/>
    <n v="1398"/>
    <x v="2"/>
    <n v="-3"/>
    <x v="0"/>
  </r>
  <r>
    <x v="172"/>
    <d v="2020-03-05T00:00:00"/>
    <x v="2"/>
    <n v="708"/>
    <n v="690"/>
    <x v="1"/>
    <n v="-708"/>
    <x v="0"/>
  </r>
  <r>
    <x v="172"/>
    <d v="2020-03-07T00:00:00"/>
    <x v="0"/>
    <n v="660"/>
    <n v="1350"/>
    <x v="1"/>
    <n v="660"/>
    <x v="0"/>
  </r>
  <r>
    <x v="172"/>
    <d v="2020-03-09T00:00:00"/>
    <x v="0"/>
    <n v="124"/>
    <n v="1474"/>
    <x v="1"/>
    <n v="124"/>
    <x v="0"/>
  </r>
  <r>
    <x v="172"/>
    <d v="2020-03-23T00:00:00"/>
    <x v="1"/>
    <n v="562"/>
    <n v="912"/>
    <x v="1"/>
    <n v="-562"/>
    <x v="0"/>
  </r>
  <r>
    <x v="172"/>
    <d v="2020-04-07T00:00:00"/>
    <x v="2"/>
    <n v="791"/>
    <n v="121"/>
    <x v="3"/>
    <n v="-791"/>
    <x v="0"/>
  </r>
  <r>
    <x v="173"/>
    <d v="2020-01-11T00:00:00"/>
    <x v="0"/>
    <n v="163"/>
    <n v="163"/>
    <x v="0"/>
    <n v="163"/>
    <x v="0"/>
  </r>
  <r>
    <x v="173"/>
    <d v="2020-01-11T00:00:00"/>
    <x v="0"/>
    <n v="979"/>
    <n v="1142"/>
    <x v="0"/>
    <n v="979"/>
    <x v="0"/>
  </r>
  <r>
    <x v="173"/>
    <d v="2020-02-11T00:00:00"/>
    <x v="2"/>
    <n v="821"/>
    <n v="321"/>
    <x v="2"/>
    <n v="-821"/>
    <x v="0"/>
  </r>
  <r>
    <x v="173"/>
    <d v="2020-02-23T00:00:00"/>
    <x v="1"/>
    <n v="637"/>
    <n v="-316"/>
    <x v="2"/>
    <n v="-637"/>
    <x v="1"/>
  </r>
  <r>
    <x v="173"/>
    <d v="2020-02-25T00:00:00"/>
    <x v="0"/>
    <n v="218"/>
    <n v="-98"/>
    <x v="2"/>
    <n v="218"/>
    <x v="1"/>
  </r>
  <r>
    <x v="173"/>
    <d v="2020-03-10T00:00:00"/>
    <x v="2"/>
    <n v="540"/>
    <n v="-638"/>
    <x v="1"/>
    <n v="-540"/>
    <x v="1"/>
  </r>
  <r>
    <x v="173"/>
    <d v="2020-03-15T00:00:00"/>
    <x v="2"/>
    <n v="855"/>
    <n v="-1493"/>
    <x v="1"/>
    <n v="-855"/>
    <x v="1"/>
  </r>
  <r>
    <x v="173"/>
    <d v="2020-03-18T00:00:00"/>
    <x v="2"/>
    <n v="607"/>
    <n v="-2100"/>
    <x v="1"/>
    <n v="-607"/>
    <x v="1"/>
  </r>
  <r>
    <x v="173"/>
    <d v="2020-03-20T00:00:00"/>
    <x v="0"/>
    <n v="965"/>
    <n v="-1135"/>
    <x v="1"/>
    <n v="965"/>
    <x v="1"/>
  </r>
  <r>
    <x v="173"/>
    <d v="2020-04-02T00:00:00"/>
    <x v="0"/>
    <n v="936"/>
    <n v="-199"/>
    <x v="3"/>
    <n v="936"/>
    <x v="1"/>
  </r>
  <r>
    <x v="173"/>
    <d v="2020-04-08T00:00:00"/>
    <x v="0"/>
    <n v="843"/>
    <n v="644"/>
    <x v="3"/>
    <n v="843"/>
    <x v="0"/>
  </r>
  <r>
    <x v="174"/>
    <d v="2020-01-14T00:00:00"/>
    <x v="0"/>
    <n v="300"/>
    <n v="300"/>
    <x v="0"/>
    <n v="300"/>
    <x v="0"/>
  </r>
  <r>
    <x v="174"/>
    <d v="2020-01-15T00:00:00"/>
    <x v="0"/>
    <n v="546"/>
    <n v="846"/>
    <x v="0"/>
    <n v="546"/>
    <x v="0"/>
  </r>
  <r>
    <x v="174"/>
    <d v="2020-01-20T00:00:00"/>
    <x v="0"/>
    <n v="53"/>
    <n v="899"/>
    <x v="0"/>
    <n v="53"/>
    <x v="0"/>
  </r>
  <r>
    <x v="174"/>
    <d v="2020-01-21T00:00:00"/>
    <x v="1"/>
    <n v="35"/>
    <n v="864"/>
    <x v="0"/>
    <n v="-35"/>
    <x v="0"/>
  </r>
  <r>
    <x v="174"/>
    <d v="2020-01-22T00:00:00"/>
    <x v="0"/>
    <n v="99"/>
    <n v="963"/>
    <x v="0"/>
    <n v="99"/>
    <x v="0"/>
  </r>
  <r>
    <x v="174"/>
    <d v="2020-01-24T00:00:00"/>
    <x v="2"/>
    <n v="754"/>
    <n v="209"/>
    <x v="0"/>
    <n v="-754"/>
    <x v="0"/>
  </r>
  <r>
    <x v="174"/>
    <d v="2020-01-31T00:00:00"/>
    <x v="1"/>
    <n v="535"/>
    <n v="-326"/>
    <x v="0"/>
    <n v="-535"/>
    <x v="1"/>
  </r>
  <r>
    <x v="174"/>
    <d v="2020-02-04T00:00:00"/>
    <x v="0"/>
    <n v="242"/>
    <n v="-84"/>
    <x v="2"/>
    <n v="242"/>
    <x v="1"/>
  </r>
  <r>
    <x v="174"/>
    <d v="2020-02-20T00:00:00"/>
    <x v="1"/>
    <n v="671"/>
    <n v="-755"/>
    <x v="2"/>
    <n v="-671"/>
    <x v="1"/>
  </r>
  <r>
    <x v="174"/>
    <d v="2020-03-06T00:00:00"/>
    <x v="1"/>
    <n v="505"/>
    <n v="-1260"/>
    <x v="1"/>
    <n v="-505"/>
    <x v="1"/>
  </r>
  <r>
    <x v="174"/>
    <d v="2020-03-08T00:00:00"/>
    <x v="2"/>
    <n v="336"/>
    <n v="-1596"/>
    <x v="1"/>
    <n v="-336"/>
    <x v="1"/>
  </r>
  <r>
    <x v="174"/>
    <d v="2020-03-10T00:00:00"/>
    <x v="2"/>
    <n v="201"/>
    <n v="-1797"/>
    <x v="1"/>
    <n v="-201"/>
    <x v="1"/>
  </r>
  <r>
    <x v="174"/>
    <d v="2020-03-15T00:00:00"/>
    <x v="2"/>
    <n v="135"/>
    <n v="-1932"/>
    <x v="1"/>
    <n v="-135"/>
    <x v="1"/>
  </r>
  <r>
    <x v="174"/>
    <d v="2020-03-17T00:00:00"/>
    <x v="0"/>
    <n v="110"/>
    <n v="-1822"/>
    <x v="1"/>
    <n v="110"/>
    <x v="1"/>
  </r>
  <r>
    <x v="174"/>
    <d v="2020-04-05T00:00:00"/>
    <x v="1"/>
    <n v="897"/>
    <n v="-2719"/>
    <x v="3"/>
    <n v="-897"/>
    <x v="1"/>
  </r>
  <r>
    <x v="174"/>
    <d v="2020-04-05T00:00:00"/>
    <x v="0"/>
    <n v="989"/>
    <n v="-1730"/>
    <x v="3"/>
    <n v="989"/>
    <x v="1"/>
  </r>
  <r>
    <x v="174"/>
    <d v="2020-04-06T00:00:00"/>
    <x v="0"/>
    <n v="181"/>
    <n v="-1549"/>
    <x v="3"/>
    <n v="181"/>
    <x v="1"/>
  </r>
  <r>
    <x v="175"/>
    <d v="2020-01-26T00:00:00"/>
    <x v="0"/>
    <n v="655"/>
    <n v="655"/>
    <x v="0"/>
    <n v="655"/>
    <x v="0"/>
  </r>
  <r>
    <x v="175"/>
    <d v="2020-02-04T00:00:00"/>
    <x v="2"/>
    <n v="828"/>
    <n v="-173"/>
    <x v="2"/>
    <n v="-828"/>
    <x v="1"/>
  </r>
  <r>
    <x v="175"/>
    <d v="2020-02-13T00:00:00"/>
    <x v="0"/>
    <n v="434"/>
    <n v="261"/>
    <x v="2"/>
    <n v="434"/>
    <x v="0"/>
  </r>
  <r>
    <x v="175"/>
    <d v="2020-02-16T00:00:00"/>
    <x v="0"/>
    <n v="344"/>
    <n v="605"/>
    <x v="2"/>
    <n v="344"/>
    <x v="0"/>
  </r>
  <r>
    <x v="175"/>
    <d v="2020-03-15T00:00:00"/>
    <x v="2"/>
    <n v="103"/>
    <n v="502"/>
    <x v="1"/>
    <n v="-103"/>
    <x v="0"/>
  </r>
  <r>
    <x v="175"/>
    <d v="2020-03-24T00:00:00"/>
    <x v="1"/>
    <n v="968"/>
    <n v="-466"/>
    <x v="1"/>
    <n v="-968"/>
    <x v="1"/>
  </r>
  <r>
    <x v="175"/>
    <d v="2020-03-27T00:00:00"/>
    <x v="2"/>
    <n v="65"/>
    <n v="-531"/>
    <x v="1"/>
    <n v="-65"/>
    <x v="1"/>
  </r>
  <r>
    <x v="175"/>
    <d v="2020-04-02T00:00:00"/>
    <x v="2"/>
    <n v="536"/>
    <n v="-1067"/>
    <x v="3"/>
    <n v="-536"/>
    <x v="1"/>
  </r>
  <r>
    <x v="176"/>
    <d v="2020-01-20T00:00:00"/>
    <x v="0"/>
    <n v="351"/>
    <n v="351"/>
    <x v="0"/>
    <n v="351"/>
    <x v="0"/>
  </r>
  <r>
    <x v="176"/>
    <d v="2020-01-22T00:00:00"/>
    <x v="0"/>
    <n v="54"/>
    <n v="405"/>
    <x v="0"/>
    <n v="54"/>
    <x v="0"/>
  </r>
  <r>
    <x v="176"/>
    <d v="2020-02-01T00:00:00"/>
    <x v="2"/>
    <n v="645"/>
    <n v="-240"/>
    <x v="2"/>
    <n v="-645"/>
    <x v="1"/>
  </r>
  <r>
    <x v="176"/>
    <d v="2020-02-08T00:00:00"/>
    <x v="0"/>
    <n v="802"/>
    <n v="562"/>
    <x v="2"/>
    <n v="802"/>
    <x v="0"/>
  </r>
  <r>
    <x v="176"/>
    <d v="2020-02-20T00:00:00"/>
    <x v="0"/>
    <n v="135"/>
    <n v="697"/>
    <x v="2"/>
    <n v="135"/>
    <x v="0"/>
  </r>
  <r>
    <x v="176"/>
    <d v="2020-02-22T00:00:00"/>
    <x v="2"/>
    <n v="853"/>
    <n v="-156"/>
    <x v="2"/>
    <n v="-853"/>
    <x v="1"/>
  </r>
  <r>
    <x v="176"/>
    <d v="2020-03-05T00:00:00"/>
    <x v="2"/>
    <n v="681"/>
    <n v="-837"/>
    <x v="1"/>
    <n v="-681"/>
    <x v="1"/>
  </r>
  <r>
    <x v="176"/>
    <d v="2020-03-09T00:00:00"/>
    <x v="0"/>
    <n v="706"/>
    <n v="-131"/>
    <x v="1"/>
    <n v="706"/>
    <x v="1"/>
  </r>
  <r>
    <x v="176"/>
    <d v="2020-03-12T00:00:00"/>
    <x v="1"/>
    <n v="832"/>
    <n v="-963"/>
    <x v="1"/>
    <n v="-832"/>
    <x v="1"/>
  </r>
  <r>
    <x v="176"/>
    <d v="2020-03-14T00:00:00"/>
    <x v="1"/>
    <n v="78"/>
    <n v="-1041"/>
    <x v="1"/>
    <n v="-78"/>
    <x v="1"/>
  </r>
  <r>
    <x v="176"/>
    <d v="2020-03-18T00:00:00"/>
    <x v="1"/>
    <n v="960"/>
    <n v="-2001"/>
    <x v="1"/>
    <n v="-960"/>
    <x v="1"/>
  </r>
  <r>
    <x v="176"/>
    <d v="2020-03-20T00:00:00"/>
    <x v="0"/>
    <n v="948"/>
    <n v="-1053"/>
    <x v="1"/>
    <n v="948"/>
    <x v="1"/>
  </r>
  <r>
    <x v="176"/>
    <d v="2020-03-21T00:00:00"/>
    <x v="0"/>
    <n v="411"/>
    <n v="-642"/>
    <x v="1"/>
    <n v="411"/>
    <x v="1"/>
  </r>
  <r>
    <x v="176"/>
    <d v="2020-03-23T00:00:00"/>
    <x v="0"/>
    <n v="772"/>
    <n v="130"/>
    <x v="1"/>
    <n v="772"/>
    <x v="0"/>
  </r>
  <r>
    <x v="176"/>
    <d v="2020-03-28T00:00:00"/>
    <x v="0"/>
    <n v="499"/>
    <n v="629"/>
    <x v="1"/>
    <n v="499"/>
    <x v="0"/>
  </r>
  <r>
    <x v="176"/>
    <d v="2020-03-30T00:00:00"/>
    <x v="0"/>
    <n v="171"/>
    <n v="800"/>
    <x v="1"/>
    <n v="171"/>
    <x v="0"/>
  </r>
  <r>
    <x v="176"/>
    <d v="2020-04-01T00:00:00"/>
    <x v="1"/>
    <n v="985"/>
    <n v="-185"/>
    <x v="3"/>
    <n v="-985"/>
    <x v="1"/>
  </r>
  <r>
    <x v="176"/>
    <d v="2020-04-15T00:00:00"/>
    <x v="1"/>
    <n v="789"/>
    <n v="-974"/>
    <x v="3"/>
    <n v="-789"/>
    <x v="1"/>
  </r>
  <r>
    <x v="177"/>
    <d v="2020-01-23T00:00:00"/>
    <x v="0"/>
    <n v="176"/>
    <n v="176"/>
    <x v="0"/>
    <n v="176"/>
    <x v="0"/>
  </r>
  <r>
    <x v="177"/>
    <d v="2020-01-23T00:00:00"/>
    <x v="0"/>
    <n v="76"/>
    <n v="252"/>
    <x v="0"/>
    <n v="76"/>
    <x v="0"/>
  </r>
  <r>
    <x v="177"/>
    <d v="2020-02-03T00:00:00"/>
    <x v="2"/>
    <n v="234"/>
    <n v="18"/>
    <x v="2"/>
    <n v="-234"/>
    <x v="0"/>
  </r>
  <r>
    <x v="177"/>
    <d v="2020-02-10T00:00:00"/>
    <x v="0"/>
    <n v="23"/>
    <n v="41"/>
    <x v="2"/>
    <n v="23"/>
    <x v="0"/>
  </r>
  <r>
    <x v="177"/>
    <d v="2020-02-14T00:00:00"/>
    <x v="1"/>
    <n v="97"/>
    <n v="-56"/>
    <x v="2"/>
    <n v="-97"/>
    <x v="1"/>
  </r>
  <r>
    <x v="177"/>
    <d v="2020-02-17T00:00:00"/>
    <x v="0"/>
    <n v="443"/>
    <n v="387"/>
    <x v="2"/>
    <n v="443"/>
    <x v="0"/>
  </r>
  <r>
    <x v="177"/>
    <d v="2020-03-10T00:00:00"/>
    <x v="2"/>
    <n v="387"/>
    <n v="0"/>
    <x v="1"/>
    <n v="-387"/>
    <x v="0"/>
  </r>
  <r>
    <x v="177"/>
    <d v="2020-03-10T00:00:00"/>
    <x v="0"/>
    <n v="800"/>
    <n v="800"/>
    <x v="1"/>
    <n v="800"/>
    <x v="0"/>
  </r>
  <r>
    <x v="177"/>
    <d v="2020-03-17T00:00:00"/>
    <x v="2"/>
    <n v="147"/>
    <n v="653"/>
    <x v="1"/>
    <n v="-147"/>
    <x v="0"/>
  </r>
  <r>
    <x v="177"/>
    <d v="2020-03-19T00:00:00"/>
    <x v="1"/>
    <n v="244"/>
    <n v="409"/>
    <x v="1"/>
    <n v="-244"/>
    <x v="0"/>
  </r>
  <r>
    <x v="177"/>
    <d v="2020-03-25T00:00:00"/>
    <x v="2"/>
    <n v="19"/>
    <n v="390"/>
    <x v="1"/>
    <n v="-19"/>
    <x v="0"/>
  </r>
  <r>
    <x v="177"/>
    <d v="2020-04-08T00:00:00"/>
    <x v="2"/>
    <n v="500"/>
    <n v="-110"/>
    <x v="3"/>
    <n v="-500"/>
    <x v="1"/>
  </r>
  <r>
    <x v="177"/>
    <d v="2020-04-15T00:00:00"/>
    <x v="1"/>
    <n v="898"/>
    <n v="-1008"/>
    <x v="3"/>
    <n v="-898"/>
    <x v="1"/>
  </r>
  <r>
    <x v="177"/>
    <d v="2020-04-19T00:00:00"/>
    <x v="1"/>
    <n v="975"/>
    <n v="-1983"/>
    <x v="3"/>
    <n v="-975"/>
    <x v="1"/>
  </r>
  <r>
    <x v="178"/>
    <d v="2020-01-05T00:00:00"/>
    <x v="0"/>
    <n v="19"/>
    <n v="19"/>
    <x v="0"/>
    <n v="19"/>
    <x v="0"/>
  </r>
  <r>
    <x v="178"/>
    <d v="2020-01-11T00:00:00"/>
    <x v="1"/>
    <n v="892"/>
    <n v="-873"/>
    <x v="0"/>
    <n v="-892"/>
    <x v="1"/>
  </r>
  <r>
    <x v="178"/>
    <d v="2020-01-13T00:00:00"/>
    <x v="0"/>
    <n v="470"/>
    <n v="-403"/>
    <x v="0"/>
    <n v="470"/>
    <x v="1"/>
  </r>
  <r>
    <x v="178"/>
    <d v="2020-01-14T00:00:00"/>
    <x v="1"/>
    <n v="882"/>
    <n v="-1285"/>
    <x v="0"/>
    <n v="-882"/>
    <x v="1"/>
  </r>
  <r>
    <x v="178"/>
    <d v="2020-01-26T00:00:00"/>
    <x v="0"/>
    <n v="58"/>
    <n v="-1227"/>
    <x v="0"/>
    <n v="58"/>
    <x v="1"/>
  </r>
  <r>
    <x v="178"/>
    <d v="2020-01-26T00:00:00"/>
    <x v="2"/>
    <n v="488"/>
    <n v="-1715"/>
    <x v="0"/>
    <n v="-488"/>
    <x v="1"/>
  </r>
  <r>
    <x v="178"/>
    <d v="2020-01-28T00:00:00"/>
    <x v="2"/>
    <n v="39"/>
    <n v="-1754"/>
    <x v="0"/>
    <n v="-39"/>
    <x v="1"/>
  </r>
  <r>
    <x v="178"/>
    <d v="2020-02-01T00:00:00"/>
    <x v="1"/>
    <n v="752"/>
    <n v="-2506"/>
    <x v="2"/>
    <n v="-752"/>
    <x v="1"/>
  </r>
  <r>
    <x v="178"/>
    <d v="2020-02-05T00:00:00"/>
    <x v="2"/>
    <n v="106"/>
    <n v="-2612"/>
    <x v="2"/>
    <n v="-106"/>
    <x v="1"/>
  </r>
  <r>
    <x v="178"/>
    <d v="2020-02-09T00:00:00"/>
    <x v="1"/>
    <n v="638"/>
    <n v="-3250"/>
    <x v="2"/>
    <n v="-638"/>
    <x v="1"/>
  </r>
  <r>
    <x v="178"/>
    <d v="2020-02-10T00:00:00"/>
    <x v="1"/>
    <n v="384"/>
    <n v="-3634"/>
    <x v="2"/>
    <n v="-384"/>
    <x v="1"/>
  </r>
  <r>
    <x v="178"/>
    <d v="2020-02-15T00:00:00"/>
    <x v="2"/>
    <n v="443"/>
    <n v="-4077"/>
    <x v="2"/>
    <n v="-443"/>
    <x v="1"/>
  </r>
  <r>
    <x v="178"/>
    <d v="2020-02-15T00:00:00"/>
    <x v="0"/>
    <n v="691"/>
    <n v="-3386"/>
    <x v="2"/>
    <n v="691"/>
    <x v="1"/>
  </r>
  <r>
    <x v="178"/>
    <d v="2020-03-05T00:00:00"/>
    <x v="1"/>
    <n v="300"/>
    <n v="-3686"/>
    <x v="1"/>
    <n v="-300"/>
    <x v="1"/>
  </r>
  <r>
    <x v="178"/>
    <d v="2020-03-05T00:00:00"/>
    <x v="2"/>
    <n v="740"/>
    <n v="-4426"/>
    <x v="1"/>
    <n v="-740"/>
    <x v="1"/>
  </r>
  <r>
    <x v="178"/>
    <d v="2020-03-11T00:00:00"/>
    <x v="2"/>
    <n v="831"/>
    <n v="-5257"/>
    <x v="1"/>
    <n v="-831"/>
    <x v="1"/>
  </r>
  <r>
    <x v="178"/>
    <d v="2020-03-14T00:00:00"/>
    <x v="1"/>
    <n v="688"/>
    <n v="-5945"/>
    <x v="1"/>
    <n v="-688"/>
    <x v="1"/>
  </r>
  <r>
    <x v="178"/>
    <d v="2020-03-17T00:00:00"/>
    <x v="2"/>
    <n v="283"/>
    <n v="-6228"/>
    <x v="1"/>
    <n v="-283"/>
    <x v="1"/>
  </r>
  <r>
    <x v="178"/>
    <d v="2020-03-19T00:00:00"/>
    <x v="1"/>
    <n v="597"/>
    <n v="-6825"/>
    <x v="1"/>
    <n v="-597"/>
    <x v="1"/>
  </r>
  <r>
    <x v="178"/>
    <d v="2020-03-20T00:00:00"/>
    <x v="0"/>
    <n v="516"/>
    <n v="-6309"/>
    <x v="1"/>
    <n v="516"/>
    <x v="1"/>
  </r>
  <r>
    <x v="178"/>
    <d v="2020-03-27T00:00:00"/>
    <x v="1"/>
    <n v="969"/>
    <n v="-7278"/>
    <x v="1"/>
    <n v="-969"/>
    <x v="1"/>
  </r>
  <r>
    <x v="178"/>
    <d v="2020-03-31T00:00:00"/>
    <x v="2"/>
    <n v="675"/>
    <n v="-7953"/>
    <x v="1"/>
    <n v="-675"/>
    <x v="1"/>
  </r>
  <r>
    <x v="179"/>
    <d v="2020-01-09T00:00:00"/>
    <x v="0"/>
    <n v="670"/>
    <n v="670"/>
    <x v="0"/>
    <n v="670"/>
    <x v="0"/>
  </r>
  <r>
    <x v="179"/>
    <d v="2020-01-13T00:00:00"/>
    <x v="1"/>
    <n v="556"/>
    <n v="114"/>
    <x v="0"/>
    <n v="-556"/>
    <x v="0"/>
  </r>
  <r>
    <x v="179"/>
    <d v="2020-01-25T00:00:00"/>
    <x v="2"/>
    <n v="952"/>
    <n v="-838"/>
    <x v="0"/>
    <n v="-952"/>
    <x v="1"/>
  </r>
  <r>
    <x v="179"/>
    <d v="2020-02-26T00:00:00"/>
    <x v="2"/>
    <n v="970"/>
    <n v="-1808"/>
    <x v="2"/>
    <n v="-970"/>
    <x v="1"/>
  </r>
  <r>
    <x v="179"/>
    <d v="2020-03-15T00:00:00"/>
    <x v="1"/>
    <n v="996"/>
    <n v="-2804"/>
    <x v="1"/>
    <n v="-996"/>
    <x v="1"/>
  </r>
  <r>
    <x v="179"/>
    <d v="2020-04-05T00:00:00"/>
    <x v="2"/>
    <n v="371"/>
    <n v="-3175"/>
    <x v="3"/>
    <n v="-371"/>
    <x v="1"/>
  </r>
  <r>
    <x v="180"/>
    <d v="2020-01-13T00:00:00"/>
    <x v="0"/>
    <n v="865"/>
    <n v="865"/>
    <x v="0"/>
    <n v="865"/>
    <x v="0"/>
  </r>
  <r>
    <x v="180"/>
    <d v="2020-01-15T00:00:00"/>
    <x v="1"/>
    <n v="176"/>
    <n v="689"/>
    <x v="0"/>
    <n v="-176"/>
    <x v="0"/>
  </r>
  <r>
    <x v="180"/>
    <d v="2020-01-17T00:00:00"/>
    <x v="2"/>
    <n v="370"/>
    <n v="319"/>
    <x v="0"/>
    <n v="-370"/>
    <x v="0"/>
  </r>
  <r>
    <x v="180"/>
    <d v="2020-01-22T00:00:00"/>
    <x v="0"/>
    <n v="669"/>
    <n v="988"/>
    <x v="0"/>
    <n v="669"/>
    <x v="0"/>
  </r>
  <r>
    <x v="180"/>
    <d v="2020-01-26T00:00:00"/>
    <x v="2"/>
    <n v="165"/>
    <n v="823"/>
    <x v="0"/>
    <n v="-165"/>
    <x v="0"/>
  </r>
  <r>
    <x v="180"/>
    <d v="2020-01-29T00:00:00"/>
    <x v="2"/>
    <n v="870"/>
    <n v="-47"/>
    <x v="0"/>
    <n v="-870"/>
    <x v="1"/>
  </r>
  <r>
    <x v="180"/>
    <d v="2020-02-06T00:00:00"/>
    <x v="1"/>
    <n v="712"/>
    <n v="-759"/>
    <x v="2"/>
    <n v="-712"/>
    <x v="1"/>
  </r>
  <r>
    <x v="180"/>
    <d v="2020-02-10T00:00:00"/>
    <x v="1"/>
    <n v="674"/>
    <n v="-1433"/>
    <x v="2"/>
    <n v="-674"/>
    <x v="1"/>
  </r>
  <r>
    <x v="180"/>
    <d v="2020-02-13T00:00:00"/>
    <x v="0"/>
    <n v="880"/>
    <n v="-553"/>
    <x v="2"/>
    <n v="880"/>
    <x v="1"/>
  </r>
  <r>
    <x v="180"/>
    <d v="2020-02-17T00:00:00"/>
    <x v="1"/>
    <n v="673"/>
    <n v="-1226"/>
    <x v="2"/>
    <n v="-673"/>
    <x v="1"/>
  </r>
  <r>
    <x v="180"/>
    <d v="2020-02-24T00:00:00"/>
    <x v="0"/>
    <n v="576"/>
    <n v="-650"/>
    <x v="2"/>
    <n v="576"/>
    <x v="1"/>
  </r>
  <r>
    <x v="180"/>
    <d v="2020-02-25T00:00:00"/>
    <x v="0"/>
    <n v="596"/>
    <n v="-54"/>
    <x v="2"/>
    <n v="596"/>
    <x v="1"/>
  </r>
  <r>
    <x v="180"/>
    <d v="2020-02-26T00:00:00"/>
    <x v="1"/>
    <n v="789"/>
    <n v="-843"/>
    <x v="2"/>
    <n v="-789"/>
    <x v="1"/>
  </r>
  <r>
    <x v="180"/>
    <d v="2020-03-12T00:00:00"/>
    <x v="2"/>
    <n v="349"/>
    <n v="-1192"/>
    <x v="1"/>
    <n v="-349"/>
    <x v="1"/>
  </r>
  <r>
    <x v="180"/>
    <d v="2020-03-22T00:00:00"/>
    <x v="2"/>
    <n v="365"/>
    <n v="-1557"/>
    <x v="1"/>
    <n v="-365"/>
    <x v="1"/>
  </r>
  <r>
    <x v="180"/>
    <d v="2020-03-23T00:00:00"/>
    <x v="2"/>
    <n v="384"/>
    <n v="-1941"/>
    <x v="1"/>
    <n v="-384"/>
    <x v="1"/>
  </r>
  <r>
    <x v="180"/>
    <d v="2020-03-24T00:00:00"/>
    <x v="1"/>
    <n v="339"/>
    <n v="-2280"/>
    <x v="1"/>
    <n v="-339"/>
    <x v="1"/>
  </r>
  <r>
    <x v="180"/>
    <d v="2020-03-27T00:00:00"/>
    <x v="2"/>
    <n v="360"/>
    <n v="-2640"/>
    <x v="1"/>
    <n v="-360"/>
    <x v="1"/>
  </r>
  <r>
    <x v="181"/>
    <d v="2020-01-08T00:00:00"/>
    <x v="0"/>
    <n v="97"/>
    <n v="97"/>
    <x v="0"/>
    <n v="97"/>
    <x v="0"/>
  </r>
  <r>
    <x v="181"/>
    <d v="2020-02-04T00:00:00"/>
    <x v="1"/>
    <n v="868"/>
    <n v="-771"/>
    <x v="2"/>
    <n v="-868"/>
    <x v="1"/>
  </r>
  <r>
    <x v="181"/>
    <d v="2020-02-23T00:00:00"/>
    <x v="0"/>
    <n v="447"/>
    <n v="-324"/>
    <x v="2"/>
    <n v="447"/>
    <x v="1"/>
  </r>
  <r>
    <x v="181"/>
    <d v="2020-02-24T00:00:00"/>
    <x v="2"/>
    <n v="321"/>
    <n v="-645"/>
    <x v="2"/>
    <n v="-321"/>
    <x v="1"/>
  </r>
  <r>
    <x v="181"/>
    <d v="2020-02-25T00:00:00"/>
    <x v="0"/>
    <n v="600"/>
    <n v="-45"/>
    <x v="2"/>
    <n v="600"/>
    <x v="1"/>
  </r>
  <r>
    <x v="181"/>
    <d v="2020-03-16T00:00:00"/>
    <x v="2"/>
    <n v="798"/>
    <n v="-843"/>
    <x v="1"/>
    <n v="-798"/>
    <x v="1"/>
  </r>
  <r>
    <x v="181"/>
    <d v="2020-04-01T00:00:00"/>
    <x v="2"/>
    <n v="239"/>
    <n v="-1082"/>
    <x v="3"/>
    <n v="-239"/>
    <x v="1"/>
  </r>
  <r>
    <x v="181"/>
    <d v="2020-04-05T00:00:00"/>
    <x v="0"/>
    <n v="923"/>
    <n v="-159"/>
    <x v="3"/>
    <n v="923"/>
    <x v="1"/>
  </r>
  <r>
    <x v="182"/>
    <d v="2020-01-22T00:00:00"/>
    <x v="0"/>
    <n v="101"/>
    <n v="101"/>
    <x v="0"/>
    <n v="101"/>
    <x v="0"/>
  </r>
  <r>
    <x v="182"/>
    <d v="2020-01-28T00:00:00"/>
    <x v="1"/>
    <n v="392"/>
    <n v="-291"/>
    <x v="0"/>
    <n v="-392"/>
    <x v="1"/>
  </r>
  <r>
    <x v="182"/>
    <d v="2020-01-29T00:00:00"/>
    <x v="0"/>
    <n v="743"/>
    <n v="452"/>
    <x v="0"/>
    <n v="743"/>
    <x v="0"/>
  </r>
  <r>
    <x v="182"/>
    <d v="2020-01-31T00:00:00"/>
    <x v="2"/>
    <n v="992"/>
    <n v="-540"/>
    <x v="0"/>
    <n v="-992"/>
    <x v="1"/>
  </r>
  <r>
    <x v="182"/>
    <d v="2020-02-09T00:00:00"/>
    <x v="1"/>
    <n v="37"/>
    <n v="-577"/>
    <x v="2"/>
    <n v="-37"/>
    <x v="1"/>
  </r>
  <r>
    <x v="182"/>
    <d v="2020-02-09T00:00:00"/>
    <x v="2"/>
    <n v="435"/>
    <n v="-1012"/>
    <x v="2"/>
    <n v="-435"/>
    <x v="1"/>
  </r>
  <r>
    <x v="182"/>
    <d v="2020-02-12T00:00:00"/>
    <x v="1"/>
    <n v="876"/>
    <n v="-1888"/>
    <x v="2"/>
    <n v="-876"/>
    <x v="1"/>
  </r>
  <r>
    <x v="182"/>
    <d v="2020-02-13T00:00:00"/>
    <x v="2"/>
    <n v="983"/>
    <n v="-2871"/>
    <x v="2"/>
    <n v="-983"/>
    <x v="1"/>
  </r>
  <r>
    <x v="182"/>
    <d v="2020-02-28T00:00:00"/>
    <x v="2"/>
    <n v="858"/>
    <n v="-3729"/>
    <x v="2"/>
    <n v="-858"/>
    <x v="1"/>
  </r>
  <r>
    <x v="182"/>
    <d v="2020-03-07T00:00:00"/>
    <x v="1"/>
    <n v="862"/>
    <n v="-4591"/>
    <x v="1"/>
    <n v="-862"/>
    <x v="1"/>
  </r>
  <r>
    <x v="182"/>
    <d v="2020-03-07T00:00:00"/>
    <x v="1"/>
    <n v="181"/>
    <n v="-4772"/>
    <x v="1"/>
    <n v="-181"/>
    <x v="1"/>
  </r>
  <r>
    <x v="182"/>
    <d v="2020-03-09T00:00:00"/>
    <x v="2"/>
    <n v="275"/>
    <n v="-5047"/>
    <x v="1"/>
    <n v="-275"/>
    <x v="1"/>
  </r>
  <r>
    <x v="182"/>
    <d v="2020-03-18T00:00:00"/>
    <x v="2"/>
    <n v="684"/>
    <n v="-5731"/>
    <x v="1"/>
    <n v="-684"/>
    <x v="1"/>
  </r>
  <r>
    <x v="182"/>
    <d v="2020-03-23T00:00:00"/>
    <x v="2"/>
    <n v="352"/>
    <n v="-6083"/>
    <x v="1"/>
    <n v="-352"/>
    <x v="1"/>
  </r>
  <r>
    <x v="182"/>
    <d v="2020-04-01T00:00:00"/>
    <x v="0"/>
    <n v="706"/>
    <n v="-5377"/>
    <x v="3"/>
    <n v="706"/>
    <x v="1"/>
  </r>
  <r>
    <x v="182"/>
    <d v="2020-04-01T00:00:00"/>
    <x v="2"/>
    <n v="22"/>
    <n v="-5399"/>
    <x v="3"/>
    <n v="-22"/>
    <x v="1"/>
  </r>
  <r>
    <x v="182"/>
    <d v="2020-04-10T00:00:00"/>
    <x v="0"/>
    <n v="173"/>
    <n v="-5226"/>
    <x v="3"/>
    <n v="173"/>
    <x v="1"/>
  </r>
  <r>
    <x v="182"/>
    <d v="2020-04-11T00:00:00"/>
    <x v="2"/>
    <n v="738"/>
    <n v="-5964"/>
    <x v="3"/>
    <n v="-738"/>
    <x v="1"/>
  </r>
  <r>
    <x v="182"/>
    <d v="2020-04-15T00:00:00"/>
    <x v="2"/>
    <n v="596"/>
    <n v="-6560"/>
    <x v="3"/>
    <n v="-596"/>
    <x v="1"/>
  </r>
  <r>
    <x v="183"/>
    <d v="2020-01-27T00:00:00"/>
    <x v="0"/>
    <n v="472"/>
    <n v="472"/>
    <x v="0"/>
    <n v="472"/>
    <x v="0"/>
  </r>
  <r>
    <x v="183"/>
    <d v="2020-02-02T00:00:00"/>
    <x v="0"/>
    <n v="952"/>
    <n v="1424"/>
    <x v="2"/>
    <n v="952"/>
    <x v="0"/>
  </r>
  <r>
    <x v="183"/>
    <d v="2020-02-06T00:00:00"/>
    <x v="1"/>
    <n v="807"/>
    <n v="617"/>
    <x v="2"/>
    <n v="-807"/>
    <x v="0"/>
  </r>
  <r>
    <x v="183"/>
    <d v="2020-02-10T00:00:00"/>
    <x v="2"/>
    <n v="61"/>
    <n v="556"/>
    <x v="2"/>
    <n v="-61"/>
    <x v="0"/>
  </r>
  <r>
    <x v="183"/>
    <d v="2020-02-15T00:00:00"/>
    <x v="0"/>
    <n v="475"/>
    <n v="1031"/>
    <x v="2"/>
    <n v="475"/>
    <x v="0"/>
  </r>
  <r>
    <x v="183"/>
    <d v="2020-02-15T00:00:00"/>
    <x v="1"/>
    <n v="713"/>
    <n v="318"/>
    <x v="2"/>
    <n v="-713"/>
    <x v="0"/>
  </r>
  <r>
    <x v="183"/>
    <d v="2020-02-17T00:00:00"/>
    <x v="1"/>
    <n v="649"/>
    <n v="-331"/>
    <x v="2"/>
    <n v="-649"/>
    <x v="1"/>
  </r>
  <r>
    <x v="183"/>
    <d v="2020-03-08T00:00:00"/>
    <x v="1"/>
    <n v="483"/>
    <n v="-814"/>
    <x v="1"/>
    <n v="-483"/>
    <x v="1"/>
  </r>
  <r>
    <x v="183"/>
    <d v="2020-03-09T00:00:00"/>
    <x v="1"/>
    <n v="220"/>
    <n v="-1034"/>
    <x v="1"/>
    <n v="-220"/>
    <x v="1"/>
  </r>
  <r>
    <x v="183"/>
    <d v="2020-03-10T00:00:00"/>
    <x v="1"/>
    <n v="541"/>
    <n v="-1575"/>
    <x v="1"/>
    <n v="-541"/>
    <x v="1"/>
  </r>
  <r>
    <x v="183"/>
    <d v="2020-03-13T00:00:00"/>
    <x v="2"/>
    <n v="45"/>
    <n v="-1620"/>
    <x v="1"/>
    <n v="-45"/>
    <x v="1"/>
  </r>
  <r>
    <x v="183"/>
    <d v="2020-03-26T00:00:00"/>
    <x v="2"/>
    <n v="910"/>
    <n v="-2530"/>
    <x v="1"/>
    <n v="-910"/>
    <x v="1"/>
  </r>
  <r>
    <x v="183"/>
    <d v="2020-04-03T00:00:00"/>
    <x v="0"/>
    <n v="253"/>
    <n v="-2277"/>
    <x v="3"/>
    <n v="253"/>
    <x v="1"/>
  </r>
  <r>
    <x v="183"/>
    <d v="2020-04-12T00:00:00"/>
    <x v="0"/>
    <n v="590"/>
    <n v="-1687"/>
    <x v="3"/>
    <n v="590"/>
    <x v="1"/>
  </r>
  <r>
    <x v="183"/>
    <d v="2020-04-20T00:00:00"/>
    <x v="0"/>
    <n v="129"/>
    <n v="-1558"/>
    <x v="3"/>
    <n v="129"/>
    <x v="1"/>
  </r>
  <r>
    <x v="183"/>
    <d v="2020-04-24T00:00:00"/>
    <x v="1"/>
    <n v="740"/>
    <n v="-2298"/>
    <x v="3"/>
    <n v="-740"/>
    <x v="1"/>
  </r>
  <r>
    <x v="183"/>
    <d v="2020-04-24T00:00:00"/>
    <x v="2"/>
    <n v="880"/>
    <n v="-3178"/>
    <x v="3"/>
    <n v="-880"/>
    <x v="1"/>
  </r>
  <r>
    <x v="184"/>
    <d v="2020-01-29T00:00:00"/>
    <x v="0"/>
    <n v="626"/>
    <n v="626"/>
    <x v="0"/>
    <n v="626"/>
    <x v="0"/>
  </r>
  <r>
    <x v="184"/>
    <d v="2020-02-01T00:00:00"/>
    <x v="0"/>
    <n v="786"/>
    <n v="1412"/>
    <x v="2"/>
    <n v="786"/>
    <x v="0"/>
  </r>
  <r>
    <x v="184"/>
    <d v="2020-02-04T00:00:00"/>
    <x v="1"/>
    <n v="193"/>
    <n v="1219"/>
    <x v="2"/>
    <n v="-193"/>
    <x v="0"/>
  </r>
  <r>
    <x v="184"/>
    <d v="2020-02-10T00:00:00"/>
    <x v="2"/>
    <n v="143"/>
    <n v="1076"/>
    <x v="2"/>
    <n v="-143"/>
    <x v="0"/>
  </r>
  <r>
    <x v="184"/>
    <d v="2020-02-14T00:00:00"/>
    <x v="2"/>
    <n v="640"/>
    <n v="436"/>
    <x v="2"/>
    <n v="-640"/>
    <x v="0"/>
  </r>
  <r>
    <x v="184"/>
    <d v="2020-02-27T00:00:00"/>
    <x v="1"/>
    <n v="447"/>
    <n v="-11"/>
    <x v="2"/>
    <n v="-447"/>
    <x v="1"/>
  </r>
  <r>
    <x v="184"/>
    <d v="2020-03-08T00:00:00"/>
    <x v="1"/>
    <n v="401"/>
    <n v="-412"/>
    <x v="1"/>
    <n v="-401"/>
    <x v="1"/>
  </r>
  <r>
    <x v="184"/>
    <d v="2020-03-21T00:00:00"/>
    <x v="0"/>
    <n v="791"/>
    <n v="379"/>
    <x v="1"/>
    <n v="791"/>
    <x v="0"/>
  </r>
  <r>
    <x v="184"/>
    <d v="2020-03-27T00:00:00"/>
    <x v="2"/>
    <n v="642"/>
    <n v="-263"/>
    <x v="1"/>
    <n v="-642"/>
    <x v="1"/>
  </r>
  <r>
    <x v="184"/>
    <d v="2020-03-30T00:00:00"/>
    <x v="1"/>
    <n v="738"/>
    <n v="-1001"/>
    <x v="1"/>
    <n v="-738"/>
    <x v="1"/>
  </r>
  <r>
    <x v="184"/>
    <d v="2020-04-07T00:00:00"/>
    <x v="1"/>
    <n v="366"/>
    <n v="-1367"/>
    <x v="3"/>
    <n v="-366"/>
    <x v="1"/>
  </r>
  <r>
    <x v="184"/>
    <d v="2020-04-08T00:00:00"/>
    <x v="2"/>
    <n v="224"/>
    <n v="-1591"/>
    <x v="3"/>
    <n v="-224"/>
    <x v="1"/>
  </r>
  <r>
    <x v="184"/>
    <d v="2020-04-08T00:00:00"/>
    <x v="1"/>
    <n v="521"/>
    <n v="-2112"/>
    <x v="3"/>
    <n v="-521"/>
    <x v="1"/>
  </r>
  <r>
    <x v="184"/>
    <d v="2020-04-12T00:00:00"/>
    <x v="0"/>
    <n v="825"/>
    <n v="-1287"/>
    <x v="3"/>
    <n v="825"/>
    <x v="1"/>
  </r>
  <r>
    <x v="184"/>
    <d v="2020-04-12T00:00:00"/>
    <x v="0"/>
    <n v="466"/>
    <n v="-821"/>
    <x v="3"/>
    <n v="466"/>
    <x v="1"/>
  </r>
  <r>
    <x v="184"/>
    <d v="2020-04-15T00:00:00"/>
    <x v="2"/>
    <n v="917"/>
    <n v="-1738"/>
    <x v="3"/>
    <n v="-917"/>
    <x v="1"/>
  </r>
  <r>
    <x v="184"/>
    <d v="2020-04-20T00:00:00"/>
    <x v="1"/>
    <n v="499"/>
    <n v="-2237"/>
    <x v="3"/>
    <n v="-499"/>
    <x v="1"/>
  </r>
  <r>
    <x v="184"/>
    <d v="2020-04-22T00:00:00"/>
    <x v="0"/>
    <n v="884"/>
    <n v="-1353"/>
    <x v="3"/>
    <n v="884"/>
    <x v="1"/>
  </r>
  <r>
    <x v="184"/>
    <d v="2020-04-24T00:00:00"/>
    <x v="0"/>
    <n v="848"/>
    <n v="-505"/>
    <x v="3"/>
    <n v="848"/>
    <x v="1"/>
  </r>
  <r>
    <x v="185"/>
    <d v="2020-01-17T00:00:00"/>
    <x v="0"/>
    <n v="968"/>
    <n v="968"/>
    <x v="0"/>
    <n v="968"/>
    <x v="0"/>
  </r>
  <r>
    <x v="185"/>
    <d v="2020-01-27T00:00:00"/>
    <x v="2"/>
    <n v="351"/>
    <n v="617"/>
    <x v="0"/>
    <n v="-351"/>
    <x v="0"/>
  </r>
  <r>
    <x v="185"/>
    <d v="2020-01-31T00:00:00"/>
    <x v="2"/>
    <n v="83"/>
    <n v="534"/>
    <x v="0"/>
    <n v="-83"/>
    <x v="0"/>
  </r>
  <r>
    <x v="185"/>
    <d v="2020-02-03T00:00:00"/>
    <x v="1"/>
    <n v="368"/>
    <n v="166"/>
    <x v="2"/>
    <n v="-368"/>
    <x v="0"/>
  </r>
  <r>
    <x v="185"/>
    <d v="2020-02-09T00:00:00"/>
    <x v="0"/>
    <n v="354"/>
    <n v="520"/>
    <x v="2"/>
    <n v="354"/>
    <x v="0"/>
  </r>
  <r>
    <x v="185"/>
    <d v="2020-02-14T00:00:00"/>
    <x v="0"/>
    <n v="259"/>
    <n v="779"/>
    <x v="2"/>
    <n v="259"/>
    <x v="0"/>
  </r>
  <r>
    <x v="185"/>
    <d v="2020-02-25T00:00:00"/>
    <x v="1"/>
    <n v="267"/>
    <n v="512"/>
    <x v="2"/>
    <n v="-267"/>
    <x v="0"/>
  </r>
  <r>
    <x v="185"/>
    <d v="2020-02-27T00:00:00"/>
    <x v="0"/>
    <n v="833"/>
    <n v="1345"/>
    <x v="2"/>
    <n v="833"/>
    <x v="0"/>
  </r>
  <r>
    <x v="185"/>
    <d v="2020-03-05T00:00:00"/>
    <x v="1"/>
    <n v="780"/>
    <n v="565"/>
    <x v="1"/>
    <n v="-780"/>
    <x v="0"/>
  </r>
  <r>
    <x v="185"/>
    <d v="2020-03-06T00:00:00"/>
    <x v="1"/>
    <n v="93"/>
    <n v="472"/>
    <x v="1"/>
    <n v="-93"/>
    <x v="0"/>
  </r>
  <r>
    <x v="185"/>
    <d v="2020-03-09T00:00:00"/>
    <x v="0"/>
    <n v="943"/>
    <n v="1415"/>
    <x v="1"/>
    <n v="943"/>
    <x v="0"/>
  </r>
  <r>
    <x v="185"/>
    <d v="2020-03-11T00:00:00"/>
    <x v="1"/>
    <n v="130"/>
    <n v="1285"/>
    <x v="1"/>
    <n v="-130"/>
    <x v="0"/>
  </r>
  <r>
    <x v="185"/>
    <d v="2020-03-23T00:00:00"/>
    <x v="2"/>
    <n v="641"/>
    <n v="644"/>
    <x v="1"/>
    <n v="-641"/>
    <x v="0"/>
  </r>
  <r>
    <x v="185"/>
    <d v="2020-03-25T00:00:00"/>
    <x v="0"/>
    <n v="798"/>
    <n v="1442"/>
    <x v="1"/>
    <n v="798"/>
    <x v="0"/>
  </r>
  <r>
    <x v="185"/>
    <d v="2020-03-27T00:00:00"/>
    <x v="0"/>
    <n v="488"/>
    <n v="1930"/>
    <x v="1"/>
    <n v="488"/>
    <x v="0"/>
  </r>
  <r>
    <x v="185"/>
    <d v="2020-04-07T00:00:00"/>
    <x v="2"/>
    <n v="640"/>
    <n v="1290"/>
    <x v="3"/>
    <n v="-640"/>
    <x v="0"/>
  </r>
  <r>
    <x v="185"/>
    <d v="2020-04-08T00:00:00"/>
    <x v="0"/>
    <n v="490"/>
    <n v="1780"/>
    <x v="3"/>
    <n v="490"/>
    <x v="0"/>
  </r>
  <r>
    <x v="185"/>
    <d v="2020-04-08T00:00:00"/>
    <x v="1"/>
    <n v="743"/>
    <n v="1037"/>
    <x v="3"/>
    <n v="-743"/>
    <x v="0"/>
  </r>
  <r>
    <x v="185"/>
    <d v="2020-04-12T00:00:00"/>
    <x v="0"/>
    <n v="247"/>
    <n v="1284"/>
    <x v="3"/>
    <n v="247"/>
    <x v="0"/>
  </r>
  <r>
    <x v="186"/>
    <d v="2020-01-26T00:00:00"/>
    <x v="1"/>
    <n v="810"/>
    <n v="-810"/>
    <x v="0"/>
    <n v="-810"/>
    <x v="1"/>
  </r>
  <r>
    <x v="186"/>
    <d v="2020-01-26T00:00:00"/>
    <x v="0"/>
    <n v="599"/>
    <n v="-211"/>
    <x v="0"/>
    <n v="599"/>
    <x v="1"/>
  </r>
  <r>
    <x v="186"/>
    <d v="2020-02-05T00:00:00"/>
    <x v="1"/>
    <n v="523"/>
    <n v="-734"/>
    <x v="2"/>
    <n v="-523"/>
    <x v="1"/>
  </r>
  <r>
    <x v="186"/>
    <d v="2020-02-16T00:00:00"/>
    <x v="1"/>
    <n v="254"/>
    <n v="-988"/>
    <x v="2"/>
    <n v="-254"/>
    <x v="1"/>
  </r>
  <r>
    <x v="186"/>
    <d v="2020-02-19T00:00:00"/>
    <x v="2"/>
    <n v="439"/>
    <n v="-1427"/>
    <x v="2"/>
    <n v="-439"/>
    <x v="1"/>
  </r>
  <r>
    <x v="186"/>
    <d v="2020-02-22T00:00:00"/>
    <x v="0"/>
    <n v="48"/>
    <n v="-1379"/>
    <x v="2"/>
    <n v="48"/>
    <x v="1"/>
  </r>
  <r>
    <x v="186"/>
    <d v="2020-03-04T00:00:00"/>
    <x v="1"/>
    <n v="753"/>
    <n v="-2132"/>
    <x v="1"/>
    <n v="-753"/>
    <x v="1"/>
  </r>
  <r>
    <x v="186"/>
    <d v="2020-03-21T00:00:00"/>
    <x v="1"/>
    <n v="791"/>
    <n v="-2923"/>
    <x v="1"/>
    <n v="-791"/>
    <x v="1"/>
  </r>
  <r>
    <x v="186"/>
    <d v="2020-03-23T00:00:00"/>
    <x v="1"/>
    <n v="137"/>
    <n v="-3060"/>
    <x v="1"/>
    <n v="-137"/>
    <x v="1"/>
  </r>
  <r>
    <x v="186"/>
    <d v="2020-04-06T00:00:00"/>
    <x v="0"/>
    <n v="928"/>
    <n v="-2132"/>
    <x v="3"/>
    <n v="928"/>
    <x v="1"/>
  </r>
  <r>
    <x v="186"/>
    <d v="2020-04-18T00:00:00"/>
    <x v="1"/>
    <n v="140"/>
    <n v="-2272"/>
    <x v="3"/>
    <n v="-140"/>
    <x v="1"/>
  </r>
  <r>
    <x v="187"/>
    <d v="2020-01-13T00:00:00"/>
    <x v="0"/>
    <n v="601"/>
    <n v="601"/>
    <x v="0"/>
    <n v="601"/>
    <x v="0"/>
  </r>
  <r>
    <x v="187"/>
    <d v="2020-01-22T00:00:00"/>
    <x v="2"/>
    <n v="340"/>
    <n v="261"/>
    <x v="0"/>
    <n v="-340"/>
    <x v="0"/>
  </r>
  <r>
    <x v="187"/>
    <d v="2020-01-27T00:00:00"/>
    <x v="2"/>
    <n v="632"/>
    <n v="-371"/>
    <x v="0"/>
    <n v="-632"/>
    <x v="1"/>
  </r>
  <r>
    <x v="187"/>
    <d v="2020-01-29T00:00:00"/>
    <x v="0"/>
    <n v="259"/>
    <n v="-112"/>
    <x v="0"/>
    <n v="259"/>
    <x v="1"/>
  </r>
  <r>
    <x v="187"/>
    <d v="2020-01-31T00:00:00"/>
    <x v="2"/>
    <n v="72"/>
    <n v="-184"/>
    <x v="0"/>
    <n v="-72"/>
    <x v="1"/>
  </r>
  <r>
    <x v="187"/>
    <d v="2020-02-11T00:00:00"/>
    <x v="0"/>
    <n v="809"/>
    <n v="625"/>
    <x v="2"/>
    <n v="809"/>
    <x v="0"/>
  </r>
  <r>
    <x v="187"/>
    <d v="2020-02-15T00:00:00"/>
    <x v="0"/>
    <n v="459"/>
    <n v="1084"/>
    <x v="2"/>
    <n v="459"/>
    <x v="0"/>
  </r>
  <r>
    <x v="187"/>
    <d v="2020-02-20T00:00:00"/>
    <x v="2"/>
    <n v="770"/>
    <n v="314"/>
    <x v="2"/>
    <n v="-770"/>
    <x v="0"/>
  </r>
  <r>
    <x v="187"/>
    <d v="2020-02-24T00:00:00"/>
    <x v="0"/>
    <n v="699"/>
    <n v="1013"/>
    <x v="2"/>
    <n v="699"/>
    <x v="0"/>
  </r>
  <r>
    <x v="187"/>
    <d v="2020-03-06T00:00:00"/>
    <x v="2"/>
    <n v="743"/>
    <n v="270"/>
    <x v="1"/>
    <n v="-743"/>
    <x v="0"/>
  </r>
  <r>
    <x v="187"/>
    <d v="2020-03-10T00:00:00"/>
    <x v="0"/>
    <n v="587"/>
    <n v="857"/>
    <x v="1"/>
    <n v="587"/>
    <x v="0"/>
  </r>
  <r>
    <x v="187"/>
    <d v="2020-03-29T00:00:00"/>
    <x v="2"/>
    <n v="314"/>
    <n v="543"/>
    <x v="1"/>
    <n v="-314"/>
    <x v="0"/>
  </r>
  <r>
    <x v="187"/>
    <d v="2020-03-30T00:00:00"/>
    <x v="1"/>
    <n v="491"/>
    <n v="52"/>
    <x v="1"/>
    <n v="-491"/>
    <x v="0"/>
  </r>
  <r>
    <x v="187"/>
    <d v="2020-04-02T00:00:00"/>
    <x v="1"/>
    <n v="473"/>
    <n v="-421"/>
    <x v="3"/>
    <n v="-473"/>
    <x v="1"/>
  </r>
  <r>
    <x v="187"/>
    <d v="2020-04-07T00:00:00"/>
    <x v="1"/>
    <n v="54"/>
    <n v="-475"/>
    <x v="3"/>
    <n v="-54"/>
    <x v="1"/>
  </r>
  <r>
    <x v="188"/>
    <d v="2020-01-11T00:00:00"/>
    <x v="0"/>
    <n v="304"/>
    <n v="304"/>
    <x v="0"/>
    <n v="304"/>
    <x v="0"/>
  </r>
  <r>
    <x v="188"/>
    <d v="2020-01-12T00:00:00"/>
    <x v="0"/>
    <n v="373"/>
    <n v="677"/>
    <x v="0"/>
    <n v="373"/>
    <x v="0"/>
  </r>
  <r>
    <x v="188"/>
    <d v="2020-01-22T00:00:00"/>
    <x v="0"/>
    <n v="302"/>
    <n v="979"/>
    <x v="0"/>
    <n v="302"/>
    <x v="0"/>
  </r>
  <r>
    <x v="188"/>
    <d v="2020-01-27T00:00:00"/>
    <x v="2"/>
    <n v="861"/>
    <n v="118"/>
    <x v="0"/>
    <n v="-861"/>
    <x v="0"/>
  </r>
  <r>
    <x v="188"/>
    <d v="2020-01-30T00:00:00"/>
    <x v="1"/>
    <n v="956"/>
    <n v="-838"/>
    <x v="0"/>
    <n v="-956"/>
    <x v="1"/>
  </r>
  <r>
    <x v="188"/>
    <d v="2020-02-03T00:00:00"/>
    <x v="2"/>
    <n v="870"/>
    <n v="-1708"/>
    <x v="2"/>
    <n v="-870"/>
    <x v="1"/>
  </r>
  <r>
    <x v="188"/>
    <d v="2020-02-06T00:00:00"/>
    <x v="1"/>
    <n v="393"/>
    <n v="-2101"/>
    <x v="2"/>
    <n v="-393"/>
    <x v="1"/>
  </r>
  <r>
    <x v="188"/>
    <d v="2020-03-17T00:00:00"/>
    <x v="1"/>
    <n v="726"/>
    <n v="-2827"/>
    <x v="1"/>
    <n v="-726"/>
    <x v="1"/>
  </r>
  <r>
    <x v="188"/>
    <d v="2020-03-18T00:00:00"/>
    <x v="2"/>
    <n v="462"/>
    <n v="-3289"/>
    <x v="1"/>
    <n v="-462"/>
    <x v="1"/>
  </r>
  <r>
    <x v="188"/>
    <d v="2020-03-22T00:00:00"/>
    <x v="1"/>
    <n v="718"/>
    <n v="-4007"/>
    <x v="1"/>
    <n v="-718"/>
    <x v="1"/>
  </r>
  <r>
    <x v="189"/>
    <d v="2020-01-26T00:00:00"/>
    <x v="0"/>
    <n v="14"/>
    <n v="14"/>
    <x v="0"/>
    <n v="14"/>
    <x v="0"/>
  </r>
  <r>
    <x v="189"/>
    <d v="2020-02-19T00:00:00"/>
    <x v="0"/>
    <n v="445"/>
    <n v="459"/>
    <x v="2"/>
    <n v="445"/>
    <x v="0"/>
  </r>
  <r>
    <x v="189"/>
    <d v="2020-03-06T00:00:00"/>
    <x v="1"/>
    <n v="449"/>
    <n v="10"/>
    <x v="1"/>
    <n v="-449"/>
    <x v="0"/>
  </r>
  <r>
    <x v="189"/>
    <d v="2020-03-24T00:00:00"/>
    <x v="0"/>
    <n v="513"/>
    <n v="523"/>
    <x v="1"/>
    <n v="513"/>
    <x v="0"/>
  </r>
  <r>
    <x v="189"/>
    <d v="2020-04-06T00:00:00"/>
    <x v="0"/>
    <n v="655"/>
    <n v="1178"/>
    <x v="3"/>
    <n v="655"/>
    <x v="0"/>
  </r>
  <r>
    <x v="190"/>
    <d v="2020-01-16T00:00:00"/>
    <x v="0"/>
    <n v="769"/>
    <n v="769"/>
    <x v="0"/>
    <n v="769"/>
    <x v="0"/>
  </r>
  <r>
    <x v="190"/>
    <d v="2020-01-20T00:00:00"/>
    <x v="0"/>
    <n v="863"/>
    <n v="1632"/>
    <x v="0"/>
    <n v="863"/>
    <x v="0"/>
  </r>
  <r>
    <x v="190"/>
    <d v="2020-02-02T00:00:00"/>
    <x v="0"/>
    <n v="143"/>
    <n v="1775"/>
    <x v="2"/>
    <n v="143"/>
    <x v="0"/>
  </r>
  <r>
    <x v="190"/>
    <d v="2020-02-10T00:00:00"/>
    <x v="2"/>
    <n v="469"/>
    <n v="1306"/>
    <x v="2"/>
    <n v="-469"/>
    <x v="0"/>
  </r>
  <r>
    <x v="190"/>
    <d v="2020-03-26T00:00:00"/>
    <x v="1"/>
    <n v="270"/>
    <n v="1036"/>
    <x v="1"/>
    <n v="-270"/>
    <x v="0"/>
  </r>
  <r>
    <x v="190"/>
    <d v="2020-04-09T00:00:00"/>
    <x v="2"/>
    <n v="157"/>
    <n v="879"/>
    <x v="3"/>
    <n v="-157"/>
    <x v="0"/>
  </r>
  <r>
    <x v="191"/>
    <d v="2020-01-20T00:00:00"/>
    <x v="0"/>
    <n v="906"/>
    <n v="906"/>
    <x v="0"/>
    <n v="906"/>
    <x v="0"/>
  </r>
  <r>
    <x v="191"/>
    <d v="2020-01-22T00:00:00"/>
    <x v="0"/>
    <n v="735"/>
    <n v="1641"/>
    <x v="0"/>
    <n v="735"/>
    <x v="0"/>
  </r>
  <r>
    <x v="191"/>
    <d v="2020-01-30T00:00:00"/>
    <x v="0"/>
    <n v="885"/>
    <n v="2526"/>
    <x v="0"/>
    <n v="885"/>
    <x v="0"/>
  </r>
  <r>
    <x v="191"/>
    <d v="2020-02-04T00:00:00"/>
    <x v="0"/>
    <n v="686"/>
    <n v="3212"/>
    <x v="2"/>
    <n v="686"/>
    <x v="0"/>
  </r>
  <r>
    <x v="191"/>
    <d v="2020-02-12T00:00:00"/>
    <x v="0"/>
    <n v="360"/>
    <n v="3572"/>
    <x v="2"/>
    <n v="360"/>
    <x v="0"/>
  </r>
  <r>
    <x v="191"/>
    <d v="2020-02-14T00:00:00"/>
    <x v="1"/>
    <n v="640"/>
    <n v="2932"/>
    <x v="2"/>
    <n v="-640"/>
    <x v="0"/>
  </r>
  <r>
    <x v="191"/>
    <d v="2020-02-14T00:00:00"/>
    <x v="2"/>
    <n v="672"/>
    <n v="2260"/>
    <x v="2"/>
    <n v="-672"/>
    <x v="0"/>
  </r>
  <r>
    <x v="191"/>
    <d v="2020-02-14T00:00:00"/>
    <x v="2"/>
    <n v="405"/>
    <n v="1855"/>
    <x v="2"/>
    <n v="-405"/>
    <x v="0"/>
  </r>
  <r>
    <x v="191"/>
    <d v="2020-02-22T00:00:00"/>
    <x v="1"/>
    <n v="773"/>
    <n v="1082"/>
    <x v="2"/>
    <n v="-773"/>
    <x v="0"/>
  </r>
  <r>
    <x v="191"/>
    <d v="2020-02-24T00:00:00"/>
    <x v="1"/>
    <n v="949"/>
    <n v="133"/>
    <x v="2"/>
    <n v="-949"/>
    <x v="0"/>
  </r>
  <r>
    <x v="191"/>
    <d v="2020-02-24T00:00:00"/>
    <x v="0"/>
    <n v="42"/>
    <n v="175"/>
    <x v="2"/>
    <n v="42"/>
    <x v="0"/>
  </r>
  <r>
    <x v="191"/>
    <d v="2020-02-26T00:00:00"/>
    <x v="2"/>
    <n v="355"/>
    <n v="-180"/>
    <x v="2"/>
    <n v="-355"/>
    <x v="1"/>
  </r>
  <r>
    <x v="191"/>
    <d v="2020-02-28T00:00:00"/>
    <x v="2"/>
    <n v="663"/>
    <n v="-843"/>
    <x v="2"/>
    <n v="-663"/>
    <x v="1"/>
  </r>
  <r>
    <x v="191"/>
    <d v="2020-02-29T00:00:00"/>
    <x v="0"/>
    <n v="154"/>
    <n v="-689"/>
    <x v="2"/>
    <n v="154"/>
    <x v="1"/>
  </r>
  <r>
    <x v="191"/>
    <d v="2020-03-04T00:00:00"/>
    <x v="1"/>
    <n v="694"/>
    <n v="-1383"/>
    <x v="1"/>
    <n v="-694"/>
    <x v="1"/>
  </r>
  <r>
    <x v="191"/>
    <d v="2020-03-17T00:00:00"/>
    <x v="2"/>
    <n v="250"/>
    <n v="-1633"/>
    <x v="1"/>
    <n v="-250"/>
    <x v="1"/>
  </r>
  <r>
    <x v="191"/>
    <d v="2020-03-21T00:00:00"/>
    <x v="0"/>
    <n v="746"/>
    <n v="-887"/>
    <x v="1"/>
    <n v="746"/>
    <x v="1"/>
  </r>
  <r>
    <x v="191"/>
    <d v="2020-03-23T00:00:00"/>
    <x v="0"/>
    <n v="938"/>
    <n v="51"/>
    <x v="1"/>
    <n v="938"/>
    <x v="0"/>
  </r>
  <r>
    <x v="191"/>
    <d v="2020-03-27T00:00:00"/>
    <x v="1"/>
    <n v="253"/>
    <n v="-202"/>
    <x v="1"/>
    <n v="-253"/>
    <x v="1"/>
  </r>
  <r>
    <x v="191"/>
    <d v="2020-03-31T00:00:00"/>
    <x v="0"/>
    <n v="585"/>
    <n v="383"/>
    <x v="1"/>
    <n v="585"/>
    <x v="0"/>
  </r>
  <r>
    <x v="191"/>
    <d v="2020-04-13T00:00:00"/>
    <x v="0"/>
    <n v="756"/>
    <n v="1139"/>
    <x v="3"/>
    <n v="756"/>
    <x v="0"/>
  </r>
  <r>
    <x v="192"/>
    <d v="2020-01-12T00:00:00"/>
    <x v="0"/>
    <n v="689"/>
    <n v="689"/>
    <x v="0"/>
    <n v="689"/>
    <x v="0"/>
  </r>
  <r>
    <x v="192"/>
    <d v="2020-03-02T00:00:00"/>
    <x v="1"/>
    <n v="203"/>
    <n v="486"/>
    <x v="1"/>
    <n v="-203"/>
    <x v="0"/>
  </r>
  <r>
    <x v="193"/>
    <d v="2020-01-28T00:00:00"/>
    <x v="0"/>
    <n v="137"/>
    <n v="137"/>
    <x v="0"/>
    <n v="137"/>
    <x v="0"/>
  </r>
  <r>
    <x v="193"/>
    <d v="2020-02-01T00:00:00"/>
    <x v="2"/>
    <n v="785"/>
    <n v="-648"/>
    <x v="2"/>
    <n v="-785"/>
    <x v="1"/>
  </r>
  <r>
    <x v="193"/>
    <d v="2020-02-01T00:00:00"/>
    <x v="1"/>
    <n v="634"/>
    <n v="-1282"/>
    <x v="2"/>
    <n v="-634"/>
    <x v="1"/>
  </r>
  <r>
    <x v="193"/>
    <d v="2020-02-18T00:00:00"/>
    <x v="1"/>
    <n v="965"/>
    <n v="-2247"/>
    <x v="2"/>
    <n v="-965"/>
    <x v="1"/>
  </r>
  <r>
    <x v="193"/>
    <d v="2020-02-29T00:00:00"/>
    <x v="0"/>
    <n v="36"/>
    <n v="-2211"/>
    <x v="2"/>
    <n v="36"/>
    <x v="1"/>
  </r>
  <r>
    <x v="193"/>
    <d v="2020-03-01T00:00:00"/>
    <x v="0"/>
    <n v="454"/>
    <n v="-1757"/>
    <x v="1"/>
    <n v="454"/>
    <x v="1"/>
  </r>
  <r>
    <x v="193"/>
    <d v="2020-03-02T00:00:00"/>
    <x v="2"/>
    <n v="695"/>
    <n v="-2452"/>
    <x v="1"/>
    <n v="-695"/>
    <x v="1"/>
  </r>
  <r>
    <x v="193"/>
    <d v="2020-03-06T00:00:00"/>
    <x v="2"/>
    <n v="532"/>
    <n v="-2984"/>
    <x v="1"/>
    <n v="-532"/>
    <x v="1"/>
  </r>
  <r>
    <x v="193"/>
    <d v="2020-03-10T00:00:00"/>
    <x v="0"/>
    <n v="769"/>
    <n v="-2215"/>
    <x v="1"/>
    <n v="769"/>
    <x v="1"/>
  </r>
  <r>
    <x v="193"/>
    <d v="2020-03-10T00:00:00"/>
    <x v="0"/>
    <n v="475"/>
    <n v="-1740"/>
    <x v="1"/>
    <n v="475"/>
    <x v="1"/>
  </r>
  <r>
    <x v="193"/>
    <d v="2020-03-14T00:00:00"/>
    <x v="0"/>
    <n v="220"/>
    <n v="-1520"/>
    <x v="1"/>
    <n v="220"/>
    <x v="1"/>
  </r>
  <r>
    <x v="193"/>
    <d v="2020-03-15T00:00:00"/>
    <x v="0"/>
    <n v="392"/>
    <n v="-1128"/>
    <x v="1"/>
    <n v="392"/>
    <x v="1"/>
  </r>
  <r>
    <x v="193"/>
    <d v="2020-03-16T00:00:00"/>
    <x v="0"/>
    <n v="601"/>
    <n v="-527"/>
    <x v="1"/>
    <n v="601"/>
    <x v="1"/>
  </r>
  <r>
    <x v="193"/>
    <d v="2020-03-24T00:00:00"/>
    <x v="0"/>
    <n v="705"/>
    <n v="178"/>
    <x v="1"/>
    <n v="705"/>
    <x v="0"/>
  </r>
  <r>
    <x v="193"/>
    <d v="2020-04-04T00:00:00"/>
    <x v="2"/>
    <n v="941"/>
    <n v="-763"/>
    <x v="3"/>
    <n v="-941"/>
    <x v="1"/>
  </r>
  <r>
    <x v="193"/>
    <d v="2020-04-05T00:00:00"/>
    <x v="0"/>
    <n v="347"/>
    <n v="-416"/>
    <x v="3"/>
    <n v="347"/>
    <x v="1"/>
  </r>
  <r>
    <x v="193"/>
    <d v="2020-04-13T00:00:00"/>
    <x v="1"/>
    <n v="269"/>
    <n v="-685"/>
    <x v="3"/>
    <n v="-269"/>
    <x v="1"/>
  </r>
  <r>
    <x v="193"/>
    <d v="2020-04-24T00:00:00"/>
    <x v="1"/>
    <n v="12"/>
    <n v="-697"/>
    <x v="3"/>
    <n v="-12"/>
    <x v="1"/>
  </r>
  <r>
    <x v="194"/>
    <d v="2020-01-19T00:00:00"/>
    <x v="0"/>
    <n v="489"/>
    <n v="489"/>
    <x v="0"/>
    <n v="489"/>
    <x v="0"/>
  </r>
  <r>
    <x v="194"/>
    <d v="2020-03-23T00:00:00"/>
    <x v="1"/>
    <n v="83"/>
    <n v="406"/>
    <x v="1"/>
    <n v="-83"/>
    <x v="0"/>
  </r>
  <r>
    <x v="195"/>
    <d v="2020-01-13T00:00:00"/>
    <x v="0"/>
    <n v="734"/>
    <n v="734"/>
    <x v="0"/>
    <n v="734"/>
    <x v="0"/>
  </r>
  <r>
    <x v="195"/>
    <d v="2020-02-04T00:00:00"/>
    <x v="2"/>
    <n v="512"/>
    <n v="222"/>
    <x v="2"/>
    <n v="-512"/>
    <x v="0"/>
  </r>
  <r>
    <x v="195"/>
    <d v="2020-02-11T00:00:00"/>
    <x v="0"/>
    <n v="736"/>
    <n v="958"/>
    <x v="2"/>
    <n v="736"/>
    <x v="0"/>
  </r>
  <r>
    <x v="195"/>
    <d v="2020-02-21T00:00:00"/>
    <x v="0"/>
    <n v="337"/>
    <n v="1295"/>
    <x v="2"/>
    <n v="337"/>
    <x v="0"/>
  </r>
  <r>
    <x v="195"/>
    <d v="2020-03-25T00:00:00"/>
    <x v="0"/>
    <n v="87"/>
    <n v="1382"/>
    <x v="1"/>
    <n v="87"/>
    <x v="0"/>
  </r>
  <r>
    <x v="196"/>
    <d v="2020-01-22T00:00:00"/>
    <x v="0"/>
    <n v="203"/>
    <n v="203"/>
    <x v="0"/>
    <n v="203"/>
    <x v="0"/>
  </r>
  <r>
    <x v="196"/>
    <d v="2020-01-26T00:00:00"/>
    <x v="2"/>
    <n v="649"/>
    <n v="-446"/>
    <x v="0"/>
    <n v="-649"/>
    <x v="1"/>
  </r>
  <r>
    <x v="196"/>
    <d v="2020-02-08T00:00:00"/>
    <x v="0"/>
    <n v="825"/>
    <n v="379"/>
    <x v="2"/>
    <n v="825"/>
    <x v="0"/>
  </r>
  <r>
    <x v="196"/>
    <d v="2020-02-09T00:00:00"/>
    <x v="1"/>
    <n v="964"/>
    <n v="-585"/>
    <x v="2"/>
    <n v="-964"/>
    <x v="1"/>
  </r>
  <r>
    <x v="196"/>
    <d v="2020-02-23T00:00:00"/>
    <x v="1"/>
    <n v="415"/>
    <n v="-1000"/>
    <x v="2"/>
    <n v="-415"/>
    <x v="1"/>
  </r>
  <r>
    <x v="196"/>
    <d v="2020-02-23T00:00:00"/>
    <x v="0"/>
    <n v="792"/>
    <n v="-208"/>
    <x v="2"/>
    <n v="792"/>
    <x v="1"/>
  </r>
  <r>
    <x v="196"/>
    <d v="2020-02-29T00:00:00"/>
    <x v="0"/>
    <n v="345"/>
    <n v="137"/>
    <x v="2"/>
    <n v="345"/>
    <x v="0"/>
  </r>
  <r>
    <x v="196"/>
    <d v="2020-03-07T00:00:00"/>
    <x v="0"/>
    <n v="922"/>
    <n v="1059"/>
    <x v="1"/>
    <n v="922"/>
    <x v="0"/>
  </r>
  <r>
    <x v="196"/>
    <d v="2020-03-10T00:00:00"/>
    <x v="2"/>
    <n v="852"/>
    <n v="207"/>
    <x v="1"/>
    <n v="-852"/>
    <x v="0"/>
  </r>
  <r>
    <x v="196"/>
    <d v="2020-03-14T00:00:00"/>
    <x v="2"/>
    <n v="356"/>
    <n v="-149"/>
    <x v="1"/>
    <n v="-356"/>
    <x v="1"/>
  </r>
  <r>
    <x v="196"/>
    <d v="2020-03-20T00:00:00"/>
    <x v="0"/>
    <n v="970"/>
    <n v="821"/>
    <x v="1"/>
    <n v="970"/>
    <x v="0"/>
  </r>
  <r>
    <x v="196"/>
    <d v="2020-03-25T00:00:00"/>
    <x v="0"/>
    <n v="994"/>
    <n v="1815"/>
    <x v="1"/>
    <n v="994"/>
    <x v="0"/>
  </r>
  <r>
    <x v="196"/>
    <d v="2020-03-31T00:00:00"/>
    <x v="1"/>
    <n v="655"/>
    <n v="1160"/>
    <x v="1"/>
    <n v="-655"/>
    <x v="0"/>
  </r>
  <r>
    <x v="196"/>
    <d v="2020-03-31T00:00:00"/>
    <x v="1"/>
    <n v="137"/>
    <n v="1023"/>
    <x v="1"/>
    <n v="-137"/>
    <x v="0"/>
  </r>
  <r>
    <x v="196"/>
    <d v="2020-04-02T00:00:00"/>
    <x v="2"/>
    <n v="39"/>
    <n v="984"/>
    <x v="3"/>
    <n v="-39"/>
    <x v="0"/>
  </r>
  <r>
    <x v="196"/>
    <d v="2020-04-08T00:00:00"/>
    <x v="0"/>
    <n v="963"/>
    <n v="1947"/>
    <x v="3"/>
    <n v="963"/>
    <x v="0"/>
  </r>
  <r>
    <x v="196"/>
    <d v="2020-04-11T00:00:00"/>
    <x v="1"/>
    <n v="257"/>
    <n v="1690"/>
    <x v="3"/>
    <n v="-257"/>
    <x v="0"/>
  </r>
  <r>
    <x v="196"/>
    <d v="2020-04-11T00:00:00"/>
    <x v="0"/>
    <n v="733"/>
    <n v="2423"/>
    <x v="3"/>
    <n v="733"/>
    <x v="0"/>
  </r>
  <r>
    <x v="196"/>
    <d v="2020-04-11T00:00:00"/>
    <x v="0"/>
    <n v="446"/>
    <n v="2869"/>
    <x v="3"/>
    <n v="446"/>
    <x v="0"/>
  </r>
  <r>
    <x v="196"/>
    <d v="2020-04-16T00:00:00"/>
    <x v="0"/>
    <n v="904"/>
    <n v="3773"/>
    <x v="3"/>
    <n v="904"/>
    <x v="0"/>
  </r>
  <r>
    <x v="196"/>
    <d v="2020-04-17T00:00:00"/>
    <x v="1"/>
    <n v="88"/>
    <n v="3685"/>
    <x v="3"/>
    <n v="-88"/>
    <x v="0"/>
  </r>
  <r>
    <x v="197"/>
    <d v="2020-01-17T00:00:00"/>
    <x v="0"/>
    <n v="571"/>
    <n v="571"/>
    <x v="0"/>
    <n v="571"/>
    <x v="0"/>
  </r>
  <r>
    <x v="197"/>
    <d v="2020-01-20T00:00:00"/>
    <x v="1"/>
    <n v="143"/>
    <n v="428"/>
    <x v="0"/>
    <n v="-143"/>
    <x v="0"/>
  </r>
  <r>
    <x v="197"/>
    <d v="2020-01-28T00:00:00"/>
    <x v="0"/>
    <n v="716"/>
    <n v="1144"/>
    <x v="0"/>
    <n v="716"/>
    <x v="0"/>
  </r>
  <r>
    <x v="197"/>
    <d v="2020-02-02T00:00:00"/>
    <x v="1"/>
    <n v="248"/>
    <n v="896"/>
    <x v="2"/>
    <n v="-248"/>
    <x v="0"/>
  </r>
  <r>
    <x v="197"/>
    <d v="2020-02-15T00:00:00"/>
    <x v="0"/>
    <n v="303"/>
    <n v="1199"/>
    <x v="2"/>
    <n v="303"/>
    <x v="0"/>
  </r>
  <r>
    <x v="197"/>
    <d v="2020-02-16T00:00:00"/>
    <x v="2"/>
    <n v="203"/>
    <n v="996"/>
    <x v="2"/>
    <n v="-203"/>
    <x v="0"/>
  </r>
  <r>
    <x v="197"/>
    <d v="2020-02-16T00:00:00"/>
    <x v="2"/>
    <n v="110"/>
    <n v="886"/>
    <x v="2"/>
    <n v="-110"/>
    <x v="0"/>
  </r>
  <r>
    <x v="197"/>
    <d v="2020-02-29T00:00:00"/>
    <x v="2"/>
    <n v="598"/>
    <n v="288"/>
    <x v="2"/>
    <n v="-598"/>
    <x v="0"/>
  </r>
  <r>
    <x v="197"/>
    <d v="2020-03-08T00:00:00"/>
    <x v="1"/>
    <n v="15"/>
    <n v="273"/>
    <x v="1"/>
    <n v="-15"/>
    <x v="0"/>
  </r>
  <r>
    <x v="197"/>
    <d v="2020-03-17T00:00:00"/>
    <x v="2"/>
    <n v="714"/>
    <n v="-441"/>
    <x v="1"/>
    <n v="-714"/>
    <x v="1"/>
  </r>
  <r>
    <x v="197"/>
    <d v="2020-03-20T00:00:00"/>
    <x v="1"/>
    <n v="498"/>
    <n v="-939"/>
    <x v="1"/>
    <n v="-498"/>
    <x v="1"/>
  </r>
  <r>
    <x v="197"/>
    <d v="2020-03-21T00:00:00"/>
    <x v="0"/>
    <n v="460"/>
    <n v="-479"/>
    <x v="1"/>
    <n v="460"/>
    <x v="1"/>
  </r>
  <r>
    <x v="197"/>
    <d v="2020-03-25T00:00:00"/>
    <x v="1"/>
    <n v="553"/>
    <n v="-1032"/>
    <x v="1"/>
    <n v="-553"/>
    <x v="1"/>
  </r>
  <r>
    <x v="197"/>
    <d v="2020-03-30T00:00:00"/>
    <x v="1"/>
    <n v="221"/>
    <n v="-1253"/>
    <x v="1"/>
    <n v="-221"/>
    <x v="1"/>
  </r>
  <r>
    <x v="197"/>
    <d v="2020-04-15T00:00:00"/>
    <x v="0"/>
    <n v="496"/>
    <n v="-757"/>
    <x v="3"/>
    <n v="496"/>
    <x v="1"/>
  </r>
  <r>
    <x v="198"/>
    <d v="2020-01-20T00:00:00"/>
    <x v="0"/>
    <n v="530"/>
    <n v="530"/>
    <x v="0"/>
    <n v="530"/>
    <x v="0"/>
  </r>
  <r>
    <x v="198"/>
    <d v="2020-02-01T00:00:00"/>
    <x v="2"/>
    <n v="687"/>
    <n v="-157"/>
    <x v="2"/>
    <n v="-687"/>
    <x v="1"/>
  </r>
  <r>
    <x v="198"/>
    <d v="2020-02-07T00:00:00"/>
    <x v="0"/>
    <n v="672"/>
    <n v="515"/>
    <x v="2"/>
    <n v="672"/>
    <x v="0"/>
  </r>
  <r>
    <x v="198"/>
    <d v="2020-03-06T00:00:00"/>
    <x v="1"/>
    <n v="529"/>
    <n v="-14"/>
    <x v="1"/>
    <n v="-529"/>
    <x v="1"/>
  </r>
  <r>
    <x v="198"/>
    <d v="2020-04-02T00:00:00"/>
    <x v="2"/>
    <n v="661"/>
    <n v="-675"/>
    <x v="3"/>
    <n v="-661"/>
    <x v="1"/>
  </r>
  <r>
    <x v="198"/>
    <d v="2020-04-07T00:00:00"/>
    <x v="0"/>
    <n v="455"/>
    <n v="-220"/>
    <x v="3"/>
    <n v="455"/>
    <x v="1"/>
  </r>
  <r>
    <x v="199"/>
    <d v="2020-01-29T00:00:00"/>
    <x v="0"/>
    <n v="997"/>
    <n v="997"/>
    <x v="0"/>
    <n v="997"/>
    <x v="0"/>
  </r>
  <r>
    <x v="199"/>
    <d v="2020-02-07T00:00:00"/>
    <x v="2"/>
    <n v="201"/>
    <n v="796"/>
    <x v="2"/>
    <n v="-201"/>
    <x v="0"/>
  </r>
  <r>
    <x v="199"/>
    <d v="2020-02-11T00:00:00"/>
    <x v="2"/>
    <n v="609"/>
    <n v="187"/>
    <x v="2"/>
    <n v="-609"/>
    <x v="0"/>
  </r>
  <r>
    <x v="199"/>
    <d v="2020-02-18T00:00:00"/>
    <x v="0"/>
    <n v="904"/>
    <n v="1091"/>
    <x v="2"/>
    <n v="904"/>
    <x v="0"/>
  </r>
  <r>
    <x v="199"/>
    <d v="2020-02-20T00:00:00"/>
    <x v="0"/>
    <n v="448"/>
    <n v="1539"/>
    <x v="2"/>
    <n v="448"/>
    <x v="0"/>
  </r>
  <r>
    <x v="199"/>
    <d v="2020-02-24T00:00:00"/>
    <x v="2"/>
    <n v="183"/>
    <n v="1356"/>
    <x v="2"/>
    <n v="-183"/>
    <x v="0"/>
  </r>
  <r>
    <x v="199"/>
    <d v="2020-03-09T00:00:00"/>
    <x v="1"/>
    <n v="143"/>
    <n v="1213"/>
    <x v="1"/>
    <n v="-143"/>
    <x v="0"/>
  </r>
  <r>
    <x v="199"/>
    <d v="2020-03-10T00:00:00"/>
    <x v="0"/>
    <n v="685"/>
    <n v="1898"/>
    <x v="1"/>
    <n v="685"/>
    <x v="0"/>
  </r>
  <r>
    <x v="199"/>
    <d v="2020-03-19T00:00:00"/>
    <x v="0"/>
    <n v="143"/>
    <n v="2041"/>
    <x v="1"/>
    <n v="143"/>
    <x v="0"/>
  </r>
  <r>
    <x v="199"/>
    <d v="2020-03-19T00:00:00"/>
    <x v="0"/>
    <n v="873"/>
    <n v="2914"/>
    <x v="1"/>
    <n v="873"/>
    <x v="0"/>
  </r>
  <r>
    <x v="199"/>
    <d v="2020-04-13T00:00:00"/>
    <x v="0"/>
    <n v="247"/>
    <n v="3161"/>
    <x v="3"/>
    <n v="247"/>
    <x v="0"/>
  </r>
  <r>
    <x v="199"/>
    <d v="2020-04-24T00:00:00"/>
    <x v="1"/>
    <n v="308"/>
    <n v="2853"/>
    <x v="3"/>
    <n v="-308"/>
    <x v="0"/>
  </r>
  <r>
    <x v="200"/>
    <d v="2020-01-02T00:00:00"/>
    <x v="0"/>
    <n v="646"/>
    <n v="646"/>
    <x v="0"/>
    <n v="646"/>
    <x v="0"/>
  </r>
  <r>
    <x v="200"/>
    <d v="2020-01-20T00:00:00"/>
    <x v="1"/>
    <n v="564"/>
    <n v="82"/>
    <x v="0"/>
    <n v="-564"/>
    <x v="0"/>
  </r>
  <r>
    <x v="200"/>
    <d v="2020-01-25T00:00:00"/>
    <x v="1"/>
    <n v="442"/>
    <n v="-360"/>
    <x v="0"/>
    <n v="-442"/>
    <x v="1"/>
  </r>
  <r>
    <x v="200"/>
    <d v="2020-01-25T00:00:00"/>
    <x v="0"/>
    <n v="632"/>
    <n v="272"/>
    <x v="0"/>
    <n v="632"/>
    <x v="0"/>
  </r>
  <r>
    <x v="200"/>
    <d v="2020-01-26T00:00:00"/>
    <x v="1"/>
    <n v="655"/>
    <n v="-383"/>
    <x v="0"/>
    <n v="-655"/>
    <x v="1"/>
  </r>
  <r>
    <x v="200"/>
    <d v="2020-02-05T00:00:00"/>
    <x v="0"/>
    <n v="261"/>
    <n v="-122"/>
    <x v="2"/>
    <n v="261"/>
    <x v="1"/>
  </r>
  <r>
    <x v="200"/>
    <d v="2020-02-24T00:00:00"/>
    <x v="1"/>
    <n v="78"/>
    <n v="-200"/>
    <x v="2"/>
    <n v="-78"/>
    <x v="1"/>
  </r>
  <r>
    <x v="200"/>
    <d v="2020-02-28T00:00:00"/>
    <x v="2"/>
    <n v="92"/>
    <n v="-292"/>
    <x v="2"/>
    <n v="-92"/>
    <x v="1"/>
  </r>
  <r>
    <x v="200"/>
    <d v="2020-03-02T00:00:00"/>
    <x v="0"/>
    <n v="988"/>
    <n v="696"/>
    <x v="1"/>
    <n v="988"/>
    <x v="0"/>
  </r>
  <r>
    <x v="200"/>
    <d v="2020-03-03T00:00:00"/>
    <x v="0"/>
    <n v="889"/>
    <n v="1585"/>
    <x v="1"/>
    <n v="889"/>
    <x v="0"/>
  </r>
  <r>
    <x v="200"/>
    <d v="2020-03-04T00:00:00"/>
    <x v="0"/>
    <n v="610"/>
    <n v="2195"/>
    <x v="1"/>
    <n v="610"/>
    <x v="0"/>
  </r>
  <r>
    <x v="200"/>
    <d v="2020-03-05T00:00:00"/>
    <x v="0"/>
    <n v="135"/>
    <n v="2330"/>
    <x v="1"/>
    <n v="135"/>
    <x v="0"/>
  </r>
  <r>
    <x v="200"/>
    <d v="2020-03-09T00:00:00"/>
    <x v="2"/>
    <n v="808"/>
    <n v="1522"/>
    <x v="1"/>
    <n v="-808"/>
    <x v="0"/>
  </r>
  <r>
    <x v="200"/>
    <d v="2020-03-12T00:00:00"/>
    <x v="1"/>
    <n v="941"/>
    <n v="581"/>
    <x v="1"/>
    <n v="-941"/>
    <x v="0"/>
  </r>
  <r>
    <x v="200"/>
    <d v="2020-03-17T00:00:00"/>
    <x v="2"/>
    <n v="362"/>
    <n v="219"/>
    <x v="1"/>
    <n v="-362"/>
    <x v="0"/>
  </r>
  <r>
    <x v="200"/>
    <d v="2020-03-18T00:00:00"/>
    <x v="0"/>
    <n v="787"/>
    <n v="1006"/>
    <x v="1"/>
    <n v="787"/>
    <x v="0"/>
  </r>
  <r>
    <x v="200"/>
    <d v="2020-03-19T00:00:00"/>
    <x v="0"/>
    <n v="523"/>
    <n v="1529"/>
    <x v="1"/>
    <n v="523"/>
    <x v="0"/>
  </r>
  <r>
    <x v="201"/>
    <d v="2020-01-06T00:00:00"/>
    <x v="0"/>
    <n v="446"/>
    <n v="446"/>
    <x v="0"/>
    <n v="446"/>
    <x v="0"/>
  </r>
  <r>
    <x v="201"/>
    <d v="2020-01-18T00:00:00"/>
    <x v="2"/>
    <n v="763"/>
    <n v="-317"/>
    <x v="0"/>
    <n v="-763"/>
    <x v="1"/>
  </r>
  <r>
    <x v="201"/>
    <d v="2020-01-21T00:00:00"/>
    <x v="1"/>
    <n v="213"/>
    <n v="-530"/>
    <x v="0"/>
    <n v="-213"/>
    <x v="1"/>
  </r>
  <r>
    <x v="201"/>
    <d v="2020-02-06T00:00:00"/>
    <x v="0"/>
    <n v="52"/>
    <n v="-478"/>
    <x v="2"/>
    <n v="52"/>
    <x v="1"/>
  </r>
  <r>
    <x v="201"/>
    <d v="2020-02-06T00:00:00"/>
    <x v="0"/>
    <n v="24"/>
    <n v="-454"/>
    <x v="2"/>
    <n v="24"/>
    <x v="1"/>
  </r>
  <r>
    <x v="201"/>
    <d v="2020-02-17T00:00:00"/>
    <x v="1"/>
    <n v="977"/>
    <n v="-1431"/>
    <x v="2"/>
    <n v="-977"/>
    <x v="1"/>
  </r>
  <r>
    <x v="201"/>
    <d v="2020-02-18T00:00:00"/>
    <x v="0"/>
    <n v="680"/>
    <n v="-751"/>
    <x v="2"/>
    <n v="680"/>
    <x v="1"/>
  </r>
  <r>
    <x v="201"/>
    <d v="2020-02-20T00:00:00"/>
    <x v="1"/>
    <n v="431"/>
    <n v="-1182"/>
    <x v="2"/>
    <n v="-431"/>
    <x v="1"/>
  </r>
  <r>
    <x v="201"/>
    <d v="2020-02-23T00:00:00"/>
    <x v="0"/>
    <n v="266"/>
    <n v="-916"/>
    <x v="2"/>
    <n v="266"/>
    <x v="1"/>
  </r>
  <r>
    <x v="201"/>
    <d v="2020-03-02T00:00:00"/>
    <x v="1"/>
    <n v="291"/>
    <n v="-1207"/>
    <x v="1"/>
    <n v="-291"/>
    <x v="1"/>
  </r>
  <r>
    <x v="201"/>
    <d v="2020-03-13T00:00:00"/>
    <x v="0"/>
    <n v="268"/>
    <n v="-939"/>
    <x v="1"/>
    <n v="268"/>
    <x v="1"/>
  </r>
  <r>
    <x v="201"/>
    <d v="2020-03-13T00:00:00"/>
    <x v="1"/>
    <n v="527"/>
    <n v="-1466"/>
    <x v="1"/>
    <n v="-527"/>
    <x v="1"/>
  </r>
  <r>
    <x v="201"/>
    <d v="2020-03-18T00:00:00"/>
    <x v="2"/>
    <n v="135"/>
    <n v="-1601"/>
    <x v="1"/>
    <n v="-135"/>
    <x v="1"/>
  </r>
  <r>
    <x v="201"/>
    <d v="2020-03-18T00:00:00"/>
    <x v="0"/>
    <n v="667"/>
    <n v="-934"/>
    <x v="1"/>
    <n v="667"/>
    <x v="1"/>
  </r>
  <r>
    <x v="201"/>
    <d v="2020-03-27T00:00:00"/>
    <x v="2"/>
    <n v="390"/>
    <n v="-1324"/>
    <x v="1"/>
    <n v="-390"/>
    <x v="1"/>
  </r>
  <r>
    <x v="201"/>
    <d v="2020-03-29T00:00:00"/>
    <x v="1"/>
    <n v="934"/>
    <n v="-2258"/>
    <x v="1"/>
    <n v="-934"/>
    <x v="1"/>
  </r>
  <r>
    <x v="201"/>
    <d v="2020-03-31T00:00:00"/>
    <x v="2"/>
    <n v="157"/>
    <n v="-2415"/>
    <x v="1"/>
    <n v="-157"/>
    <x v="1"/>
  </r>
  <r>
    <x v="202"/>
    <d v="2020-01-06T00:00:00"/>
    <x v="0"/>
    <n v="970"/>
    <n v="970"/>
    <x v="0"/>
    <n v="970"/>
    <x v="0"/>
  </r>
  <r>
    <x v="202"/>
    <d v="2020-01-08T00:00:00"/>
    <x v="0"/>
    <n v="318"/>
    <n v="1288"/>
    <x v="0"/>
    <n v="318"/>
    <x v="0"/>
  </r>
  <r>
    <x v="202"/>
    <d v="2020-01-09T00:00:00"/>
    <x v="1"/>
    <n v="650"/>
    <n v="638"/>
    <x v="0"/>
    <n v="-650"/>
    <x v="0"/>
  </r>
  <r>
    <x v="202"/>
    <d v="2020-01-18T00:00:00"/>
    <x v="0"/>
    <n v="812"/>
    <n v="1450"/>
    <x v="0"/>
    <n v="812"/>
    <x v="0"/>
  </r>
  <r>
    <x v="202"/>
    <d v="2020-01-20T00:00:00"/>
    <x v="0"/>
    <n v="789"/>
    <n v="2239"/>
    <x v="0"/>
    <n v="789"/>
    <x v="0"/>
  </r>
  <r>
    <x v="202"/>
    <d v="2020-01-25T00:00:00"/>
    <x v="0"/>
    <n v="293"/>
    <n v="2532"/>
    <x v="0"/>
    <n v="293"/>
    <x v="0"/>
  </r>
  <r>
    <x v="202"/>
    <d v="2020-01-29T00:00:00"/>
    <x v="1"/>
    <n v="4"/>
    <n v="2528"/>
    <x v="0"/>
    <n v="-4"/>
    <x v="0"/>
  </r>
  <r>
    <x v="202"/>
    <d v="2020-02-05T00:00:00"/>
    <x v="2"/>
    <n v="57"/>
    <n v="2471"/>
    <x v="2"/>
    <n v="-57"/>
    <x v="0"/>
  </r>
  <r>
    <x v="202"/>
    <d v="2020-02-07T00:00:00"/>
    <x v="0"/>
    <n v="862"/>
    <n v="3333"/>
    <x v="2"/>
    <n v="862"/>
    <x v="0"/>
  </r>
  <r>
    <x v="202"/>
    <d v="2020-02-17T00:00:00"/>
    <x v="0"/>
    <n v="670"/>
    <n v="4003"/>
    <x v="2"/>
    <n v="670"/>
    <x v="0"/>
  </r>
  <r>
    <x v="202"/>
    <d v="2020-02-21T00:00:00"/>
    <x v="2"/>
    <n v="622"/>
    <n v="3381"/>
    <x v="2"/>
    <n v="-622"/>
    <x v="0"/>
  </r>
  <r>
    <x v="202"/>
    <d v="2020-02-26T00:00:00"/>
    <x v="1"/>
    <n v="416"/>
    <n v="2965"/>
    <x v="2"/>
    <n v="-416"/>
    <x v="0"/>
  </r>
  <r>
    <x v="202"/>
    <d v="2020-02-27T00:00:00"/>
    <x v="1"/>
    <n v="133"/>
    <n v="2832"/>
    <x v="2"/>
    <n v="-133"/>
    <x v="0"/>
  </r>
  <r>
    <x v="202"/>
    <d v="2020-02-29T00:00:00"/>
    <x v="0"/>
    <n v="639"/>
    <n v="3471"/>
    <x v="2"/>
    <n v="639"/>
    <x v="0"/>
  </r>
  <r>
    <x v="202"/>
    <d v="2020-03-07T00:00:00"/>
    <x v="1"/>
    <n v="647"/>
    <n v="2824"/>
    <x v="1"/>
    <n v="-647"/>
    <x v="0"/>
  </r>
  <r>
    <x v="202"/>
    <d v="2020-03-10T00:00:00"/>
    <x v="1"/>
    <n v="358"/>
    <n v="2466"/>
    <x v="1"/>
    <n v="-358"/>
    <x v="0"/>
  </r>
  <r>
    <x v="202"/>
    <d v="2020-03-14T00:00:00"/>
    <x v="0"/>
    <n v="510"/>
    <n v="2976"/>
    <x v="1"/>
    <n v="510"/>
    <x v="0"/>
  </r>
  <r>
    <x v="202"/>
    <d v="2020-03-16T00:00:00"/>
    <x v="0"/>
    <n v="404"/>
    <n v="3380"/>
    <x v="1"/>
    <n v="404"/>
    <x v="0"/>
  </r>
  <r>
    <x v="202"/>
    <d v="2020-03-27T00:00:00"/>
    <x v="0"/>
    <n v="169"/>
    <n v="3549"/>
    <x v="1"/>
    <n v="169"/>
    <x v="0"/>
  </r>
  <r>
    <x v="202"/>
    <d v="2020-03-29T00:00:00"/>
    <x v="0"/>
    <n v="520"/>
    <n v="4069"/>
    <x v="1"/>
    <n v="520"/>
    <x v="0"/>
  </r>
  <r>
    <x v="202"/>
    <d v="2020-03-31T00:00:00"/>
    <x v="1"/>
    <n v="608"/>
    <n v="3461"/>
    <x v="1"/>
    <n v="-608"/>
    <x v="0"/>
  </r>
  <r>
    <x v="202"/>
    <d v="2020-04-04T00:00:00"/>
    <x v="2"/>
    <n v="24"/>
    <n v="3437"/>
    <x v="3"/>
    <n v="-24"/>
    <x v="0"/>
  </r>
  <r>
    <x v="203"/>
    <d v="2020-01-28T00:00:00"/>
    <x v="0"/>
    <n v="749"/>
    <n v="749"/>
    <x v="0"/>
    <n v="749"/>
    <x v="0"/>
  </r>
  <r>
    <x v="203"/>
    <d v="2020-02-24T00:00:00"/>
    <x v="0"/>
    <n v="290"/>
    <n v="1039"/>
    <x v="2"/>
    <n v="290"/>
    <x v="0"/>
  </r>
  <r>
    <x v="203"/>
    <d v="2020-03-25T00:00:00"/>
    <x v="0"/>
    <n v="548"/>
    <n v="1587"/>
    <x v="1"/>
    <n v="548"/>
    <x v="0"/>
  </r>
  <r>
    <x v="203"/>
    <d v="2020-04-04T00:00:00"/>
    <x v="0"/>
    <n v="306"/>
    <n v="1893"/>
    <x v="3"/>
    <n v="306"/>
    <x v="0"/>
  </r>
  <r>
    <x v="204"/>
    <d v="2020-01-02T00:00:00"/>
    <x v="0"/>
    <n v="608"/>
    <n v="608"/>
    <x v="0"/>
    <n v="608"/>
    <x v="0"/>
  </r>
  <r>
    <x v="204"/>
    <d v="2020-01-07T00:00:00"/>
    <x v="1"/>
    <n v="361"/>
    <n v="247"/>
    <x v="0"/>
    <n v="-361"/>
    <x v="0"/>
  </r>
  <r>
    <x v="204"/>
    <d v="2020-01-12T00:00:00"/>
    <x v="1"/>
    <n v="671"/>
    <n v="-424"/>
    <x v="0"/>
    <n v="-671"/>
    <x v="1"/>
  </r>
  <r>
    <x v="204"/>
    <d v="2020-01-13T00:00:00"/>
    <x v="2"/>
    <n v="296"/>
    <n v="-720"/>
    <x v="0"/>
    <n v="-296"/>
    <x v="1"/>
  </r>
  <r>
    <x v="204"/>
    <d v="2020-01-14T00:00:00"/>
    <x v="2"/>
    <n v="300"/>
    <n v="-1020"/>
    <x v="0"/>
    <n v="-300"/>
    <x v="1"/>
  </r>
  <r>
    <x v="204"/>
    <d v="2020-01-17T00:00:00"/>
    <x v="0"/>
    <n v="895"/>
    <n v="-125"/>
    <x v="0"/>
    <n v="895"/>
    <x v="1"/>
  </r>
  <r>
    <x v="204"/>
    <d v="2020-01-19T00:00:00"/>
    <x v="0"/>
    <n v="743"/>
    <n v="618"/>
    <x v="0"/>
    <n v="743"/>
    <x v="0"/>
  </r>
  <r>
    <x v="204"/>
    <d v="2020-01-21T00:00:00"/>
    <x v="2"/>
    <n v="451"/>
    <n v="167"/>
    <x v="0"/>
    <n v="-451"/>
    <x v="0"/>
  </r>
  <r>
    <x v="204"/>
    <d v="2020-01-24T00:00:00"/>
    <x v="1"/>
    <n v="249"/>
    <n v="-82"/>
    <x v="0"/>
    <n v="-249"/>
    <x v="1"/>
  </r>
  <r>
    <x v="204"/>
    <d v="2020-02-02T00:00:00"/>
    <x v="2"/>
    <n v="342"/>
    <n v="-424"/>
    <x v="2"/>
    <n v="-342"/>
    <x v="1"/>
  </r>
  <r>
    <x v="204"/>
    <d v="2020-02-03T00:00:00"/>
    <x v="0"/>
    <n v="767"/>
    <n v="343"/>
    <x v="2"/>
    <n v="767"/>
    <x v="0"/>
  </r>
  <r>
    <x v="204"/>
    <d v="2020-02-03T00:00:00"/>
    <x v="0"/>
    <n v="683"/>
    <n v="1026"/>
    <x v="2"/>
    <n v="683"/>
    <x v="0"/>
  </r>
  <r>
    <x v="204"/>
    <d v="2020-02-07T00:00:00"/>
    <x v="2"/>
    <n v="432"/>
    <n v="594"/>
    <x v="2"/>
    <n v="-432"/>
    <x v="0"/>
  </r>
  <r>
    <x v="204"/>
    <d v="2020-02-14T00:00:00"/>
    <x v="2"/>
    <n v="217"/>
    <n v="377"/>
    <x v="2"/>
    <n v="-217"/>
    <x v="0"/>
  </r>
  <r>
    <x v="204"/>
    <d v="2020-02-15T00:00:00"/>
    <x v="0"/>
    <n v="116"/>
    <n v="493"/>
    <x v="2"/>
    <n v="116"/>
    <x v="0"/>
  </r>
  <r>
    <x v="204"/>
    <d v="2020-02-16T00:00:00"/>
    <x v="0"/>
    <n v="745"/>
    <n v="1238"/>
    <x v="2"/>
    <n v="745"/>
    <x v="0"/>
  </r>
  <r>
    <x v="204"/>
    <d v="2020-02-20T00:00:00"/>
    <x v="0"/>
    <n v="560"/>
    <n v="1798"/>
    <x v="2"/>
    <n v="560"/>
    <x v="0"/>
  </r>
  <r>
    <x v="204"/>
    <d v="2020-02-22T00:00:00"/>
    <x v="2"/>
    <n v="587"/>
    <n v="1211"/>
    <x v="2"/>
    <n v="-587"/>
    <x v="0"/>
  </r>
  <r>
    <x v="204"/>
    <d v="2020-03-15T00:00:00"/>
    <x v="1"/>
    <n v="144"/>
    <n v="1067"/>
    <x v="1"/>
    <n v="-144"/>
    <x v="0"/>
  </r>
  <r>
    <x v="205"/>
    <d v="2020-01-09T00:00:00"/>
    <x v="0"/>
    <n v="811"/>
    <n v="811"/>
    <x v="0"/>
    <n v="811"/>
    <x v="0"/>
  </r>
  <r>
    <x v="205"/>
    <d v="2020-01-12T00:00:00"/>
    <x v="2"/>
    <n v="429"/>
    <n v="382"/>
    <x v="0"/>
    <n v="-429"/>
    <x v="0"/>
  </r>
  <r>
    <x v="205"/>
    <d v="2020-01-14T00:00:00"/>
    <x v="1"/>
    <n v="169"/>
    <n v="213"/>
    <x v="0"/>
    <n v="-169"/>
    <x v="0"/>
  </r>
  <r>
    <x v="205"/>
    <d v="2020-01-18T00:00:00"/>
    <x v="2"/>
    <n v="768"/>
    <n v="-555"/>
    <x v="0"/>
    <n v="-768"/>
    <x v="1"/>
  </r>
  <r>
    <x v="205"/>
    <d v="2020-01-19T00:00:00"/>
    <x v="0"/>
    <n v="340"/>
    <n v="-215"/>
    <x v="0"/>
    <n v="340"/>
    <x v="1"/>
  </r>
  <r>
    <x v="205"/>
    <d v="2020-02-22T00:00:00"/>
    <x v="1"/>
    <n v="734"/>
    <n v="-949"/>
    <x v="2"/>
    <n v="-734"/>
    <x v="1"/>
  </r>
  <r>
    <x v="205"/>
    <d v="2020-03-02T00:00:00"/>
    <x v="2"/>
    <n v="766"/>
    <n v="-1715"/>
    <x v="1"/>
    <n v="-766"/>
    <x v="1"/>
  </r>
  <r>
    <x v="205"/>
    <d v="2020-03-07T00:00:00"/>
    <x v="2"/>
    <n v="168"/>
    <n v="-1883"/>
    <x v="1"/>
    <n v="-168"/>
    <x v="1"/>
  </r>
  <r>
    <x v="205"/>
    <d v="2020-03-08T00:00:00"/>
    <x v="2"/>
    <n v="183"/>
    <n v="-2066"/>
    <x v="1"/>
    <n v="-183"/>
    <x v="1"/>
  </r>
  <r>
    <x v="205"/>
    <d v="2020-03-15T00:00:00"/>
    <x v="2"/>
    <n v="915"/>
    <n v="-2981"/>
    <x v="1"/>
    <n v="-915"/>
    <x v="1"/>
  </r>
  <r>
    <x v="205"/>
    <d v="2020-03-18T00:00:00"/>
    <x v="1"/>
    <n v="516"/>
    <n v="-3497"/>
    <x v="1"/>
    <n v="-516"/>
    <x v="1"/>
  </r>
  <r>
    <x v="205"/>
    <d v="2020-03-26T00:00:00"/>
    <x v="1"/>
    <n v="738"/>
    <n v="-4235"/>
    <x v="1"/>
    <n v="-738"/>
    <x v="1"/>
  </r>
  <r>
    <x v="205"/>
    <d v="2020-03-29T00:00:00"/>
    <x v="1"/>
    <n v="428"/>
    <n v="-4663"/>
    <x v="1"/>
    <n v="-428"/>
    <x v="1"/>
  </r>
  <r>
    <x v="205"/>
    <d v="2020-03-30T00:00:00"/>
    <x v="1"/>
    <n v="311"/>
    <n v="-4974"/>
    <x v="1"/>
    <n v="-311"/>
    <x v="1"/>
  </r>
  <r>
    <x v="205"/>
    <d v="2020-04-04T00:00:00"/>
    <x v="2"/>
    <n v="400"/>
    <n v="-5374"/>
    <x v="3"/>
    <n v="-400"/>
    <x v="1"/>
  </r>
  <r>
    <x v="206"/>
    <d v="2020-01-26T00:00:00"/>
    <x v="0"/>
    <n v="322"/>
    <n v="322"/>
    <x v="0"/>
    <n v="322"/>
    <x v="0"/>
  </r>
  <r>
    <x v="206"/>
    <d v="2020-02-04T00:00:00"/>
    <x v="2"/>
    <n v="754"/>
    <n v="-432"/>
    <x v="2"/>
    <n v="-754"/>
    <x v="1"/>
  </r>
  <r>
    <x v="206"/>
    <d v="2020-02-12T00:00:00"/>
    <x v="1"/>
    <n v="45"/>
    <n v="-477"/>
    <x v="2"/>
    <n v="-45"/>
    <x v="1"/>
  </r>
  <r>
    <x v="206"/>
    <d v="2020-02-14T00:00:00"/>
    <x v="0"/>
    <n v="373"/>
    <n v="-104"/>
    <x v="2"/>
    <n v="373"/>
    <x v="1"/>
  </r>
  <r>
    <x v="206"/>
    <d v="2020-02-23T00:00:00"/>
    <x v="2"/>
    <n v="902"/>
    <n v="-1006"/>
    <x v="2"/>
    <n v="-902"/>
    <x v="1"/>
  </r>
  <r>
    <x v="206"/>
    <d v="2020-02-28T00:00:00"/>
    <x v="2"/>
    <n v="948"/>
    <n v="-1954"/>
    <x v="2"/>
    <n v="-948"/>
    <x v="1"/>
  </r>
  <r>
    <x v="206"/>
    <d v="2020-03-01T00:00:00"/>
    <x v="2"/>
    <n v="237"/>
    <n v="-2191"/>
    <x v="1"/>
    <n v="-237"/>
    <x v="1"/>
  </r>
  <r>
    <x v="206"/>
    <d v="2020-03-02T00:00:00"/>
    <x v="0"/>
    <n v="668"/>
    <n v="-1523"/>
    <x v="1"/>
    <n v="668"/>
    <x v="1"/>
  </r>
  <r>
    <x v="206"/>
    <d v="2020-03-06T00:00:00"/>
    <x v="0"/>
    <n v="224"/>
    <n v="-1299"/>
    <x v="1"/>
    <n v="224"/>
    <x v="1"/>
  </r>
  <r>
    <x v="206"/>
    <d v="2020-03-09T00:00:00"/>
    <x v="2"/>
    <n v="536"/>
    <n v="-1835"/>
    <x v="1"/>
    <n v="-536"/>
    <x v="1"/>
  </r>
  <r>
    <x v="206"/>
    <d v="2020-03-17T00:00:00"/>
    <x v="2"/>
    <n v="317"/>
    <n v="-2152"/>
    <x v="1"/>
    <n v="-317"/>
    <x v="1"/>
  </r>
  <r>
    <x v="206"/>
    <d v="2020-04-11T00:00:00"/>
    <x v="0"/>
    <n v="798"/>
    <n v="-1354"/>
    <x v="3"/>
    <n v="798"/>
    <x v="1"/>
  </r>
  <r>
    <x v="206"/>
    <d v="2020-04-13T00:00:00"/>
    <x v="0"/>
    <n v="340"/>
    <n v="-1014"/>
    <x v="3"/>
    <n v="340"/>
    <x v="1"/>
  </r>
  <r>
    <x v="207"/>
    <d v="2020-01-19T00:00:00"/>
    <x v="0"/>
    <n v="537"/>
    <n v="537"/>
    <x v="0"/>
    <n v="537"/>
    <x v="0"/>
  </r>
  <r>
    <x v="207"/>
    <d v="2020-02-04T00:00:00"/>
    <x v="1"/>
    <n v="131"/>
    <n v="406"/>
    <x v="2"/>
    <n v="-131"/>
    <x v="0"/>
  </r>
  <r>
    <x v="207"/>
    <d v="2020-04-17T00:00:00"/>
    <x v="0"/>
    <n v="955"/>
    <n v="1361"/>
    <x v="3"/>
    <n v="955"/>
    <x v="0"/>
  </r>
  <r>
    <x v="208"/>
    <d v="2020-01-23T00:00:00"/>
    <x v="0"/>
    <n v="160"/>
    <n v="160"/>
    <x v="0"/>
    <n v="160"/>
    <x v="0"/>
  </r>
  <r>
    <x v="208"/>
    <d v="2020-01-24T00:00:00"/>
    <x v="1"/>
    <n v="363"/>
    <n v="-203"/>
    <x v="0"/>
    <n v="-363"/>
    <x v="1"/>
  </r>
  <r>
    <x v="208"/>
    <d v="2020-01-25T00:00:00"/>
    <x v="0"/>
    <n v="904"/>
    <n v="701"/>
    <x v="0"/>
    <n v="904"/>
    <x v="0"/>
  </r>
  <r>
    <x v="208"/>
    <d v="2020-01-30T00:00:00"/>
    <x v="2"/>
    <n v="903"/>
    <n v="-202"/>
    <x v="0"/>
    <n v="-903"/>
    <x v="1"/>
  </r>
  <r>
    <x v="208"/>
    <d v="2020-02-22T00:00:00"/>
    <x v="2"/>
    <n v="738"/>
    <n v="-940"/>
    <x v="2"/>
    <n v="-738"/>
    <x v="1"/>
  </r>
  <r>
    <x v="208"/>
    <d v="2020-02-24T00:00:00"/>
    <x v="0"/>
    <n v="174"/>
    <n v="-766"/>
    <x v="2"/>
    <n v="174"/>
    <x v="1"/>
  </r>
  <r>
    <x v="208"/>
    <d v="2020-03-01T00:00:00"/>
    <x v="2"/>
    <n v="430"/>
    <n v="-1196"/>
    <x v="1"/>
    <n v="-430"/>
    <x v="1"/>
  </r>
  <r>
    <x v="208"/>
    <d v="2020-03-08T00:00:00"/>
    <x v="0"/>
    <n v="522"/>
    <n v="-674"/>
    <x v="1"/>
    <n v="522"/>
    <x v="1"/>
  </r>
  <r>
    <x v="208"/>
    <d v="2020-03-14T00:00:00"/>
    <x v="0"/>
    <n v="909"/>
    <n v="235"/>
    <x v="1"/>
    <n v="909"/>
    <x v="0"/>
  </r>
  <r>
    <x v="208"/>
    <d v="2020-03-14T00:00:00"/>
    <x v="1"/>
    <n v="913"/>
    <n v="-678"/>
    <x v="1"/>
    <n v="-913"/>
    <x v="1"/>
  </r>
  <r>
    <x v="208"/>
    <d v="2020-03-21T00:00:00"/>
    <x v="2"/>
    <n v="66"/>
    <n v="-744"/>
    <x v="1"/>
    <n v="-66"/>
    <x v="1"/>
  </r>
  <r>
    <x v="208"/>
    <d v="2020-03-30T00:00:00"/>
    <x v="1"/>
    <n v="522"/>
    <n v="-1266"/>
    <x v="1"/>
    <n v="-522"/>
    <x v="1"/>
  </r>
  <r>
    <x v="208"/>
    <d v="2020-04-03T00:00:00"/>
    <x v="2"/>
    <n v="501"/>
    <n v="-1767"/>
    <x v="3"/>
    <n v="-501"/>
    <x v="1"/>
  </r>
  <r>
    <x v="208"/>
    <d v="2020-04-19T00:00:00"/>
    <x v="2"/>
    <n v="584"/>
    <n v="-2351"/>
    <x v="3"/>
    <n v="-584"/>
    <x v="1"/>
  </r>
  <r>
    <x v="209"/>
    <d v="2020-01-19T00:00:00"/>
    <x v="0"/>
    <n v="708"/>
    <n v="708"/>
    <x v="0"/>
    <n v="708"/>
    <x v="0"/>
  </r>
  <r>
    <x v="209"/>
    <d v="2020-01-20T00:00:00"/>
    <x v="0"/>
    <n v="103"/>
    <n v="811"/>
    <x v="0"/>
    <n v="103"/>
    <x v="0"/>
  </r>
  <r>
    <x v="209"/>
    <d v="2020-01-29T00:00:00"/>
    <x v="2"/>
    <n v="751"/>
    <n v="60"/>
    <x v="0"/>
    <n v="-751"/>
    <x v="0"/>
  </r>
  <r>
    <x v="209"/>
    <d v="2020-02-05T00:00:00"/>
    <x v="1"/>
    <n v="883"/>
    <n v="-823"/>
    <x v="2"/>
    <n v="-883"/>
    <x v="1"/>
  </r>
  <r>
    <x v="209"/>
    <d v="2020-02-06T00:00:00"/>
    <x v="2"/>
    <n v="486"/>
    <n v="-1309"/>
    <x v="2"/>
    <n v="-486"/>
    <x v="1"/>
  </r>
  <r>
    <x v="209"/>
    <d v="2020-02-16T00:00:00"/>
    <x v="2"/>
    <n v="17"/>
    <n v="-1326"/>
    <x v="2"/>
    <n v="-17"/>
    <x v="1"/>
  </r>
  <r>
    <x v="209"/>
    <d v="2020-02-19T00:00:00"/>
    <x v="2"/>
    <n v="267"/>
    <n v="-1593"/>
    <x v="2"/>
    <n v="-267"/>
    <x v="1"/>
  </r>
  <r>
    <x v="209"/>
    <d v="2020-02-19T00:00:00"/>
    <x v="2"/>
    <n v="358"/>
    <n v="-1951"/>
    <x v="2"/>
    <n v="-358"/>
    <x v="1"/>
  </r>
  <r>
    <x v="209"/>
    <d v="2020-02-21T00:00:00"/>
    <x v="2"/>
    <n v="678"/>
    <n v="-2629"/>
    <x v="2"/>
    <n v="-678"/>
    <x v="1"/>
  </r>
  <r>
    <x v="209"/>
    <d v="2020-02-23T00:00:00"/>
    <x v="0"/>
    <n v="422"/>
    <n v="-2207"/>
    <x v="2"/>
    <n v="422"/>
    <x v="1"/>
  </r>
  <r>
    <x v="209"/>
    <d v="2020-02-26T00:00:00"/>
    <x v="0"/>
    <n v="203"/>
    <n v="-2004"/>
    <x v="2"/>
    <n v="203"/>
    <x v="1"/>
  </r>
  <r>
    <x v="209"/>
    <d v="2020-02-26T00:00:00"/>
    <x v="0"/>
    <n v="579"/>
    <n v="-1425"/>
    <x v="2"/>
    <n v="579"/>
    <x v="1"/>
  </r>
  <r>
    <x v="209"/>
    <d v="2020-02-27T00:00:00"/>
    <x v="0"/>
    <n v="64"/>
    <n v="-1361"/>
    <x v="2"/>
    <n v="64"/>
    <x v="1"/>
  </r>
  <r>
    <x v="209"/>
    <d v="2020-03-06T00:00:00"/>
    <x v="2"/>
    <n v="926"/>
    <n v="-2287"/>
    <x v="1"/>
    <n v="-926"/>
    <x v="1"/>
  </r>
  <r>
    <x v="209"/>
    <d v="2020-03-09T00:00:00"/>
    <x v="0"/>
    <n v="782"/>
    <n v="-1505"/>
    <x v="1"/>
    <n v="782"/>
    <x v="1"/>
  </r>
  <r>
    <x v="209"/>
    <d v="2020-03-11T00:00:00"/>
    <x v="0"/>
    <n v="662"/>
    <n v="-843"/>
    <x v="1"/>
    <n v="662"/>
    <x v="1"/>
  </r>
  <r>
    <x v="209"/>
    <d v="2020-03-12T00:00:00"/>
    <x v="0"/>
    <n v="698"/>
    <n v="-145"/>
    <x v="1"/>
    <n v="698"/>
    <x v="1"/>
  </r>
  <r>
    <x v="209"/>
    <d v="2020-03-26T00:00:00"/>
    <x v="2"/>
    <n v="491"/>
    <n v="-636"/>
    <x v="1"/>
    <n v="-491"/>
    <x v="1"/>
  </r>
  <r>
    <x v="209"/>
    <d v="2020-03-31T00:00:00"/>
    <x v="2"/>
    <n v="673"/>
    <n v="-1309"/>
    <x v="1"/>
    <n v="-673"/>
    <x v="1"/>
  </r>
  <r>
    <x v="209"/>
    <d v="2020-04-08T00:00:00"/>
    <x v="0"/>
    <n v="517"/>
    <n v="-792"/>
    <x v="3"/>
    <n v="517"/>
    <x v="1"/>
  </r>
  <r>
    <x v="210"/>
    <d v="2020-01-19T00:00:00"/>
    <x v="0"/>
    <n v="485"/>
    <n v="485"/>
    <x v="0"/>
    <n v="485"/>
    <x v="0"/>
  </r>
  <r>
    <x v="210"/>
    <d v="2020-01-24T00:00:00"/>
    <x v="0"/>
    <n v="529"/>
    <n v="1014"/>
    <x v="0"/>
    <n v="529"/>
    <x v="0"/>
  </r>
  <r>
    <x v="210"/>
    <d v="2020-01-24T00:00:00"/>
    <x v="1"/>
    <n v="407"/>
    <n v="607"/>
    <x v="0"/>
    <n v="-407"/>
    <x v="0"/>
  </r>
  <r>
    <x v="210"/>
    <d v="2020-02-02T00:00:00"/>
    <x v="0"/>
    <n v="658"/>
    <n v="1265"/>
    <x v="2"/>
    <n v="658"/>
    <x v="0"/>
  </r>
  <r>
    <x v="210"/>
    <d v="2020-02-10T00:00:00"/>
    <x v="2"/>
    <n v="244"/>
    <n v="1021"/>
    <x v="2"/>
    <n v="-244"/>
    <x v="0"/>
  </r>
  <r>
    <x v="210"/>
    <d v="2020-02-17T00:00:00"/>
    <x v="2"/>
    <n v="718"/>
    <n v="303"/>
    <x v="2"/>
    <n v="-718"/>
    <x v="0"/>
  </r>
  <r>
    <x v="210"/>
    <d v="2020-02-17T00:00:00"/>
    <x v="0"/>
    <n v="801"/>
    <n v="1104"/>
    <x v="2"/>
    <n v="801"/>
    <x v="0"/>
  </r>
  <r>
    <x v="210"/>
    <d v="2020-02-26T00:00:00"/>
    <x v="0"/>
    <n v="735"/>
    <n v="1839"/>
    <x v="2"/>
    <n v="735"/>
    <x v="0"/>
  </r>
  <r>
    <x v="210"/>
    <d v="2020-03-02T00:00:00"/>
    <x v="1"/>
    <n v="296"/>
    <n v="1543"/>
    <x v="1"/>
    <n v="-296"/>
    <x v="0"/>
  </r>
  <r>
    <x v="210"/>
    <d v="2020-03-05T00:00:00"/>
    <x v="0"/>
    <n v="791"/>
    <n v="2334"/>
    <x v="1"/>
    <n v="791"/>
    <x v="0"/>
  </r>
  <r>
    <x v="210"/>
    <d v="2020-03-16T00:00:00"/>
    <x v="0"/>
    <n v="141"/>
    <n v="2475"/>
    <x v="1"/>
    <n v="141"/>
    <x v="0"/>
  </r>
  <r>
    <x v="210"/>
    <d v="2020-03-17T00:00:00"/>
    <x v="0"/>
    <n v="631"/>
    <n v="3106"/>
    <x v="1"/>
    <n v="631"/>
    <x v="0"/>
  </r>
  <r>
    <x v="210"/>
    <d v="2020-03-20T00:00:00"/>
    <x v="2"/>
    <n v="822"/>
    <n v="2284"/>
    <x v="1"/>
    <n v="-822"/>
    <x v="0"/>
  </r>
  <r>
    <x v="210"/>
    <d v="2020-03-20T00:00:00"/>
    <x v="1"/>
    <n v="79"/>
    <n v="2205"/>
    <x v="1"/>
    <n v="-79"/>
    <x v="0"/>
  </r>
  <r>
    <x v="210"/>
    <d v="2020-03-21T00:00:00"/>
    <x v="2"/>
    <n v="856"/>
    <n v="1349"/>
    <x v="1"/>
    <n v="-856"/>
    <x v="0"/>
  </r>
  <r>
    <x v="210"/>
    <d v="2020-03-23T00:00:00"/>
    <x v="2"/>
    <n v="278"/>
    <n v="1071"/>
    <x v="1"/>
    <n v="-278"/>
    <x v="0"/>
  </r>
  <r>
    <x v="210"/>
    <d v="2020-03-28T00:00:00"/>
    <x v="2"/>
    <n v="814"/>
    <n v="257"/>
    <x v="1"/>
    <n v="-814"/>
    <x v="0"/>
  </r>
  <r>
    <x v="210"/>
    <d v="2020-04-03T00:00:00"/>
    <x v="1"/>
    <n v="333"/>
    <n v="-76"/>
    <x v="3"/>
    <n v="-333"/>
    <x v="1"/>
  </r>
  <r>
    <x v="210"/>
    <d v="2020-04-12T00:00:00"/>
    <x v="2"/>
    <n v="526"/>
    <n v="-602"/>
    <x v="3"/>
    <n v="-526"/>
    <x v="1"/>
  </r>
  <r>
    <x v="211"/>
    <d v="2020-01-02T00:00:00"/>
    <x v="0"/>
    <n v="336"/>
    <n v="336"/>
    <x v="0"/>
    <n v="336"/>
    <x v="0"/>
  </r>
  <r>
    <x v="211"/>
    <d v="2020-01-13T00:00:00"/>
    <x v="2"/>
    <n v="159"/>
    <n v="177"/>
    <x v="0"/>
    <n v="-159"/>
    <x v="0"/>
  </r>
  <r>
    <x v="211"/>
    <d v="2020-01-21T00:00:00"/>
    <x v="2"/>
    <n v="482"/>
    <n v="-305"/>
    <x v="0"/>
    <n v="-482"/>
    <x v="1"/>
  </r>
  <r>
    <x v="211"/>
    <d v="2020-01-23T00:00:00"/>
    <x v="2"/>
    <n v="31"/>
    <n v="-336"/>
    <x v="0"/>
    <n v="-31"/>
    <x v="1"/>
  </r>
  <r>
    <x v="211"/>
    <d v="2020-02-14T00:00:00"/>
    <x v="0"/>
    <n v="740"/>
    <n v="404"/>
    <x v="2"/>
    <n v="740"/>
    <x v="0"/>
  </r>
  <r>
    <x v="211"/>
    <d v="2020-02-19T00:00:00"/>
    <x v="0"/>
    <n v="235"/>
    <n v="639"/>
    <x v="2"/>
    <n v="235"/>
    <x v="0"/>
  </r>
  <r>
    <x v="211"/>
    <d v="2020-02-25T00:00:00"/>
    <x v="2"/>
    <n v="442"/>
    <n v="197"/>
    <x v="2"/>
    <n v="-442"/>
    <x v="0"/>
  </r>
  <r>
    <x v="211"/>
    <d v="2020-02-26T00:00:00"/>
    <x v="2"/>
    <n v="127"/>
    <n v="70"/>
    <x v="2"/>
    <n v="-127"/>
    <x v="0"/>
  </r>
  <r>
    <x v="211"/>
    <d v="2020-02-28T00:00:00"/>
    <x v="0"/>
    <n v="16"/>
    <n v="86"/>
    <x v="2"/>
    <n v="16"/>
    <x v="0"/>
  </r>
  <r>
    <x v="211"/>
    <d v="2020-02-29T00:00:00"/>
    <x v="0"/>
    <n v="395"/>
    <n v="481"/>
    <x v="2"/>
    <n v="395"/>
    <x v="0"/>
  </r>
  <r>
    <x v="211"/>
    <d v="2020-03-02T00:00:00"/>
    <x v="0"/>
    <n v="683"/>
    <n v="1164"/>
    <x v="1"/>
    <n v="683"/>
    <x v="0"/>
  </r>
  <r>
    <x v="211"/>
    <d v="2020-03-04T00:00:00"/>
    <x v="1"/>
    <n v="453"/>
    <n v="711"/>
    <x v="1"/>
    <n v="-453"/>
    <x v="0"/>
  </r>
  <r>
    <x v="211"/>
    <d v="2020-03-04T00:00:00"/>
    <x v="0"/>
    <n v="910"/>
    <n v="1621"/>
    <x v="1"/>
    <n v="910"/>
    <x v="0"/>
  </r>
  <r>
    <x v="211"/>
    <d v="2020-03-12T00:00:00"/>
    <x v="1"/>
    <n v="74"/>
    <n v="1547"/>
    <x v="1"/>
    <n v="-74"/>
    <x v="0"/>
  </r>
  <r>
    <x v="211"/>
    <d v="2020-03-14T00:00:00"/>
    <x v="0"/>
    <n v="521"/>
    <n v="2068"/>
    <x v="1"/>
    <n v="521"/>
    <x v="0"/>
  </r>
  <r>
    <x v="211"/>
    <d v="2020-03-22T00:00:00"/>
    <x v="0"/>
    <n v="500"/>
    <n v="2568"/>
    <x v="1"/>
    <n v="500"/>
    <x v="0"/>
  </r>
  <r>
    <x v="211"/>
    <d v="2020-03-31T00:00:00"/>
    <x v="0"/>
    <n v="961"/>
    <n v="3529"/>
    <x v="1"/>
    <n v="961"/>
    <x v="0"/>
  </r>
  <r>
    <x v="212"/>
    <d v="2020-01-17T00:00:00"/>
    <x v="0"/>
    <n v="421"/>
    <n v="421"/>
    <x v="0"/>
    <n v="421"/>
    <x v="0"/>
  </r>
  <r>
    <x v="212"/>
    <d v="2020-01-21T00:00:00"/>
    <x v="1"/>
    <n v="942"/>
    <n v="-521"/>
    <x v="0"/>
    <n v="-942"/>
    <x v="1"/>
  </r>
  <r>
    <x v="212"/>
    <d v="2020-01-22T00:00:00"/>
    <x v="2"/>
    <n v="265"/>
    <n v="-786"/>
    <x v="0"/>
    <n v="-265"/>
    <x v="1"/>
  </r>
  <r>
    <x v="212"/>
    <d v="2020-01-28T00:00:00"/>
    <x v="0"/>
    <n v="547"/>
    <n v="-239"/>
    <x v="0"/>
    <n v="547"/>
    <x v="1"/>
  </r>
  <r>
    <x v="212"/>
    <d v="2020-02-08T00:00:00"/>
    <x v="0"/>
    <n v="143"/>
    <n v="-96"/>
    <x v="2"/>
    <n v="143"/>
    <x v="1"/>
  </r>
  <r>
    <x v="212"/>
    <d v="2020-02-10T00:00:00"/>
    <x v="2"/>
    <n v="196"/>
    <n v="-292"/>
    <x v="2"/>
    <n v="-196"/>
    <x v="1"/>
  </r>
  <r>
    <x v="212"/>
    <d v="2020-02-13T00:00:00"/>
    <x v="1"/>
    <n v="949"/>
    <n v="-1241"/>
    <x v="2"/>
    <n v="-949"/>
    <x v="1"/>
  </r>
  <r>
    <x v="212"/>
    <d v="2020-02-15T00:00:00"/>
    <x v="0"/>
    <n v="229"/>
    <n v="-1012"/>
    <x v="2"/>
    <n v="229"/>
    <x v="1"/>
  </r>
  <r>
    <x v="212"/>
    <d v="2020-02-23T00:00:00"/>
    <x v="1"/>
    <n v="187"/>
    <n v="-1199"/>
    <x v="2"/>
    <n v="-187"/>
    <x v="1"/>
  </r>
  <r>
    <x v="212"/>
    <d v="2020-03-21T00:00:00"/>
    <x v="0"/>
    <n v="562"/>
    <n v="-637"/>
    <x v="1"/>
    <n v="562"/>
    <x v="1"/>
  </r>
  <r>
    <x v="212"/>
    <d v="2020-03-23T00:00:00"/>
    <x v="2"/>
    <n v="4"/>
    <n v="-641"/>
    <x v="1"/>
    <n v="-4"/>
    <x v="1"/>
  </r>
  <r>
    <x v="212"/>
    <d v="2020-03-23T00:00:00"/>
    <x v="1"/>
    <n v="543"/>
    <n v="-1184"/>
    <x v="1"/>
    <n v="-543"/>
    <x v="1"/>
  </r>
  <r>
    <x v="212"/>
    <d v="2020-04-14T00:00:00"/>
    <x v="1"/>
    <n v="533"/>
    <n v="-1717"/>
    <x v="3"/>
    <n v="-533"/>
    <x v="1"/>
  </r>
  <r>
    <x v="213"/>
    <d v="2020-01-14T00:00:00"/>
    <x v="0"/>
    <n v="325"/>
    <n v="325"/>
    <x v="0"/>
    <n v="325"/>
    <x v="0"/>
  </r>
  <r>
    <x v="213"/>
    <d v="2020-01-20T00:00:00"/>
    <x v="0"/>
    <n v="191"/>
    <n v="516"/>
    <x v="0"/>
    <n v="191"/>
    <x v="0"/>
  </r>
  <r>
    <x v="213"/>
    <d v="2020-01-21T00:00:00"/>
    <x v="1"/>
    <n v="940"/>
    <n v="-424"/>
    <x v="0"/>
    <n v="-940"/>
    <x v="1"/>
  </r>
  <r>
    <x v="213"/>
    <d v="2020-01-31T00:00:00"/>
    <x v="1"/>
    <n v="21"/>
    <n v="-445"/>
    <x v="0"/>
    <n v="-21"/>
    <x v="1"/>
  </r>
  <r>
    <x v="213"/>
    <d v="2020-02-12T00:00:00"/>
    <x v="2"/>
    <n v="645"/>
    <n v="-1090"/>
    <x v="2"/>
    <n v="-645"/>
    <x v="1"/>
  </r>
  <r>
    <x v="213"/>
    <d v="2020-02-21T00:00:00"/>
    <x v="2"/>
    <n v="626"/>
    <n v="-1716"/>
    <x v="2"/>
    <n v="-626"/>
    <x v="1"/>
  </r>
  <r>
    <x v="213"/>
    <d v="2020-02-22T00:00:00"/>
    <x v="2"/>
    <n v="233"/>
    <n v="-1949"/>
    <x v="2"/>
    <n v="-233"/>
    <x v="1"/>
  </r>
  <r>
    <x v="213"/>
    <d v="2020-02-23T00:00:00"/>
    <x v="0"/>
    <n v="438"/>
    <n v="-1511"/>
    <x v="2"/>
    <n v="438"/>
    <x v="1"/>
  </r>
  <r>
    <x v="213"/>
    <d v="2020-03-02T00:00:00"/>
    <x v="0"/>
    <n v="698"/>
    <n v="-813"/>
    <x v="1"/>
    <n v="698"/>
    <x v="1"/>
  </r>
  <r>
    <x v="213"/>
    <d v="2020-03-04T00:00:00"/>
    <x v="0"/>
    <n v="116"/>
    <n v="-697"/>
    <x v="1"/>
    <n v="116"/>
    <x v="1"/>
  </r>
  <r>
    <x v="213"/>
    <d v="2020-03-05T00:00:00"/>
    <x v="0"/>
    <n v="780"/>
    <n v="83"/>
    <x v="1"/>
    <n v="780"/>
    <x v="0"/>
  </r>
  <r>
    <x v="213"/>
    <d v="2020-04-06T00:00:00"/>
    <x v="1"/>
    <n v="546"/>
    <n v="-463"/>
    <x v="3"/>
    <n v="-546"/>
    <x v="1"/>
  </r>
  <r>
    <x v="213"/>
    <d v="2020-04-07T00:00:00"/>
    <x v="0"/>
    <n v="918"/>
    <n v="455"/>
    <x v="3"/>
    <n v="918"/>
    <x v="0"/>
  </r>
  <r>
    <x v="213"/>
    <d v="2020-04-10T00:00:00"/>
    <x v="0"/>
    <n v="347"/>
    <n v="802"/>
    <x v="3"/>
    <n v="347"/>
    <x v="0"/>
  </r>
  <r>
    <x v="214"/>
    <d v="2020-01-27T00:00:00"/>
    <x v="0"/>
    <n v="822"/>
    <n v="822"/>
    <x v="0"/>
    <n v="822"/>
    <x v="0"/>
  </r>
  <r>
    <x v="214"/>
    <d v="2020-02-13T00:00:00"/>
    <x v="0"/>
    <n v="157"/>
    <n v="979"/>
    <x v="2"/>
    <n v="157"/>
    <x v="0"/>
  </r>
  <r>
    <x v="214"/>
    <d v="2020-02-15T00:00:00"/>
    <x v="0"/>
    <n v="813"/>
    <n v="1792"/>
    <x v="2"/>
    <n v="813"/>
    <x v="0"/>
  </r>
  <r>
    <x v="214"/>
    <d v="2020-02-21T00:00:00"/>
    <x v="1"/>
    <n v="34"/>
    <n v="1758"/>
    <x v="2"/>
    <n v="-34"/>
    <x v="0"/>
  </r>
  <r>
    <x v="214"/>
    <d v="2020-02-25T00:00:00"/>
    <x v="1"/>
    <n v="966"/>
    <n v="792"/>
    <x v="2"/>
    <n v="-966"/>
    <x v="0"/>
  </r>
  <r>
    <x v="214"/>
    <d v="2020-02-28T00:00:00"/>
    <x v="0"/>
    <n v="978"/>
    <n v="1770"/>
    <x v="2"/>
    <n v="978"/>
    <x v="0"/>
  </r>
  <r>
    <x v="214"/>
    <d v="2020-03-05T00:00:00"/>
    <x v="1"/>
    <n v="212"/>
    <n v="1558"/>
    <x v="1"/>
    <n v="-212"/>
    <x v="0"/>
  </r>
  <r>
    <x v="214"/>
    <d v="2020-03-13T00:00:00"/>
    <x v="1"/>
    <n v="861"/>
    <n v="697"/>
    <x v="1"/>
    <n v="-861"/>
    <x v="0"/>
  </r>
  <r>
    <x v="214"/>
    <d v="2020-04-16T00:00:00"/>
    <x v="2"/>
    <n v="283"/>
    <n v="414"/>
    <x v="3"/>
    <n v="-283"/>
    <x v="0"/>
  </r>
  <r>
    <x v="215"/>
    <d v="2020-01-04T00:00:00"/>
    <x v="0"/>
    <n v="567"/>
    <n v="567"/>
    <x v="0"/>
    <n v="567"/>
    <x v="0"/>
  </r>
  <r>
    <x v="215"/>
    <d v="2020-01-04T00:00:00"/>
    <x v="0"/>
    <n v="140"/>
    <n v="707"/>
    <x v="0"/>
    <n v="140"/>
    <x v="0"/>
  </r>
  <r>
    <x v="215"/>
    <d v="2020-01-05T00:00:00"/>
    <x v="0"/>
    <n v="721"/>
    <n v="1428"/>
    <x v="0"/>
    <n v="721"/>
    <x v="0"/>
  </r>
  <r>
    <x v="215"/>
    <d v="2020-01-05T00:00:00"/>
    <x v="1"/>
    <n v="378"/>
    <n v="1050"/>
    <x v="0"/>
    <n v="-378"/>
    <x v="0"/>
  </r>
  <r>
    <x v="215"/>
    <d v="2020-01-10T00:00:00"/>
    <x v="2"/>
    <n v="673"/>
    <n v="377"/>
    <x v="0"/>
    <n v="-673"/>
    <x v="0"/>
  </r>
  <r>
    <x v="215"/>
    <d v="2020-01-15T00:00:00"/>
    <x v="0"/>
    <n v="763"/>
    <n v="1140"/>
    <x v="0"/>
    <n v="763"/>
    <x v="0"/>
  </r>
  <r>
    <x v="215"/>
    <d v="2020-01-30T00:00:00"/>
    <x v="0"/>
    <n v="479"/>
    <n v="1619"/>
    <x v="0"/>
    <n v="479"/>
    <x v="0"/>
  </r>
  <r>
    <x v="215"/>
    <d v="2020-02-02T00:00:00"/>
    <x v="0"/>
    <n v="913"/>
    <n v="2532"/>
    <x v="2"/>
    <n v="913"/>
    <x v="0"/>
  </r>
  <r>
    <x v="215"/>
    <d v="2020-02-06T00:00:00"/>
    <x v="0"/>
    <n v="889"/>
    <n v="3421"/>
    <x v="2"/>
    <n v="889"/>
    <x v="0"/>
  </r>
  <r>
    <x v="215"/>
    <d v="2020-02-12T00:00:00"/>
    <x v="0"/>
    <n v="201"/>
    <n v="3622"/>
    <x v="2"/>
    <n v="201"/>
    <x v="0"/>
  </r>
  <r>
    <x v="215"/>
    <d v="2020-02-14T00:00:00"/>
    <x v="0"/>
    <n v="766"/>
    <n v="4388"/>
    <x v="2"/>
    <n v="766"/>
    <x v="0"/>
  </r>
  <r>
    <x v="215"/>
    <d v="2020-02-23T00:00:00"/>
    <x v="2"/>
    <n v="780"/>
    <n v="3608"/>
    <x v="2"/>
    <n v="-780"/>
    <x v="0"/>
  </r>
  <r>
    <x v="215"/>
    <d v="2020-02-29T00:00:00"/>
    <x v="2"/>
    <n v="306"/>
    <n v="3302"/>
    <x v="2"/>
    <n v="-306"/>
    <x v="0"/>
  </r>
  <r>
    <x v="215"/>
    <d v="2020-03-09T00:00:00"/>
    <x v="1"/>
    <n v="931"/>
    <n v="2371"/>
    <x v="1"/>
    <n v="-931"/>
    <x v="0"/>
  </r>
  <r>
    <x v="215"/>
    <d v="2020-03-17T00:00:00"/>
    <x v="2"/>
    <n v="648"/>
    <n v="1723"/>
    <x v="1"/>
    <n v="-648"/>
    <x v="0"/>
  </r>
  <r>
    <x v="215"/>
    <d v="2020-03-21T00:00:00"/>
    <x v="2"/>
    <n v="181"/>
    <n v="1542"/>
    <x v="1"/>
    <n v="-181"/>
    <x v="0"/>
  </r>
  <r>
    <x v="215"/>
    <d v="2020-03-26T00:00:00"/>
    <x v="2"/>
    <n v="350"/>
    <n v="1192"/>
    <x v="1"/>
    <n v="-350"/>
    <x v="0"/>
  </r>
  <r>
    <x v="215"/>
    <d v="2020-03-26T00:00:00"/>
    <x v="2"/>
    <n v="320"/>
    <n v="872"/>
    <x v="1"/>
    <n v="-320"/>
    <x v="0"/>
  </r>
  <r>
    <x v="215"/>
    <d v="2020-04-01T00:00:00"/>
    <x v="1"/>
    <n v="982"/>
    <n v="-110"/>
    <x v="3"/>
    <n v="-982"/>
    <x v="1"/>
  </r>
  <r>
    <x v="216"/>
    <d v="2020-01-08T00:00:00"/>
    <x v="0"/>
    <n v="783"/>
    <n v="783"/>
    <x v="0"/>
    <n v="783"/>
    <x v="0"/>
  </r>
  <r>
    <x v="216"/>
    <d v="2020-01-09T00:00:00"/>
    <x v="2"/>
    <n v="281"/>
    <n v="502"/>
    <x v="0"/>
    <n v="-281"/>
    <x v="0"/>
  </r>
  <r>
    <x v="216"/>
    <d v="2020-01-17T00:00:00"/>
    <x v="0"/>
    <n v="847"/>
    <n v="1349"/>
    <x v="0"/>
    <n v="847"/>
    <x v="0"/>
  </r>
  <r>
    <x v="216"/>
    <d v="2020-01-17T00:00:00"/>
    <x v="2"/>
    <n v="667"/>
    <n v="682"/>
    <x v="0"/>
    <n v="-667"/>
    <x v="0"/>
  </r>
  <r>
    <x v="216"/>
    <d v="2020-01-23T00:00:00"/>
    <x v="0"/>
    <n v="188"/>
    <n v="870"/>
    <x v="0"/>
    <n v="188"/>
    <x v="0"/>
  </r>
  <r>
    <x v="216"/>
    <d v="2020-02-01T00:00:00"/>
    <x v="0"/>
    <n v="304"/>
    <n v="1174"/>
    <x v="2"/>
    <n v="304"/>
    <x v="0"/>
  </r>
  <r>
    <x v="216"/>
    <d v="2020-02-13T00:00:00"/>
    <x v="0"/>
    <n v="874"/>
    <n v="2048"/>
    <x v="2"/>
    <n v="874"/>
    <x v="0"/>
  </r>
  <r>
    <x v="216"/>
    <d v="2020-02-15T00:00:00"/>
    <x v="1"/>
    <n v="15"/>
    <n v="2033"/>
    <x v="2"/>
    <n v="-15"/>
    <x v="0"/>
  </r>
  <r>
    <x v="216"/>
    <d v="2020-02-16T00:00:00"/>
    <x v="2"/>
    <n v="909"/>
    <n v="1124"/>
    <x v="2"/>
    <n v="-909"/>
    <x v="0"/>
  </r>
  <r>
    <x v="216"/>
    <d v="2020-02-17T00:00:00"/>
    <x v="0"/>
    <n v="299"/>
    <n v="1423"/>
    <x v="2"/>
    <n v="299"/>
    <x v="0"/>
  </r>
  <r>
    <x v="216"/>
    <d v="2020-02-21T00:00:00"/>
    <x v="0"/>
    <n v="475"/>
    <n v="1898"/>
    <x v="2"/>
    <n v="475"/>
    <x v="0"/>
  </r>
  <r>
    <x v="216"/>
    <d v="2020-02-23T00:00:00"/>
    <x v="2"/>
    <n v="582"/>
    <n v="1316"/>
    <x v="2"/>
    <n v="-582"/>
    <x v="0"/>
  </r>
  <r>
    <x v="216"/>
    <d v="2020-02-26T00:00:00"/>
    <x v="2"/>
    <n v="99"/>
    <n v="1217"/>
    <x v="2"/>
    <n v="-99"/>
    <x v="0"/>
  </r>
  <r>
    <x v="216"/>
    <d v="2020-02-29T00:00:00"/>
    <x v="0"/>
    <n v="622"/>
    <n v="1839"/>
    <x v="2"/>
    <n v="622"/>
    <x v="0"/>
  </r>
  <r>
    <x v="216"/>
    <d v="2020-03-13T00:00:00"/>
    <x v="2"/>
    <n v="555"/>
    <n v="1284"/>
    <x v="1"/>
    <n v="-555"/>
    <x v="0"/>
  </r>
  <r>
    <x v="216"/>
    <d v="2020-03-15T00:00:00"/>
    <x v="0"/>
    <n v="713"/>
    <n v="1997"/>
    <x v="1"/>
    <n v="713"/>
    <x v="0"/>
  </r>
  <r>
    <x v="216"/>
    <d v="2020-03-25T00:00:00"/>
    <x v="1"/>
    <n v="487"/>
    <n v="1510"/>
    <x v="1"/>
    <n v="-487"/>
    <x v="0"/>
  </r>
  <r>
    <x v="216"/>
    <d v="2020-03-26T00:00:00"/>
    <x v="0"/>
    <n v="35"/>
    <n v="1545"/>
    <x v="1"/>
    <n v="35"/>
    <x v="0"/>
  </r>
  <r>
    <x v="216"/>
    <d v="2020-03-27T00:00:00"/>
    <x v="2"/>
    <n v="951"/>
    <n v="594"/>
    <x v="1"/>
    <n v="-951"/>
    <x v="0"/>
  </r>
  <r>
    <x v="216"/>
    <d v="2020-03-31T00:00:00"/>
    <x v="1"/>
    <n v="585"/>
    <n v="9"/>
    <x v="1"/>
    <n v="-585"/>
    <x v="0"/>
  </r>
  <r>
    <x v="217"/>
    <d v="2020-01-29T00:00:00"/>
    <x v="0"/>
    <n v="208"/>
    <n v="208"/>
    <x v="0"/>
    <n v="208"/>
    <x v="0"/>
  </r>
  <r>
    <x v="217"/>
    <d v="2020-02-09T00:00:00"/>
    <x v="1"/>
    <n v="805"/>
    <n v="-597"/>
    <x v="2"/>
    <n v="-805"/>
    <x v="1"/>
  </r>
  <r>
    <x v="217"/>
    <d v="2020-02-12T00:00:00"/>
    <x v="1"/>
    <n v="697"/>
    <n v="-1294"/>
    <x v="2"/>
    <n v="-697"/>
    <x v="1"/>
  </r>
  <r>
    <x v="217"/>
    <d v="2020-02-13T00:00:00"/>
    <x v="1"/>
    <n v="933"/>
    <n v="-2227"/>
    <x v="2"/>
    <n v="-933"/>
    <x v="1"/>
  </r>
  <r>
    <x v="217"/>
    <d v="2020-02-16T00:00:00"/>
    <x v="1"/>
    <n v="142"/>
    <n v="-2369"/>
    <x v="2"/>
    <n v="-142"/>
    <x v="1"/>
  </r>
  <r>
    <x v="217"/>
    <d v="2020-02-28T00:00:00"/>
    <x v="0"/>
    <n v="749"/>
    <n v="-1620"/>
    <x v="2"/>
    <n v="749"/>
    <x v="1"/>
  </r>
  <r>
    <x v="217"/>
    <d v="2020-03-02T00:00:00"/>
    <x v="2"/>
    <n v="146"/>
    <n v="-1766"/>
    <x v="1"/>
    <n v="-146"/>
    <x v="1"/>
  </r>
  <r>
    <x v="217"/>
    <d v="2020-03-03T00:00:00"/>
    <x v="0"/>
    <n v="1000"/>
    <n v="-766"/>
    <x v="1"/>
    <n v="1000"/>
    <x v="1"/>
  </r>
  <r>
    <x v="217"/>
    <d v="2020-03-04T00:00:00"/>
    <x v="0"/>
    <n v="67"/>
    <n v="-699"/>
    <x v="1"/>
    <n v="67"/>
    <x v="1"/>
  </r>
  <r>
    <x v="217"/>
    <d v="2020-03-05T00:00:00"/>
    <x v="0"/>
    <n v="33"/>
    <n v="-666"/>
    <x v="1"/>
    <n v="33"/>
    <x v="1"/>
  </r>
  <r>
    <x v="217"/>
    <d v="2020-03-08T00:00:00"/>
    <x v="2"/>
    <n v="774"/>
    <n v="-1440"/>
    <x v="1"/>
    <n v="-774"/>
    <x v="1"/>
  </r>
  <r>
    <x v="217"/>
    <d v="2020-03-08T00:00:00"/>
    <x v="0"/>
    <n v="583"/>
    <n v="-857"/>
    <x v="1"/>
    <n v="583"/>
    <x v="1"/>
  </r>
  <r>
    <x v="217"/>
    <d v="2020-03-10T00:00:00"/>
    <x v="0"/>
    <n v="829"/>
    <n v="-28"/>
    <x v="1"/>
    <n v="829"/>
    <x v="1"/>
  </r>
  <r>
    <x v="217"/>
    <d v="2020-03-13T00:00:00"/>
    <x v="1"/>
    <n v="894"/>
    <n v="-922"/>
    <x v="1"/>
    <n v="-894"/>
    <x v="1"/>
  </r>
  <r>
    <x v="217"/>
    <d v="2020-03-15T00:00:00"/>
    <x v="0"/>
    <n v="80"/>
    <n v="-842"/>
    <x v="1"/>
    <n v="80"/>
    <x v="1"/>
  </r>
  <r>
    <x v="217"/>
    <d v="2020-03-15T00:00:00"/>
    <x v="0"/>
    <n v="766"/>
    <n v="-76"/>
    <x v="1"/>
    <n v="766"/>
    <x v="1"/>
  </r>
  <r>
    <x v="217"/>
    <d v="2020-03-19T00:00:00"/>
    <x v="0"/>
    <n v="333"/>
    <n v="257"/>
    <x v="1"/>
    <n v="333"/>
    <x v="0"/>
  </r>
  <r>
    <x v="217"/>
    <d v="2020-03-22T00:00:00"/>
    <x v="1"/>
    <n v="494"/>
    <n v="-237"/>
    <x v="1"/>
    <n v="-494"/>
    <x v="1"/>
  </r>
  <r>
    <x v="217"/>
    <d v="2020-03-23T00:00:00"/>
    <x v="1"/>
    <n v="228"/>
    <n v="-465"/>
    <x v="1"/>
    <n v="-228"/>
    <x v="1"/>
  </r>
  <r>
    <x v="217"/>
    <d v="2020-04-04T00:00:00"/>
    <x v="0"/>
    <n v="835"/>
    <n v="370"/>
    <x v="3"/>
    <n v="835"/>
    <x v="0"/>
  </r>
  <r>
    <x v="217"/>
    <d v="2020-04-10T00:00:00"/>
    <x v="2"/>
    <n v="80"/>
    <n v="290"/>
    <x v="3"/>
    <n v="-80"/>
    <x v="0"/>
  </r>
  <r>
    <x v="217"/>
    <d v="2020-04-19T00:00:00"/>
    <x v="0"/>
    <n v="877"/>
    <n v="1167"/>
    <x v="3"/>
    <n v="877"/>
    <x v="0"/>
  </r>
  <r>
    <x v="218"/>
    <d v="2020-01-06T00:00:00"/>
    <x v="1"/>
    <n v="274"/>
    <n v="-274"/>
    <x v="0"/>
    <n v="-274"/>
    <x v="1"/>
  </r>
  <r>
    <x v="218"/>
    <d v="2020-01-06T00:00:00"/>
    <x v="0"/>
    <n v="419"/>
    <n v="145"/>
    <x v="0"/>
    <n v="419"/>
    <x v="0"/>
  </r>
  <r>
    <x v="218"/>
    <d v="2020-01-10T00:00:00"/>
    <x v="0"/>
    <n v="20"/>
    <n v="165"/>
    <x v="0"/>
    <n v="20"/>
    <x v="0"/>
  </r>
  <r>
    <x v="218"/>
    <d v="2020-02-13T00:00:00"/>
    <x v="1"/>
    <n v="142"/>
    <n v="23"/>
    <x v="2"/>
    <n v="-142"/>
    <x v="0"/>
  </r>
  <r>
    <x v="218"/>
    <d v="2020-02-15T00:00:00"/>
    <x v="1"/>
    <n v="428"/>
    <n v="-405"/>
    <x v="2"/>
    <n v="-428"/>
    <x v="1"/>
  </r>
  <r>
    <x v="218"/>
    <d v="2020-02-17T00:00:00"/>
    <x v="2"/>
    <n v="609"/>
    <n v="-1014"/>
    <x v="2"/>
    <n v="-609"/>
    <x v="1"/>
  </r>
  <r>
    <x v="218"/>
    <d v="2020-02-24T00:00:00"/>
    <x v="2"/>
    <n v="282"/>
    <n v="-1296"/>
    <x v="2"/>
    <n v="-282"/>
    <x v="1"/>
  </r>
  <r>
    <x v="218"/>
    <d v="2020-02-26T00:00:00"/>
    <x v="0"/>
    <n v="93"/>
    <n v="-1203"/>
    <x v="2"/>
    <n v="93"/>
    <x v="1"/>
  </r>
  <r>
    <x v="218"/>
    <d v="2020-02-27T00:00:00"/>
    <x v="2"/>
    <n v="256"/>
    <n v="-1459"/>
    <x v="2"/>
    <n v="-256"/>
    <x v="1"/>
  </r>
  <r>
    <x v="218"/>
    <d v="2020-02-28T00:00:00"/>
    <x v="0"/>
    <n v="614"/>
    <n v="-845"/>
    <x v="2"/>
    <n v="614"/>
    <x v="1"/>
  </r>
  <r>
    <x v="218"/>
    <d v="2020-03-01T00:00:00"/>
    <x v="0"/>
    <n v="1000"/>
    <n v="155"/>
    <x v="1"/>
    <n v="1000"/>
    <x v="0"/>
  </r>
  <r>
    <x v="218"/>
    <d v="2020-03-21T00:00:00"/>
    <x v="0"/>
    <n v="502"/>
    <n v="657"/>
    <x v="1"/>
    <n v="502"/>
    <x v="0"/>
  </r>
  <r>
    <x v="218"/>
    <d v="2020-03-22T00:00:00"/>
    <x v="0"/>
    <n v="489"/>
    <n v="1146"/>
    <x v="1"/>
    <n v="489"/>
    <x v="0"/>
  </r>
  <r>
    <x v="218"/>
    <d v="2020-03-24T00:00:00"/>
    <x v="1"/>
    <n v="291"/>
    <n v="855"/>
    <x v="1"/>
    <n v="-291"/>
    <x v="0"/>
  </r>
  <r>
    <x v="218"/>
    <d v="2020-03-29T00:00:00"/>
    <x v="0"/>
    <n v="253"/>
    <n v="1108"/>
    <x v="1"/>
    <n v="253"/>
    <x v="0"/>
  </r>
  <r>
    <x v="218"/>
    <d v="2020-04-03T00:00:00"/>
    <x v="1"/>
    <n v="802"/>
    <n v="306"/>
    <x v="3"/>
    <n v="-802"/>
    <x v="0"/>
  </r>
  <r>
    <x v="219"/>
    <d v="2020-01-21T00:00:00"/>
    <x v="0"/>
    <n v="307"/>
    <n v="307"/>
    <x v="0"/>
    <n v="307"/>
    <x v="0"/>
  </r>
  <r>
    <x v="219"/>
    <d v="2020-02-02T00:00:00"/>
    <x v="0"/>
    <n v="776"/>
    <n v="1083"/>
    <x v="2"/>
    <n v="776"/>
    <x v="0"/>
  </r>
  <r>
    <x v="219"/>
    <d v="2020-02-09T00:00:00"/>
    <x v="1"/>
    <n v="465"/>
    <n v="618"/>
    <x v="2"/>
    <n v="-465"/>
    <x v="0"/>
  </r>
  <r>
    <x v="219"/>
    <d v="2020-02-16T00:00:00"/>
    <x v="0"/>
    <n v="514"/>
    <n v="1132"/>
    <x v="2"/>
    <n v="514"/>
    <x v="0"/>
  </r>
  <r>
    <x v="219"/>
    <d v="2020-02-26T00:00:00"/>
    <x v="2"/>
    <n v="418"/>
    <n v="714"/>
    <x v="2"/>
    <n v="-418"/>
    <x v="0"/>
  </r>
  <r>
    <x v="219"/>
    <d v="2020-03-19T00:00:00"/>
    <x v="0"/>
    <n v="579"/>
    <n v="1293"/>
    <x v="1"/>
    <n v="579"/>
    <x v="0"/>
  </r>
  <r>
    <x v="219"/>
    <d v="2020-03-23T00:00:00"/>
    <x v="1"/>
    <n v="350"/>
    <n v="943"/>
    <x v="1"/>
    <n v="-350"/>
    <x v="0"/>
  </r>
  <r>
    <x v="219"/>
    <d v="2020-03-29T00:00:00"/>
    <x v="1"/>
    <n v="972"/>
    <n v="-29"/>
    <x v="1"/>
    <n v="-972"/>
    <x v="1"/>
  </r>
  <r>
    <x v="219"/>
    <d v="2020-04-01T00:00:00"/>
    <x v="0"/>
    <n v="326"/>
    <n v="297"/>
    <x v="3"/>
    <n v="326"/>
    <x v="0"/>
  </r>
  <r>
    <x v="219"/>
    <d v="2020-04-05T00:00:00"/>
    <x v="2"/>
    <n v="657"/>
    <n v="-360"/>
    <x v="3"/>
    <n v="-657"/>
    <x v="1"/>
  </r>
  <r>
    <x v="219"/>
    <d v="2020-04-06T00:00:00"/>
    <x v="2"/>
    <n v="762"/>
    <n v="-1122"/>
    <x v="3"/>
    <n v="-762"/>
    <x v="1"/>
  </r>
  <r>
    <x v="219"/>
    <d v="2020-04-13T00:00:00"/>
    <x v="0"/>
    <n v="164"/>
    <n v="-958"/>
    <x v="3"/>
    <n v="164"/>
    <x v="1"/>
  </r>
  <r>
    <x v="220"/>
    <d v="2020-01-06T00:00:00"/>
    <x v="0"/>
    <n v="147"/>
    <n v="147"/>
    <x v="0"/>
    <n v="147"/>
    <x v="0"/>
  </r>
  <r>
    <x v="220"/>
    <d v="2020-01-17T00:00:00"/>
    <x v="0"/>
    <n v="112"/>
    <n v="259"/>
    <x v="0"/>
    <n v="112"/>
    <x v="0"/>
  </r>
  <r>
    <x v="220"/>
    <d v="2020-01-21T00:00:00"/>
    <x v="1"/>
    <n v="14"/>
    <n v="245"/>
    <x v="0"/>
    <n v="-14"/>
    <x v="0"/>
  </r>
  <r>
    <x v="220"/>
    <d v="2020-01-23T00:00:00"/>
    <x v="0"/>
    <n v="256"/>
    <n v="501"/>
    <x v="0"/>
    <n v="256"/>
    <x v="0"/>
  </r>
  <r>
    <x v="220"/>
    <d v="2020-01-24T00:00:00"/>
    <x v="0"/>
    <n v="883"/>
    <n v="1384"/>
    <x v="0"/>
    <n v="883"/>
    <x v="0"/>
  </r>
  <r>
    <x v="220"/>
    <d v="2020-02-24T00:00:00"/>
    <x v="0"/>
    <n v="508"/>
    <n v="1892"/>
    <x v="2"/>
    <n v="508"/>
    <x v="0"/>
  </r>
  <r>
    <x v="220"/>
    <d v="2020-02-27T00:00:00"/>
    <x v="1"/>
    <n v="411"/>
    <n v="1481"/>
    <x v="2"/>
    <n v="-411"/>
    <x v="0"/>
  </r>
  <r>
    <x v="220"/>
    <d v="2020-03-07T00:00:00"/>
    <x v="2"/>
    <n v="427"/>
    <n v="1054"/>
    <x v="1"/>
    <n v="-427"/>
    <x v="0"/>
  </r>
  <r>
    <x v="220"/>
    <d v="2020-03-07T00:00:00"/>
    <x v="0"/>
    <n v="312"/>
    <n v="1366"/>
    <x v="1"/>
    <n v="312"/>
    <x v="0"/>
  </r>
  <r>
    <x v="220"/>
    <d v="2020-03-08T00:00:00"/>
    <x v="1"/>
    <n v="136"/>
    <n v="1230"/>
    <x v="1"/>
    <n v="-136"/>
    <x v="0"/>
  </r>
  <r>
    <x v="220"/>
    <d v="2020-03-14T00:00:00"/>
    <x v="1"/>
    <n v="175"/>
    <n v="1055"/>
    <x v="1"/>
    <n v="-175"/>
    <x v="0"/>
  </r>
  <r>
    <x v="221"/>
    <d v="2020-01-11T00:00:00"/>
    <x v="0"/>
    <n v="311"/>
    <n v="311"/>
    <x v="0"/>
    <n v="311"/>
    <x v="0"/>
  </r>
  <r>
    <x v="221"/>
    <d v="2020-01-25T00:00:00"/>
    <x v="0"/>
    <n v="57"/>
    <n v="368"/>
    <x v="0"/>
    <n v="57"/>
    <x v="0"/>
  </r>
  <r>
    <x v="221"/>
    <d v="2020-01-27T00:00:00"/>
    <x v="0"/>
    <n v="289"/>
    <n v="657"/>
    <x v="0"/>
    <n v="289"/>
    <x v="0"/>
  </r>
  <r>
    <x v="221"/>
    <d v="2020-02-04T00:00:00"/>
    <x v="0"/>
    <n v="245"/>
    <n v="902"/>
    <x v="2"/>
    <n v="245"/>
    <x v="0"/>
  </r>
  <r>
    <x v="221"/>
    <d v="2020-02-17T00:00:00"/>
    <x v="0"/>
    <n v="925"/>
    <n v="1827"/>
    <x v="2"/>
    <n v="925"/>
    <x v="0"/>
  </r>
  <r>
    <x v="221"/>
    <d v="2020-02-19T00:00:00"/>
    <x v="0"/>
    <n v="640"/>
    <n v="2467"/>
    <x v="2"/>
    <n v="640"/>
    <x v="0"/>
  </r>
  <r>
    <x v="221"/>
    <d v="2020-02-19T00:00:00"/>
    <x v="2"/>
    <n v="567"/>
    <n v="1900"/>
    <x v="2"/>
    <n v="-567"/>
    <x v="0"/>
  </r>
  <r>
    <x v="221"/>
    <d v="2020-02-21T00:00:00"/>
    <x v="0"/>
    <n v="97"/>
    <n v="1997"/>
    <x v="2"/>
    <n v="97"/>
    <x v="0"/>
  </r>
  <r>
    <x v="221"/>
    <d v="2020-03-08T00:00:00"/>
    <x v="1"/>
    <n v="861"/>
    <n v="1136"/>
    <x v="1"/>
    <n v="-861"/>
    <x v="0"/>
  </r>
  <r>
    <x v="221"/>
    <d v="2020-04-09T00:00:00"/>
    <x v="0"/>
    <n v="396"/>
    <n v="1532"/>
    <x v="3"/>
    <n v="396"/>
    <x v="0"/>
  </r>
  <r>
    <x v="222"/>
    <d v="2020-01-11T00:00:00"/>
    <x v="0"/>
    <n v="431"/>
    <n v="431"/>
    <x v="0"/>
    <n v="431"/>
    <x v="0"/>
  </r>
  <r>
    <x v="222"/>
    <d v="2020-01-14T00:00:00"/>
    <x v="0"/>
    <n v="813"/>
    <n v="1244"/>
    <x v="0"/>
    <n v="813"/>
    <x v="0"/>
  </r>
  <r>
    <x v="222"/>
    <d v="2020-01-23T00:00:00"/>
    <x v="2"/>
    <n v="948"/>
    <n v="296"/>
    <x v="0"/>
    <n v="-948"/>
    <x v="0"/>
  </r>
  <r>
    <x v="222"/>
    <d v="2020-01-26T00:00:00"/>
    <x v="0"/>
    <n v="336"/>
    <n v="632"/>
    <x v="0"/>
    <n v="336"/>
    <x v="0"/>
  </r>
  <r>
    <x v="222"/>
    <d v="2020-01-27T00:00:00"/>
    <x v="1"/>
    <n v="268"/>
    <n v="364"/>
    <x v="0"/>
    <n v="-268"/>
    <x v="0"/>
  </r>
  <r>
    <x v="222"/>
    <d v="2020-01-31T00:00:00"/>
    <x v="0"/>
    <n v="32"/>
    <n v="396"/>
    <x v="0"/>
    <n v="32"/>
    <x v="0"/>
  </r>
  <r>
    <x v="222"/>
    <d v="2020-02-02T00:00:00"/>
    <x v="1"/>
    <n v="956"/>
    <n v="-560"/>
    <x v="2"/>
    <n v="-956"/>
    <x v="1"/>
  </r>
  <r>
    <x v="222"/>
    <d v="2020-02-12T00:00:00"/>
    <x v="2"/>
    <n v="540"/>
    <n v="-1100"/>
    <x v="2"/>
    <n v="-540"/>
    <x v="1"/>
  </r>
  <r>
    <x v="222"/>
    <d v="2020-03-01T00:00:00"/>
    <x v="1"/>
    <n v="364"/>
    <n v="-1464"/>
    <x v="1"/>
    <n v="-364"/>
    <x v="1"/>
  </r>
  <r>
    <x v="222"/>
    <d v="2020-03-05T00:00:00"/>
    <x v="2"/>
    <n v="822"/>
    <n v="-2286"/>
    <x v="1"/>
    <n v="-822"/>
    <x v="1"/>
  </r>
  <r>
    <x v="222"/>
    <d v="2020-03-06T00:00:00"/>
    <x v="0"/>
    <n v="956"/>
    <n v="-1330"/>
    <x v="1"/>
    <n v="956"/>
    <x v="1"/>
  </r>
  <r>
    <x v="222"/>
    <d v="2020-03-11T00:00:00"/>
    <x v="0"/>
    <n v="24"/>
    <n v="-1306"/>
    <x v="1"/>
    <n v="24"/>
    <x v="1"/>
  </r>
  <r>
    <x v="222"/>
    <d v="2020-03-18T00:00:00"/>
    <x v="0"/>
    <n v="139"/>
    <n v="-1167"/>
    <x v="1"/>
    <n v="139"/>
    <x v="1"/>
  </r>
  <r>
    <x v="222"/>
    <d v="2020-03-20T00:00:00"/>
    <x v="2"/>
    <n v="257"/>
    <n v="-1424"/>
    <x v="1"/>
    <n v="-257"/>
    <x v="1"/>
  </r>
  <r>
    <x v="222"/>
    <d v="2020-03-26T00:00:00"/>
    <x v="2"/>
    <n v="846"/>
    <n v="-2270"/>
    <x v="1"/>
    <n v="-846"/>
    <x v="1"/>
  </r>
  <r>
    <x v="222"/>
    <d v="2020-03-29T00:00:00"/>
    <x v="1"/>
    <n v="25"/>
    <n v="-2295"/>
    <x v="1"/>
    <n v="-25"/>
    <x v="1"/>
  </r>
  <r>
    <x v="222"/>
    <d v="2020-03-29T00:00:00"/>
    <x v="0"/>
    <n v="572"/>
    <n v="-1723"/>
    <x v="1"/>
    <n v="572"/>
    <x v="1"/>
  </r>
  <r>
    <x v="222"/>
    <d v="2020-04-06T00:00:00"/>
    <x v="0"/>
    <n v="490"/>
    <n v="-1233"/>
    <x v="3"/>
    <n v="490"/>
    <x v="1"/>
  </r>
  <r>
    <x v="222"/>
    <d v="2020-04-06T00:00:00"/>
    <x v="1"/>
    <n v="870"/>
    <n v="-2103"/>
    <x v="3"/>
    <n v="-870"/>
    <x v="1"/>
  </r>
  <r>
    <x v="222"/>
    <d v="2020-04-09T00:00:00"/>
    <x v="2"/>
    <n v="332"/>
    <n v="-2435"/>
    <x v="3"/>
    <n v="-332"/>
    <x v="1"/>
  </r>
  <r>
    <x v="223"/>
    <d v="2020-01-21T00:00:00"/>
    <x v="0"/>
    <n v="487"/>
    <n v="487"/>
    <x v="0"/>
    <n v="487"/>
    <x v="0"/>
  </r>
  <r>
    <x v="223"/>
    <d v="2020-02-13T00:00:00"/>
    <x v="1"/>
    <n v="491"/>
    <n v="-4"/>
    <x v="2"/>
    <n v="-491"/>
    <x v="1"/>
  </r>
  <r>
    <x v="223"/>
    <d v="2020-02-14T00:00:00"/>
    <x v="1"/>
    <n v="765"/>
    <n v="-769"/>
    <x v="2"/>
    <n v="-765"/>
    <x v="1"/>
  </r>
  <r>
    <x v="223"/>
    <d v="2020-02-20T00:00:00"/>
    <x v="0"/>
    <n v="899"/>
    <n v="130"/>
    <x v="2"/>
    <n v="899"/>
    <x v="0"/>
  </r>
  <r>
    <x v="223"/>
    <d v="2020-02-22T00:00:00"/>
    <x v="1"/>
    <n v="336"/>
    <n v="-206"/>
    <x v="2"/>
    <n v="-336"/>
    <x v="1"/>
  </r>
  <r>
    <x v="223"/>
    <d v="2020-03-12T00:00:00"/>
    <x v="2"/>
    <n v="907"/>
    <n v="-1113"/>
    <x v="1"/>
    <n v="-907"/>
    <x v="1"/>
  </r>
  <r>
    <x v="223"/>
    <d v="2020-03-13T00:00:00"/>
    <x v="0"/>
    <n v="883"/>
    <n v="-230"/>
    <x v="1"/>
    <n v="883"/>
    <x v="1"/>
  </r>
  <r>
    <x v="223"/>
    <d v="2020-03-26T00:00:00"/>
    <x v="0"/>
    <n v="486"/>
    <n v="256"/>
    <x v="1"/>
    <n v="486"/>
    <x v="0"/>
  </r>
  <r>
    <x v="223"/>
    <d v="2020-03-28T00:00:00"/>
    <x v="1"/>
    <n v="910"/>
    <n v="-654"/>
    <x v="1"/>
    <n v="-910"/>
    <x v="1"/>
  </r>
  <r>
    <x v="223"/>
    <d v="2020-03-31T00:00:00"/>
    <x v="2"/>
    <n v="927"/>
    <n v="-1581"/>
    <x v="1"/>
    <n v="-927"/>
    <x v="1"/>
  </r>
  <r>
    <x v="223"/>
    <d v="2020-04-04T00:00:00"/>
    <x v="0"/>
    <n v="212"/>
    <n v="-1369"/>
    <x v="3"/>
    <n v="212"/>
    <x v="1"/>
  </r>
  <r>
    <x v="224"/>
    <d v="2020-01-10T00:00:00"/>
    <x v="0"/>
    <n v="280"/>
    <n v="280"/>
    <x v="0"/>
    <n v="280"/>
    <x v="0"/>
  </r>
  <r>
    <x v="224"/>
    <d v="2020-02-13T00:00:00"/>
    <x v="0"/>
    <n v="489"/>
    <n v="769"/>
    <x v="2"/>
    <n v="489"/>
    <x v="0"/>
  </r>
  <r>
    <x v="224"/>
    <d v="2020-02-29T00:00:00"/>
    <x v="2"/>
    <n v="858"/>
    <n v="-89"/>
    <x v="2"/>
    <n v="-858"/>
    <x v="1"/>
  </r>
  <r>
    <x v="224"/>
    <d v="2020-03-11T00:00:00"/>
    <x v="0"/>
    <n v="567"/>
    <n v="478"/>
    <x v="1"/>
    <n v="567"/>
    <x v="0"/>
  </r>
  <r>
    <x v="224"/>
    <d v="2020-03-26T00:00:00"/>
    <x v="2"/>
    <n v="75"/>
    <n v="403"/>
    <x v="1"/>
    <n v="-75"/>
    <x v="0"/>
  </r>
  <r>
    <x v="224"/>
    <d v="2020-03-28T00:00:00"/>
    <x v="1"/>
    <n v="106"/>
    <n v="297"/>
    <x v="1"/>
    <n v="-106"/>
    <x v="0"/>
  </r>
  <r>
    <x v="225"/>
    <d v="2020-01-11T00:00:00"/>
    <x v="0"/>
    <n v="854"/>
    <n v="854"/>
    <x v="0"/>
    <n v="854"/>
    <x v="0"/>
  </r>
  <r>
    <x v="225"/>
    <d v="2020-01-17T00:00:00"/>
    <x v="2"/>
    <n v="762"/>
    <n v="92"/>
    <x v="0"/>
    <n v="-762"/>
    <x v="0"/>
  </r>
  <r>
    <x v="225"/>
    <d v="2020-01-19T00:00:00"/>
    <x v="1"/>
    <n v="930"/>
    <n v="-838"/>
    <x v="0"/>
    <n v="-930"/>
    <x v="1"/>
  </r>
  <r>
    <x v="225"/>
    <d v="2020-01-23T00:00:00"/>
    <x v="0"/>
    <n v="529"/>
    <n v="-309"/>
    <x v="0"/>
    <n v="529"/>
    <x v="1"/>
  </r>
  <r>
    <x v="225"/>
    <d v="2020-01-29T00:00:00"/>
    <x v="2"/>
    <n v="671"/>
    <n v="-980"/>
    <x v="0"/>
    <n v="-671"/>
    <x v="1"/>
  </r>
  <r>
    <x v="225"/>
    <d v="2020-02-01T00:00:00"/>
    <x v="0"/>
    <n v="485"/>
    <n v="-495"/>
    <x v="2"/>
    <n v="485"/>
    <x v="1"/>
  </r>
  <r>
    <x v="225"/>
    <d v="2020-02-06T00:00:00"/>
    <x v="0"/>
    <n v="427"/>
    <n v="-68"/>
    <x v="2"/>
    <n v="427"/>
    <x v="1"/>
  </r>
  <r>
    <x v="225"/>
    <d v="2020-02-12T00:00:00"/>
    <x v="1"/>
    <n v="47"/>
    <n v="-115"/>
    <x v="2"/>
    <n v="-47"/>
    <x v="1"/>
  </r>
  <r>
    <x v="225"/>
    <d v="2020-02-12T00:00:00"/>
    <x v="0"/>
    <n v="262"/>
    <n v="147"/>
    <x v="2"/>
    <n v="262"/>
    <x v="0"/>
  </r>
  <r>
    <x v="225"/>
    <d v="2020-02-12T00:00:00"/>
    <x v="1"/>
    <n v="757"/>
    <n v="-610"/>
    <x v="2"/>
    <n v="-757"/>
    <x v="1"/>
  </r>
  <r>
    <x v="225"/>
    <d v="2020-02-12T00:00:00"/>
    <x v="1"/>
    <n v="200"/>
    <n v="-810"/>
    <x v="2"/>
    <n v="-200"/>
    <x v="1"/>
  </r>
  <r>
    <x v="225"/>
    <d v="2020-02-25T00:00:00"/>
    <x v="0"/>
    <n v="560"/>
    <n v="-250"/>
    <x v="2"/>
    <n v="560"/>
    <x v="1"/>
  </r>
  <r>
    <x v="225"/>
    <d v="2020-02-26T00:00:00"/>
    <x v="1"/>
    <n v="336"/>
    <n v="-586"/>
    <x v="2"/>
    <n v="-336"/>
    <x v="1"/>
  </r>
  <r>
    <x v="225"/>
    <d v="2020-03-14T00:00:00"/>
    <x v="2"/>
    <n v="479"/>
    <n v="-1065"/>
    <x v="1"/>
    <n v="-479"/>
    <x v="1"/>
  </r>
  <r>
    <x v="225"/>
    <d v="2020-03-18T00:00:00"/>
    <x v="2"/>
    <n v="320"/>
    <n v="-1385"/>
    <x v="1"/>
    <n v="-320"/>
    <x v="1"/>
  </r>
  <r>
    <x v="225"/>
    <d v="2020-03-18T00:00:00"/>
    <x v="1"/>
    <n v="946"/>
    <n v="-2331"/>
    <x v="1"/>
    <n v="-946"/>
    <x v="1"/>
  </r>
  <r>
    <x v="225"/>
    <d v="2020-03-25T00:00:00"/>
    <x v="0"/>
    <n v="429"/>
    <n v="-1902"/>
    <x v="1"/>
    <n v="429"/>
    <x v="1"/>
  </r>
  <r>
    <x v="225"/>
    <d v="2020-03-30T00:00:00"/>
    <x v="2"/>
    <n v="231"/>
    <n v="-2133"/>
    <x v="1"/>
    <n v="-231"/>
    <x v="1"/>
  </r>
  <r>
    <x v="225"/>
    <d v="2020-03-31T00:00:00"/>
    <x v="0"/>
    <n v="278"/>
    <n v="-1855"/>
    <x v="1"/>
    <n v="278"/>
    <x v="1"/>
  </r>
  <r>
    <x v="225"/>
    <d v="2020-04-01T00:00:00"/>
    <x v="2"/>
    <n v="356"/>
    <n v="-2211"/>
    <x v="3"/>
    <n v="-356"/>
    <x v="1"/>
  </r>
  <r>
    <x v="225"/>
    <d v="2020-04-03T00:00:00"/>
    <x v="1"/>
    <n v="73"/>
    <n v="-2284"/>
    <x v="3"/>
    <n v="-73"/>
    <x v="1"/>
  </r>
  <r>
    <x v="225"/>
    <d v="2020-04-07T00:00:00"/>
    <x v="0"/>
    <n v="854"/>
    <n v="-1430"/>
    <x v="3"/>
    <n v="854"/>
    <x v="1"/>
  </r>
  <r>
    <x v="226"/>
    <d v="2020-01-07T00:00:00"/>
    <x v="0"/>
    <n v="468"/>
    <n v="468"/>
    <x v="0"/>
    <n v="468"/>
    <x v="0"/>
  </r>
  <r>
    <x v="226"/>
    <d v="2020-01-12T00:00:00"/>
    <x v="2"/>
    <n v="819"/>
    <n v="-351"/>
    <x v="0"/>
    <n v="-819"/>
    <x v="1"/>
  </r>
  <r>
    <x v="226"/>
    <d v="2020-01-24T00:00:00"/>
    <x v="1"/>
    <n v="271"/>
    <n v="-622"/>
    <x v="0"/>
    <n v="-271"/>
    <x v="1"/>
  </r>
  <r>
    <x v="226"/>
    <d v="2020-02-03T00:00:00"/>
    <x v="2"/>
    <n v="872"/>
    <n v="-1494"/>
    <x v="2"/>
    <n v="-872"/>
    <x v="1"/>
  </r>
  <r>
    <x v="226"/>
    <d v="2020-02-24T00:00:00"/>
    <x v="0"/>
    <n v="449"/>
    <n v="-1045"/>
    <x v="2"/>
    <n v="449"/>
    <x v="1"/>
  </r>
  <r>
    <x v="226"/>
    <d v="2020-03-01T00:00:00"/>
    <x v="1"/>
    <n v="537"/>
    <n v="-1582"/>
    <x v="1"/>
    <n v="-537"/>
    <x v="1"/>
  </r>
  <r>
    <x v="226"/>
    <d v="2020-03-10T00:00:00"/>
    <x v="0"/>
    <n v="393"/>
    <n v="-1189"/>
    <x v="1"/>
    <n v="393"/>
    <x v="1"/>
  </r>
  <r>
    <x v="226"/>
    <d v="2020-03-16T00:00:00"/>
    <x v="1"/>
    <n v="559"/>
    <n v="-1748"/>
    <x v="1"/>
    <n v="-559"/>
    <x v="1"/>
  </r>
  <r>
    <x v="226"/>
    <d v="2020-03-21T00:00:00"/>
    <x v="2"/>
    <n v="106"/>
    <n v="-1854"/>
    <x v="1"/>
    <n v="-106"/>
    <x v="1"/>
  </r>
  <r>
    <x v="226"/>
    <d v="2020-03-22T00:00:00"/>
    <x v="2"/>
    <n v="482"/>
    <n v="-2336"/>
    <x v="1"/>
    <n v="-482"/>
    <x v="1"/>
  </r>
  <r>
    <x v="226"/>
    <d v="2020-04-04T00:00:00"/>
    <x v="2"/>
    <n v="825"/>
    <n v="-3161"/>
    <x v="3"/>
    <n v="-825"/>
    <x v="1"/>
  </r>
  <r>
    <x v="227"/>
    <d v="2020-01-10T00:00:00"/>
    <x v="0"/>
    <n v="294"/>
    <n v="294"/>
    <x v="0"/>
    <n v="294"/>
    <x v="0"/>
  </r>
  <r>
    <x v="227"/>
    <d v="2020-02-27T00:00:00"/>
    <x v="2"/>
    <n v="547"/>
    <n v="-253"/>
    <x v="2"/>
    <n v="-547"/>
    <x v="1"/>
  </r>
  <r>
    <x v="227"/>
    <d v="2020-03-28T00:00:00"/>
    <x v="1"/>
    <n v="760"/>
    <n v="-1013"/>
    <x v="1"/>
    <n v="-760"/>
    <x v="1"/>
  </r>
  <r>
    <x v="227"/>
    <d v="2020-03-30T00:00:00"/>
    <x v="1"/>
    <n v="711"/>
    <n v="-1724"/>
    <x v="1"/>
    <n v="-711"/>
    <x v="1"/>
  </r>
  <r>
    <x v="228"/>
    <d v="2020-01-23T00:00:00"/>
    <x v="0"/>
    <n v="180"/>
    <n v="180"/>
    <x v="0"/>
    <n v="180"/>
    <x v="0"/>
  </r>
  <r>
    <x v="228"/>
    <d v="2020-01-30T00:00:00"/>
    <x v="0"/>
    <n v="441"/>
    <n v="621"/>
    <x v="0"/>
    <n v="441"/>
    <x v="0"/>
  </r>
  <r>
    <x v="228"/>
    <d v="2020-02-19T00:00:00"/>
    <x v="0"/>
    <n v="997"/>
    <n v="1618"/>
    <x v="2"/>
    <n v="997"/>
    <x v="0"/>
  </r>
  <r>
    <x v="228"/>
    <d v="2020-03-16T00:00:00"/>
    <x v="1"/>
    <n v="915"/>
    <n v="703"/>
    <x v="1"/>
    <n v="-915"/>
    <x v="0"/>
  </r>
  <r>
    <x v="229"/>
    <d v="2020-01-21T00:00:00"/>
    <x v="0"/>
    <n v="675"/>
    <n v="675"/>
    <x v="0"/>
    <n v="675"/>
    <x v="0"/>
  </r>
  <r>
    <x v="229"/>
    <d v="2020-01-28T00:00:00"/>
    <x v="2"/>
    <n v="176"/>
    <n v="499"/>
    <x v="0"/>
    <n v="-176"/>
    <x v="0"/>
  </r>
  <r>
    <x v="229"/>
    <d v="2020-02-08T00:00:00"/>
    <x v="2"/>
    <n v="108"/>
    <n v="391"/>
    <x v="2"/>
    <n v="-108"/>
    <x v="0"/>
  </r>
  <r>
    <x v="229"/>
    <d v="2020-02-09T00:00:00"/>
    <x v="0"/>
    <n v="959"/>
    <n v="1350"/>
    <x v="2"/>
    <n v="959"/>
    <x v="0"/>
  </r>
  <r>
    <x v="229"/>
    <d v="2020-02-25T00:00:00"/>
    <x v="1"/>
    <n v="360"/>
    <n v="990"/>
    <x v="2"/>
    <n v="-360"/>
    <x v="0"/>
  </r>
  <r>
    <x v="229"/>
    <d v="2020-03-02T00:00:00"/>
    <x v="0"/>
    <n v="35"/>
    <n v="1025"/>
    <x v="1"/>
    <n v="35"/>
    <x v="0"/>
  </r>
  <r>
    <x v="229"/>
    <d v="2020-03-19T00:00:00"/>
    <x v="0"/>
    <n v="527"/>
    <n v="1552"/>
    <x v="1"/>
    <n v="527"/>
    <x v="0"/>
  </r>
  <r>
    <x v="229"/>
    <d v="2020-03-24T00:00:00"/>
    <x v="0"/>
    <n v="876"/>
    <n v="2428"/>
    <x v="1"/>
    <n v="876"/>
    <x v="0"/>
  </r>
  <r>
    <x v="229"/>
    <d v="2020-04-06T00:00:00"/>
    <x v="2"/>
    <n v="72"/>
    <n v="2356"/>
    <x v="3"/>
    <n v="-72"/>
    <x v="0"/>
  </r>
  <r>
    <x v="230"/>
    <d v="2020-01-20T00:00:00"/>
    <x v="0"/>
    <n v="122"/>
    <n v="122"/>
    <x v="0"/>
    <n v="122"/>
    <x v="0"/>
  </r>
  <r>
    <x v="230"/>
    <d v="2020-01-28T00:00:00"/>
    <x v="2"/>
    <n v="120"/>
    <n v="2"/>
    <x v="0"/>
    <n v="-120"/>
    <x v="0"/>
  </r>
  <r>
    <x v="230"/>
    <d v="2020-01-30T00:00:00"/>
    <x v="1"/>
    <n v="238"/>
    <n v="-236"/>
    <x v="0"/>
    <n v="-238"/>
    <x v="1"/>
  </r>
  <r>
    <x v="230"/>
    <d v="2020-02-07T00:00:00"/>
    <x v="2"/>
    <n v="64"/>
    <n v="-300"/>
    <x v="2"/>
    <n v="-64"/>
    <x v="1"/>
  </r>
  <r>
    <x v="230"/>
    <d v="2020-02-14T00:00:00"/>
    <x v="2"/>
    <n v="572"/>
    <n v="-872"/>
    <x v="2"/>
    <n v="-572"/>
    <x v="1"/>
  </r>
  <r>
    <x v="230"/>
    <d v="2020-02-16T00:00:00"/>
    <x v="0"/>
    <n v="736"/>
    <n v="-136"/>
    <x v="2"/>
    <n v="736"/>
    <x v="1"/>
  </r>
  <r>
    <x v="230"/>
    <d v="2020-02-22T00:00:00"/>
    <x v="1"/>
    <n v="398"/>
    <n v="-534"/>
    <x v="2"/>
    <n v="-398"/>
    <x v="1"/>
  </r>
  <r>
    <x v="230"/>
    <d v="2020-03-02T00:00:00"/>
    <x v="2"/>
    <n v="199"/>
    <n v="-733"/>
    <x v="1"/>
    <n v="-199"/>
    <x v="1"/>
  </r>
  <r>
    <x v="230"/>
    <d v="2020-03-06T00:00:00"/>
    <x v="1"/>
    <n v="952"/>
    <n v="-1685"/>
    <x v="1"/>
    <n v="-952"/>
    <x v="1"/>
  </r>
  <r>
    <x v="230"/>
    <d v="2020-03-13T00:00:00"/>
    <x v="1"/>
    <n v="258"/>
    <n v="-1943"/>
    <x v="1"/>
    <n v="-258"/>
    <x v="1"/>
  </r>
  <r>
    <x v="230"/>
    <d v="2020-03-31T00:00:00"/>
    <x v="2"/>
    <n v="67"/>
    <n v="-2010"/>
    <x v="1"/>
    <n v="-67"/>
    <x v="1"/>
  </r>
  <r>
    <x v="230"/>
    <d v="2020-04-04T00:00:00"/>
    <x v="0"/>
    <n v="22"/>
    <n v="-1988"/>
    <x v="3"/>
    <n v="22"/>
    <x v="1"/>
  </r>
  <r>
    <x v="230"/>
    <d v="2020-04-09T00:00:00"/>
    <x v="2"/>
    <n v="487"/>
    <n v="-2475"/>
    <x v="3"/>
    <n v="-487"/>
    <x v="1"/>
  </r>
  <r>
    <x v="231"/>
    <d v="2020-01-02T00:00:00"/>
    <x v="0"/>
    <n v="843"/>
    <n v="843"/>
    <x v="0"/>
    <n v="843"/>
    <x v="0"/>
  </r>
  <r>
    <x v="231"/>
    <d v="2020-01-11T00:00:00"/>
    <x v="0"/>
    <n v="833"/>
    <n v="1676"/>
    <x v="0"/>
    <n v="833"/>
    <x v="0"/>
  </r>
  <r>
    <x v="231"/>
    <d v="2020-01-23T00:00:00"/>
    <x v="0"/>
    <n v="551"/>
    <n v="2227"/>
    <x v="0"/>
    <n v="551"/>
    <x v="0"/>
  </r>
  <r>
    <x v="231"/>
    <d v="2020-01-27T00:00:00"/>
    <x v="1"/>
    <n v="809"/>
    <n v="1418"/>
    <x v="0"/>
    <n v="-809"/>
    <x v="0"/>
  </r>
  <r>
    <x v="231"/>
    <d v="2020-02-08T00:00:00"/>
    <x v="1"/>
    <n v="227"/>
    <n v="1191"/>
    <x v="2"/>
    <n v="-227"/>
    <x v="0"/>
  </r>
  <r>
    <x v="231"/>
    <d v="2020-02-10T00:00:00"/>
    <x v="2"/>
    <n v="54"/>
    <n v="1137"/>
    <x v="2"/>
    <n v="-54"/>
    <x v="0"/>
  </r>
  <r>
    <x v="231"/>
    <d v="2020-02-10T00:00:00"/>
    <x v="0"/>
    <n v="411"/>
    <n v="1548"/>
    <x v="2"/>
    <n v="411"/>
    <x v="0"/>
  </r>
  <r>
    <x v="231"/>
    <d v="2020-02-16T00:00:00"/>
    <x v="1"/>
    <n v="612"/>
    <n v="936"/>
    <x v="2"/>
    <n v="-612"/>
    <x v="0"/>
  </r>
  <r>
    <x v="231"/>
    <d v="2020-02-16T00:00:00"/>
    <x v="1"/>
    <n v="502"/>
    <n v="434"/>
    <x v="2"/>
    <n v="-502"/>
    <x v="0"/>
  </r>
  <r>
    <x v="231"/>
    <d v="2020-02-20T00:00:00"/>
    <x v="0"/>
    <n v="227"/>
    <n v="661"/>
    <x v="2"/>
    <n v="227"/>
    <x v="0"/>
  </r>
  <r>
    <x v="231"/>
    <d v="2020-02-21T00:00:00"/>
    <x v="2"/>
    <n v="252"/>
    <n v="409"/>
    <x v="2"/>
    <n v="-252"/>
    <x v="0"/>
  </r>
  <r>
    <x v="231"/>
    <d v="2020-02-27T00:00:00"/>
    <x v="0"/>
    <n v="455"/>
    <n v="864"/>
    <x v="2"/>
    <n v="455"/>
    <x v="0"/>
  </r>
  <r>
    <x v="231"/>
    <d v="2020-03-06T00:00:00"/>
    <x v="2"/>
    <n v="738"/>
    <n v="126"/>
    <x v="1"/>
    <n v="-738"/>
    <x v="0"/>
  </r>
  <r>
    <x v="231"/>
    <d v="2020-03-09T00:00:00"/>
    <x v="1"/>
    <n v="22"/>
    <n v="104"/>
    <x v="1"/>
    <n v="-22"/>
    <x v="0"/>
  </r>
  <r>
    <x v="231"/>
    <d v="2020-03-28T00:00:00"/>
    <x v="0"/>
    <n v="584"/>
    <n v="688"/>
    <x v="1"/>
    <n v="584"/>
    <x v="0"/>
  </r>
  <r>
    <x v="231"/>
    <d v="2020-03-30T00:00:00"/>
    <x v="0"/>
    <n v="235"/>
    <n v="923"/>
    <x v="1"/>
    <n v="235"/>
    <x v="0"/>
  </r>
  <r>
    <x v="232"/>
    <d v="2020-01-03T00:00:00"/>
    <x v="0"/>
    <n v="187"/>
    <n v="187"/>
    <x v="0"/>
    <n v="187"/>
    <x v="0"/>
  </r>
  <r>
    <x v="232"/>
    <d v="2020-01-08T00:00:00"/>
    <x v="0"/>
    <n v="833"/>
    <n v="1020"/>
    <x v="0"/>
    <n v="833"/>
    <x v="0"/>
  </r>
  <r>
    <x v="232"/>
    <d v="2020-01-17T00:00:00"/>
    <x v="0"/>
    <n v="801"/>
    <n v="1821"/>
    <x v="0"/>
    <n v="801"/>
    <x v="0"/>
  </r>
  <r>
    <x v="232"/>
    <d v="2020-01-21T00:00:00"/>
    <x v="1"/>
    <n v="471"/>
    <n v="1350"/>
    <x v="0"/>
    <n v="-471"/>
    <x v="0"/>
  </r>
  <r>
    <x v="232"/>
    <d v="2020-01-23T00:00:00"/>
    <x v="0"/>
    <n v="445"/>
    <n v="1795"/>
    <x v="0"/>
    <n v="445"/>
    <x v="0"/>
  </r>
  <r>
    <x v="232"/>
    <d v="2020-02-08T00:00:00"/>
    <x v="0"/>
    <n v="234"/>
    <n v="2029"/>
    <x v="2"/>
    <n v="234"/>
    <x v="0"/>
  </r>
  <r>
    <x v="232"/>
    <d v="2020-02-12T00:00:00"/>
    <x v="0"/>
    <n v="837"/>
    <n v="2866"/>
    <x v="2"/>
    <n v="837"/>
    <x v="0"/>
  </r>
  <r>
    <x v="232"/>
    <d v="2020-02-14T00:00:00"/>
    <x v="0"/>
    <n v="572"/>
    <n v="3438"/>
    <x v="2"/>
    <n v="572"/>
    <x v="0"/>
  </r>
  <r>
    <x v="232"/>
    <d v="2020-02-28T00:00:00"/>
    <x v="1"/>
    <n v="528"/>
    <n v="2910"/>
    <x v="2"/>
    <n v="-528"/>
    <x v="0"/>
  </r>
  <r>
    <x v="232"/>
    <d v="2020-03-01T00:00:00"/>
    <x v="0"/>
    <n v="832"/>
    <n v="3742"/>
    <x v="1"/>
    <n v="832"/>
    <x v="0"/>
  </r>
  <r>
    <x v="233"/>
    <d v="2020-01-03T00:00:00"/>
    <x v="0"/>
    <n v="236"/>
    <n v="236"/>
    <x v="0"/>
    <n v="236"/>
    <x v="0"/>
  </r>
  <r>
    <x v="233"/>
    <d v="2020-01-04T00:00:00"/>
    <x v="0"/>
    <n v="295"/>
    <n v="531"/>
    <x v="0"/>
    <n v="295"/>
    <x v="0"/>
  </r>
  <r>
    <x v="233"/>
    <d v="2020-01-04T00:00:00"/>
    <x v="1"/>
    <n v="134"/>
    <n v="397"/>
    <x v="0"/>
    <n v="-134"/>
    <x v="0"/>
  </r>
  <r>
    <x v="233"/>
    <d v="2020-01-06T00:00:00"/>
    <x v="0"/>
    <n v="418"/>
    <n v="815"/>
    <x v="0"/>
    <n v="418"/>
    <x v="0"/>
  </r>
  <r>
    <x v="233"/>
    <d v="2020-01-16T00:00:00"/>
    <x v="1"/>
    <n v="937"/>
    <n v="-122"/>
    <x v="0"/>
    <n v="-937"/>
    <x v="1"/>
  </r>
  <r>
    <x v="233"/>
    <d v="2020-01-24T00:00:00"/>
    <x v="1"/>
    <n v="76"/>
    <n v="-198"/>
    <x v="0"/>
    <n v="-76"/>
    <x v="1"/>
  </r>
  <r>
    <x v="233"/>
    <d v="2020-01-28T00:00:00"/>
    <x v="1"/>
    <n v="2"/>
    <n v="-200"/>
    <x v="0"/>
    <n v="-2"/>
    <x v="1"/>
  </r>
  <r>
    <x v="233"/>
    <d v="2020-02-01T00:00:00"/>
    <x v="2"/>
    <n v="110"/>
    <n v="-310"/>
    <x v="2"/>
    <n v="-110"/>
    <x v="1"/>
  </r>
  <r>
    <x v="233"/>
    <d v="2020-02-02T00:00:00"/>
    <x v="2"/>
    <n v="250"/>
    <n v="-560"/>
    <x v="2"/>
    <n v="-250"/>
    <x v="1"/>
  </r>
  <r>
    <x v="233"/>
    <d v="2020-02-18T00:00:00"/>
    <x v="1"/>
    <n v="834"/>
    <n v="-1394"/>
    <x v="2"/>
    <n v="-834"/>
    <x v="1"/>
  </r>
  <r>
    <x v="233"/>
    <d v="2020-02-22T00:00:00"/>
    <x v="0"/>
    <n v="567"/>
    <n v="-827"/>
    <x v="2"/>
    <n v="567"/>
    <x v="1"/>
  </r>
  <r>
    <x v="233"/>
    <d v="2020-02-24T00:00:00"/>
    <x v="0"/>
    <n v="222"/>
    <n v="-605"/>
    <x v="2"/>
    <n v="222"/>
    <x v="1"/>
  </r>
  <r>
    <x v="233"/>
    <d v="2020-02-29T00:00:00"/>
    <x v="0"/>
    <n v="927"/>
    <n v="322"/>
    <x v="2"/>
    <n v="927"/>
    <x v="0"/>
  </r>
  <r>
    <x v="233"/>
    <d v="2020-03-03T00:00:00"/>
    <x v="1"/>
    <n v="325"/>
    <n v="-3"/>
    <x v="1"/>
    <n v="-325"/>
    <x v="1"/>
  </r>
  <r>
    <x v="233"/>
    <d v="2020-03-06T00:00:00"/>
    <x v="1"/>
    <n v="875"/>
    <n v="-878"/>
    <x v="1"/>
    <n v="-875"/>
    <x v="1"/>
  </r>
  <r>
    <x v="233"/>
    <d v="2020-03-09T00:00:00"/>
    <x v="1"/>
    <n v="426"/>
    <n v="-1304"/>
    <x v="1"/>
    <n v="-426"/>
    <x v="1"/>
  </r>
  <r>
    <x v="233"/>
    <d v="2020-03-09T00:00:00"/>
    <x v="1"/>
    <n v="701"/>
    <n v="-2005"/>
    <x v="1"/>
    <n v="-701"/>
    <x v="1"/>
  </r>
  <r>
    <x v="233"/>
    <d v="2020-03-13T00:00:00"/>
    <x v="0"/>
    <n v="904"/>
    <n v="-1101"/>
    <x v="1"/>
    <n v="904"/>
    <x v="1"/>
  </r>
  <r>
    <x v="233"/>
    <d v="2020-03-15T00:00:00"/>
    <x v="0"/>
    <n v="656"/>
    <n v="-445"/>
    <x v="1"/>
    <n v="656"/>
    <x v="1"/>
  </r>
  <r>
    <x v="233"/>
    <d v="2020-03-17T00:00:00"/>
    <x v="2"/>
    <n v="745"/>
    <n v="-1190"/>
    <x v="1"/>
    <n v="-745"/>
    <x v="1"/>
  </r>
  <r>
    <x v="233"/>
    <d v="2020-03-20T00:00:00"/>
    <x v="2"/>
    <n v="494"/>
    <n v="-1684"/>
    <x v="1"/>
    <n v="-494"/>
    <x v="1"/>
  </r>
  <r>
    <x v="233"/>
    <d v="2020-03-29T00:00:00"/>
    <x v="1"/>
    <n v="592"/>
    <n v="-2276"/>
    <x v="1"/>
    <n v="-592"/>
    <x v="1"/>
  </r>
  <r>
    <x v="234"/>
    <d v="2020-01-07T00:00:00"/>
    <x v="0"/>
    <n v="723"/>
    <n v="723"/>
    <x v="0"/>
    <n v="723"/>
    <x v="0"/>
  </r>
  <r>
    <x v="234"/>
    <d v="2020-01-10T00:00:00"/>
    <x v="1"/>
    <n v="919"/>
    <n v="-196"/>
    <x v="0"/>
    <n v="-919"/>
    <x v="1"/>
  </r>
  <r>
    <x v="234"/>
    <d v="2020-01-22T00:00:00"/>
    <x v="1"/>
    <n v="890"/>
    <n v="-1086"/>
    <x v="0"/>
    <n v="-890"/>
    <x v="1"/>
  </r>
  <r>
    <x v="234"/>
    <d v="2020-01-31T00:00:00"/>
    <x v="1"/>
    <n v="877"/>
    <n v="-1963"/>
    <x v="0"/>
    <n v="-877"/>
    <x v="1"/>
  </r>
  <r>
    <x v="234"/>
    <d v="2020-02-06T00:00:00"/>
    <x v="0"/>
    <n v="428"/>
    <n v="-1535"/>
    <x v="2"/>
    <n v="428"/>
    <x v="1"/>
  </r>
  <r>
    <x v="234"/>
    <d v="2020-02-22T00:00:00"/>
    <x v="0"/>
    <n v="535"/>
    <n v="-1000"/>
    <x v="2"/>
    <n v="535"/>
    <x v="1"/>
  </r>
  <r>
    <x v="234"/>
    <d v="2020-02-25T00:00:00"/>
    <x v="0"/>
    <n v="524"/>
    <n v="-476"/>
    <x v="2"/>
    <n v="524"/>
    <x v="1"/>
  </r>
  <r>
    <x v="234"/>
    <d v="2020-03-16T00:00:00"/>
    <x v="0"/>
    <n v="530"/>
    <n v="54"/>
    <x v="1"/>
    <n v="530"/>
    <x v="0"/>
  </r>
  <r>
    <x v="234"/>
    <d v="2020-03-20T00:00:00"/>
    <x v="2"/>
    <n v="30"/>
    <n v="24"/>
    <x v="1"/>
    <n v="-30"/>
    <x v="0"/>
  </r>
  <r>
    <x v="235"/>
    <d v="2020-01-27T00:00:00"/>
    <x v="0"/>
    <n v="356"/>
    <n v="356"/>
    <x v="0"/>
    <n v="356"/>
    <x v="0"/>
  </r>
  <r>
    <x v="235"/>
    <d v="2020-02-05T00:00:00"/>
    <x v="0"/>
    <n v="335"/>
    <n v="691"/>
    <x v="2"/>
    <n v="335"/>
    <x v="0"/>
  </r>
  <r>
    <x v="235"/>
    <d v="2020-02-18T00:00:00"/>
    <x v="0"/>
    <n v="538"/>
    <n v="1229"/>
    <x v="2"/>
    <n v="538"/>
    <x v="0"/>
  </r>
  <r>
    <x v="235"/>
    <d v="2020-02-25T00:00:00"/>
    <x v="2"/>
    <n v="170"/>
    <n v="1059"/>
    <x v="2"/>
    <n v="-170"/>
    <x v="0"/>
  </r>
  <r>
    <x v="235"/>
    <d v="2020-03-07T00:00:00"/>
    <x v="0"/>
    <n v="836"/>
    <n v="1895"/>
    <x v="1"/>
    <n v="836"/>
    <x v="0"/>
  </r>
  <r>
    <x v="235"/>
    <d v="2020-03-14T00:00:00"/>
    <x v="0"/>
    <n v="347"/>
    <n v="2242"/>
    <x v="1"/>
    <n v="347"/>
    <x v="0"/>
  </r>
  <r>
    <x v="235"/>
    <d v="2020-03-19T00:00:00"/>
    <x v="2"/>
    <n v="771"/>
    <n v="1471"/>
    <x v="1"/>
    <n v="-771"/>
    <x v="0"/>
  </r>
  <r>
    <x v="235"/>
    <d v="2020-03-23T00:00:00"/>
    <x v="0"/>
    <n v="419"/>
    <n v="1890"/>
    <x v="1"/>
    <n v="419"/>
    <x v="0"/>
  </r>
  <r>
    <x v="235"/>
    <d v="2020-03-25T00:00:00"/>
    <x v="2"/>
    <n v="966"/>
    <n v="924"/>
    <x v="1"/>
    <n v="-966"/>
    <x v="0"/>
  </r>
  <r>
    <x v="235"/>
    <d v="2020-04-01T00:00:00"/>
    <x v="1"/>
    <n v="501"/>
    <n v="423"/>
    <x v="3"/>
    <n v="-501"/>
    <x v="0"/>
  </r>
  <r>
    <x v="235"/>
    <d v="2020-04-10T00:00:00"/>
    <x v="2"/>
    <n v="73"/>
    <n v="350"/>
    <x v="3"/>
    <n v="-73"/>
    <x v="0"/>
  </r>
  <r>
    <x v="235"/>
    <d v="2020-04-14T00:00:00"/>
    <x v="1"/>
    <n v="450"/>
    <n v="-100"/>
    <x v="3"/>
    <n v="-450"/>
    <x v="1"/>
  </r>
  <r>
    <x v="236"/>
    <d v="2020-01-16T00:00:00"/>
    <x v="0"/>
    <n v="106"/>
    <n v="106"/>
    <x v="0"/>
    <n v="106"/>
    <x v="0"/>
  </r>
  <r>
    <x v="236"/>
    <d v="2020-01-21T00:00:00"/>
    <x v="2"/>
    <n v="280"/>
    <n v="-174"/>
    <x v="0"/>
    <n v="-280"/>
    <x v="1"/>
  </r>
  <r>
    <x v="236"/>
    <d v="2020-02-07T00:00:00"/>
    <x v="0"/>
    <n v="845"/>
    <n v="671"/>
    <x v="2"/>
    <n v="845"/>
    <x v="0"/>
  </r>
  <r>
    <x v="236"/>
    <d v="2020-02-09T00:00:00"/>
    <x v="2"/>
    <n v="29"/>
    <n v="642"/>
    <x v="2"/>
    <n v="-29"/>
    <x v="0"/>
  </r>
  <r>
    <x v="236"/>
    <d v="2020-02-15T00:00:00"/>
    <x v="2"/>
    <n v="289"/>
    <n v="353"/>
    <x v="2"/>
    <n v="-289"/>
    <x v="0"/>
  </r>
  <r>
    <x v="236"/>
    <d v="2020-02-15T00:00:00"/>
    <x v="2"/>
    <n v="217"/>
    <n v="136"/>
    <x v="2"/>
    <n v="-217"/>
    <x v="0"/>
  </r>
  <r>
    <x v="236"/>
    <d v="2020-03-16T00:00:00"/>
    <x v="0"/>
    <n v="679"/>
    <n v="815"/>
    <x v="1"/>
    <n v="679"/>
    <x v="0"/>
  </r>
  <r>
    <x v="236"/>
    <d v="2020-03-23T00:00:00"/>
    <x v="0"/>
    <n v="752"/>
    <n v="1567"/>
    <x v="1"/>
    <n v="752"/>
    <x v="0"/>
  </r>
  <r>
    <x v="236"/>
    <d v="2020-04-01T00:00:00"/>
    <x v="2"/>
    <n v="155"/>
    <n v="1412"/>
    <x v="3"/>
    <n v="-155"/>
    <x v="0"/>
  </r>
  <r>
    <x v="236"/>
    <d v="2020-04-02T00:00:00"/>
    <x v="0"/>
    <n v="9"/>
    <n v="1421"/>
    <x v="3"/>
    <n v="9"/>
    <x v="0"/>
  </r>
  <r>
    <x v="236"/>
    <d v="2020-04-05T00:00:00"/>
    <x v="0"/>
    <n v="653"/>
    <n v="2074"/>
    <x v="3"/>
    <n v="653"/>
    <x v="0"/>
  </r>
  <r>
    <x v="236"/>
    <d v="2020-04-08T00:00:00"/>
    <x v="1"/>
    <n v="480"/>
    <n v="1594"/>
    <x v="3"/>
    <n v="-480"/>
    <x v="0"/>
  </r>
  <r>
    <x v="236"/>
    <d v="2020-04-12T00:00:00"/>
    <x v="1"/>
    <n v="782"/>
    <n v="812"/>
    <x v="3"/>
    <n v="-782"/>
    <x v="0"/>
  </r>
  <r>
    <x v="237"/>
    <d v="2020-01-18T00:00:00"/>
    <x v="0"/>
    <n v="896"/>
    <n v="896"/>
    <x v="0"/>
    <n v="896"/>
    <x v="0"/>
  </r>
  <r>
    <x v="237"/>
    <d v="2020-01-18T00:00:00"/>
    <x v="1"/>
    <n v="94"/>
    <n v="802"/>
    <x v="0"/>
    <n v="-94"/>
    <x v="0"/>
  </r>
  <r>
    <x v="237"/>
    <d v="2020-02-09T00:00:00"/>
    <x v="0"/>
    <n v="585"/>
    <n v="1387"/>
    <x v="2"/>
    <n v="585"/>
    <x v="0"/>
  </r>
  <r>
    <x v="237"/>
    <d v="2020-02-12T00:00:00"/>
    <x v="2"/>
    <n v="278"/>
    <n v="1109"/>
    <x v="2"/>
    <n v="-278"/>
    <x v="0"/>
  </r>
  <r>
    <x v="237"/>
    <d v="2020-02-16T00:00:00"/>
    <x v="0"/>
    <n v="161"/>
    <n v="1270"/>
    <x v="2"/>
    <n v="161"/>
    <x v="0"/>
  </r>
  <r>
    <x v="237"/>
    <d v="2020-04-10T00:00:00"/>
    <x v="2"/>
    <n v="929"/>
    <n v="341"/>
    <x v="3"/>
    <n v="-929"/>
    <x v="0"/>
  </r>
  <r>
    <x v="237"/>
    <d v="2020-04-12T00:00:00"/>
    <x v="1"/>
    <n v="820"/>
    <n v="-479"/>
    <x v="3"/>
    <n v="-820"/>
    <x v="1"/>
  </r>
  <r>
    <x v="238"/>
    <d v="2020-01-18T00:00:00"/>
    <x v="1"/>
    <n v="618"/>
    <n v="-618"/>
    <x v="0"/>
    <n v="-618"/>
    <x v="1"/>
  </r>
  <r>
    <x v="238"/>
    <d v="2020-01-18T00:00:00"/>
    <x v="0"/>
    <n v="771"/>
    <n v="153"/>
    <x v="0"/>
    <n v="771"/>
    <x v="0"/>
  </r>
  <r>
    <x v="238"/>
    <d v="2020-01-24T00:00:00"/>
    <x v="1"/>
    <n v="40"/>
    <n v="113"/>
    <x v="0"/>
    <n v="-40"/>
    <x v="0"/>
  </r>
  <r>
    <x v="238"/>
    <d v="2020-01-25T00:00:00"/>
    <x v="1"/>
    <n v="123"/>
    <n v="-10"/>
    <x v="0"/>
    <n v="-123"/>
    <x v="1"/>
  </r>
  <r>
    <x v="238"/>
    <d v="2020-02-12T00:00:00"/>
    <x v="0"/>
    <n v="716"/>
    <n v="706"/>
    <x v="2"/>
    <n v="716"/>
    <x v="0"/>
  </r>
  <r>
    <x v="238"/>
    <d v="2020-03-01T00:00:00"/>
    <x v="1"/>
    <n v="345"/>
    <n v="361"/>
    <x v="1"/>
    <n v="-345"/>
    <x v="0"/>
  </r>
  <r>
    <x v="238"/>
    <d v="2020-03-09T00:00:00"/>
    <x v="2"/>
    <n v="113"/>
    <n v="248"/>
    <x v="1"/>
    <n v="-113"/>
    <x v="0"/>
  </r>
  <r>
    <x v="238"/>
    <d v="2020-03-12T00:00:00"/>
    <x v="0"/>
    <n v="506"/>
    <n v="754"/>
    <x v="1"/>
    <n v="506"/>
    <x v="0"/>
  </r>
  <r>
    <x v="238"/>
    <d v="2020-03-21T00:00:00"/>
    <x v="0"/>
    <n v="586"/>
    <n v="1340"/>
    <x v="1"/>
    <n v="586"/>
    <x v="0"/>
  </r>
  <r>
    <x v="238"/>
    <d v="2020-03-29T00:00:00"/>
    <x v="2"/>
    <n v="718"/>
    <n v="622"/>
    <x v="1"/>
    <n v="-718"/>
    <x v="0"/>
  </r>
  <r>
    <x v="238"/>
    <d v="2020-03-29T00:00:00"/>
    <x v="2"/>
    <n v="48"/>
    <n v="574"/>
    <x v="1"/>
    <n v="-48"/>
    <x v="0"/>
  </r>
  <r>
    <x v="238"/>
    <d v="2020-04-06T00:00:00"/>
    <x v="0"/>
    <n v="829"/>
    <n v="1403"/>
    <x v="3"/>
    <n v="829"/>
    <x v="0"/>
  </r>
  <r>
    <x v="238"/>
    <d v="2020-04-08T00:00:00"/>
    <x v="0"/>
    <n v="468"/>
    <n v="1871"/>
    <x v="3"/>
    <n v="468"/>
    <x v="0"/>
  </r>
  <r>
    <x v="239"/>
    <d v="2020-01-10T00:00:00"/>
    <x v="0"/>
    <n v="872"/>
    <n v="872"/>
    <x v="0"/>
    <n v="872"/>
    <x v="0"/>
  </r>
  <r>
    <x v="239"/>
    <d v="2020-01-12T00:00:00"/>
    <x v="1"/>
    <n v="725"/>
    <n v="147"/>
    <x v="0"/>
    <n v="-725"/>
    <x v="0"/>
  </r>
  <r>
    <x v="239"/>
    <d v="2020-01-20T00:00:00"/>
    <x v="0"/>
    <n v="748"/>
    <n v="895"/>
    <x v="0"/>
    <n v="748"/>
    <x v="0"/>
  </r>
  <r>
    <x v="239"/>
    <d v="2020-01-29T00:00:00"/>
    <x v="1"/>
    <n v="684"/>
    <n v="211"/>
    <x v="0"/>
    <n v="-684"/>
    <x v="0"/>
  </r>
  <r>
    <x v="239"/>
    <d v="2020-01-30T00:00:00"/>
    <x v="0"/>
    <n v="897"/>
    <n v="1108"/>
    <x v="0"/>
    <n v="897"/>
    <x v="0"/>
  </r>
  <r>
    <x v="239"/>
    <d v="2020-02-01T00:00:00"/>
    <x v="1"/>
    <n v="313"/>
    <n v="795"/>
    <x v="2"/>
    <n v="-313"/>
    <x v="0"/>
  </r>
  <r>
    <x v="239"/>
    <d v="2020-02-01T00:00:00"/>
    <x v="1"/>
    <n v="6"/>
    <n v="789"/>
    <x v="2"/>
    <n v="-6"/>
    <x v="0"/>
  </r>
  <r>
    <x v="239"/>
    <d v="2020-02-07T00:00:00"/>
    <x v="1"/>
    <n v="35"/>
    <n v="754"/>
    <x v="2"/>
    <n v="-35"/>
    <x v="0"/>
  </r>
  <r>
    <x v="239"/>
    <d v="2020-03-01T00:00:00"/>
    <x v="0"/>
    <n v="864"/>
    <n v="1618"/>
    <x v="1"/>
    <n v="864"/>
    <x v="0"/>
  </r>
  <r>
    <x v="239"/>
    <d v="2020-03-08T00:00:00"/>
    <x v="0"/>
    <n v="460"/>
    <n v="2078"/>
    <x v="1"/>
    <n v="460"/>
    <x v="0"/>
  </r>
  <r>
    <x v="239"/>
    <d v="2020-03-08T00:00:00"/>
    <x v="0"/>
    <n v="853"/>
    <n v="2931"/>
    <x v="1"/>
    <n v="853"/>
    <x v="0"/>
  </r>
  <r>
    <x v="239"/>
    <d v="2020-03-17T00:00:00"/>
    <x v="2"/>
    <n v="494"/>
    <n v="2437"/>
    <x v="1"/>
    <n v="-494"/>
    <x v="0"/>
  </r>
  <r>
    <x v="239"/>
    <d v="2020-03-24T00:00:00"/>
    <x v="0"/>
    <n v="995"/>
    <n v="3432"/>
    <x v="1"/>
    <n v="995"/>
    <x v="0"/>
  </r>
  <r>
    <x v="239"/>
    <d v="2020-03-25T00:00:00"/>
    <x v="2"/>
    <n v="232"/>
    <n v="3200"/>
    <x v="1"/>
    <n v="-232"/>
    <x v="0"/>
  </r>
  <r>
    <x v="239"/>
    <d v="2020-04-01T00:00:00"/>
    <x v="2"/>
    <n v="35"/>
    <n v="3165"/>
    <x v="3"/>
    <n v="-35"/>
    <x v="0"/>
  </r>
  <r>
    <x v="239"/>
    <d v="2020-04-03T00:00:00"/>
    <x v="1"/>
    <n v="258"/>
    <n v="2907"/>
    <x v="3"/>
    <n v="-258"/>
    <x v="0"/>
  </r>
  <r>
    <x v="239"/>
    <d v="2020-04-04T00:00:00"/>
    <x v="0"/>
    <n v="168"/>
    <n v="3075"/>
    <x v="3"/>
    <n v="168"/>
    <x v="0"/>
  </r>
  <r>
    <x v="240"/>
    <d v="2020-01-01T00:00:00"/>
    <x v="0"/>
    <n v="161"/>
    <n v="161"/>
    <x v="0"/>
    <n v="161"/>
    <x v="0"/>
  </r>
  <r>
    <x v="240"/>
    <d v="2020-01-05T00:00:00"/>
    <x v="1"/>
    <n v="141"/>
    <n v="20"/>
    <x v="0"/>
    <n v="-141"/>
    <x v="0"/>
  </r>
  <r>
    <x v="241"/>
    <d v="2020-01-20T00:00:00"/>
    <x v="0"/>
    <n v="256"/>
    <n v="256"/>
    <x v="0"/>
    <n v="256"/>
    <x v="0"/>
  </r>
  <r>
    <x v="241"/>
    <d v="2020-01-22T00:00:00"/>
    <x v="1"/>
    <n v="227"/>
    <n v="29"/>
    <x v="0"/>
    <n v="-227"/>
    <x v="0"/>
  </r>
  <r>
    <x v="241"/>
    <d v="2020-01-27T00:00:00"/>
    <x v="0"/>
    <n v="441"/>
    <n v="470"/>
    <x v="0"/>
    <n v="441"/>
    <x v="0"/>
  </r>
  <r>
    <x v="241"/>
    <d v="2020-01-28T00:00:00"/>
    <x v="0"/>
    <n v="673"/>
    <n v="1143"/>
    <x v="0"/>
    <n v="673"/>
    <x v="0"/>
  </r>
  <r>
    <x v="241"/>
    <d v="2020-02-10T00:00:00"/>
    <x v="2"/>
    <n v="835"/>
    <n v="308"/>
    <x v="2"/>
    <n v="-835"/>
    <x v="0"/>
  </r>
  <r>
    <x v="241"/>
    <d v="2020-02-12T00:00:00"/>
    <x v="2"/>
    <n v="228"/>
    <n v="80"/>
    <x v="2"/>
    <n v="-228"/>
    <x v="0"/>
  </r>
  <r>
    <x v="241"/>
    <d v="2020-02-20T00:00:00"/>
    <x v="2"/>
    <n v="328"/>
    <n v="-248"/>
    <x v="2"/>
    <n v="-328"/>
    <x v="1"/>
  </r>
  <r>
    <x v="241"/>
    <d v="2020-02-22T00:00:00"/>
    <x v="0"/>
    <n v="134"/>
    <n v="-114"/>
    <x v="2"/>
    <n v="134"/>
    <x v="1"/>
  </r>
  <r>
    <x v="241"/>
    <d v="2020-02-26T00:00:00"/>
    <x v="2"/>
    <n v="643"/>
    <n v="-757"/>
    <x v="2"/>
    <n v="-643"/>
    <x v="1"/>
  </r>
  <r>
    <x v="241"/>
    <d v="2020-02-28T00:00:00"/>
    <x v="0"/>
    <n v="295"/>
    <n v="-462"/>
    <x v="2"/>
    <n v="295"/>
    <x v="1"/>
  </r>
  <r>
    <x v="241"/>
    <d v="2020-03-02T00:00:00"/>
    <x v="0"/>
    <n v="286"/>
    <n v="-176"/>
    <x v="1"/>
    <n v="286"/>
    <x v="1"/>
  </r>
  <r>
    <x v="241"/>
    <d v="2020-03-09T00:00:00"/>
    <x v="1"/>
    <n v="225"/>
    <n v="-401"/>
    <x v="1"/>
    <n v="-225"/>
    <x v="1"/>
  </r>
  <r>
    <x v="241"/>
    <d v="2020-03-12T00:00:00"/>
    <x v="2"/>
    <n v="654"/>
    <n v="-1055"/>
    <x v="1"/>
    <n v="-654"/>
    <x v="1"/>
  </r>
  <r>
    <x v="241"/>
    <d v="2020-03-16T00:00:00"/>
    <x v="2"/>
    <n v="713"/>
    <n v="-1768"/>
    <x v="1"/>
    <n v="-713"/>
    <x v="1"/>
  </r>
  <r>
    <x v="241"/>
    <d v="2020-03-16T00:00:00"/>
    <x v="2"/>
    <n v="123"/>
    <n v="-1891"/>
    <x v="1"/>
    <n v="-123"/>
    <x v="1"/>
  </r>
  <r>
    <x v="241"/>
    <d v="2020-04-01T00:00:00"/>
    <x v="1"/>
    <n v="503"/>
    <n v="-2394"/>
    <x v="3"/>
    <n v="-503"/>
    <x v="1"/>
  </r>
  <r>
    <x v="241"/>
    <d v="2020-04-05T00:00:00"/>
    <x v="2"/>
    <n v="915"/>
    <n v="-3309"/>
    <x v="3"/>
    <n v="-915"/>
    <x v="1"/>
  </r>
  <r>
    <x v="241"/>
    <d v="2020-04-05T00:00:00"/>
    <x v="2"/>
    <n v="372"/>
    <n v="-3681"/>
    <x v="3"/>
    <n v="-372"/>
    <x v="1"/>
  </r>
  <r>
    <x v="241"/>
    <d v="2020-04-09T00:00:00"/>
    <x v="0"/>
    <n v="1"/>
    <n v="-3680"/>
    <x v="3"/>
    <n v="1"/>
    <x v="1"/>
  </r>
  <r>
    <x v="241"/>
    <d v="2020-04-12T00:00:00"/>
    <x v="1"/>
    <n v="337"/>
    <n v="-4017"/>
    <x v="3"/>
    <n v="-337"/>
    <x v="1"/>
  </r>
  <r>
    <x v="241"/>
    <d v="2020-04-14T00:00:00"/>
    <x v="2"/>
    <n v="47"/>
    <n v="-4064"/>
    <x v="3"/>
    <n v="-47"/>
    <x v="1"/>
  </r>
  <r>
    <x v="241"/>
    <d v="2020-04-18T00:00:00"/>
    <x v="0"/>
    <n v="730"/>
    <n v="-3334"/>
    <x v="3"/>
    <n v="730"/>
    <x v="1"/>
  </r>
  <r>
    <x v="242"/>
    <d v="2020-01-01T00:00:00"/>
    <x v="0"/>
    <n v="247"/>
    <n v="247"/>
    <x v="0"/>
    <n v="247"/>
    <x v="0"/>
  </r>
  <r>
    <x v="242"/>
    <d v="2020-01-05T00:00:00"/>
    <x v="1"/>
    <n v="439"/>
    <n v="-192"/>
    <x v="0"/>
    <n v="-439"/>
    <x v="1"/>
  </r>
  <r>
    <x v="242"/>
    <d v="2020-01-14T00:00:00"/>
    <x v="2"/>
    <n v="176"/>
    <n v="-368"/>
    <x v="0"/>
    <n v="-176"/>
    <x v="1"/>
  </r>
  <r>
    <x v="242"/>
    <d v="2020-03-13T00:00:00"/>
    <x v="0"/>
    <n v="964"/>
    <n v="596"/>
    <x v="1"/>
    <n v="964"/>
    <x v="0"/>
  </r>
  <r>
    <x v="242"/>
    <d v="2020-03-21T00:00:00"/>
    <x v="0"/>
    <n v="351"/>
    <n v="947"/>
    <x v="1"/>
    <n v="351"/>
    <x v="0"/>
  </r>
  <r>
    <x v="242"/>
    <d v="2020-03-24T00:00:00"/>
    <x v="0"/>
    <n v="32"/>
    <n v="979"/>
    <x v="1"/>
    <n v="32"/>
    <x v="0"/>
  </r>
  <r>
    <x v="243"/>
    <d v="2020-01-27T00:00:00"/>
    <x v="0"/>
    <n v="728"/>
    <n v="728"/>
    <x v="0"/>
    <n v="728"/>
    <x v="0"/>
  </r>
  <r>
    <x v="243"/>
    <d v="2020-02-05T00:00:00"/>
    <x v="1"/>
    <n v="220"/>
    <n v="508"/>
    <x v="2"/>
    <n v="-220"/>
    <x v="0"/>
  </r>
  <r>
    <x v="243"/>
    <d v="2020-02-13T00:00:00"/>
    <x v="0"/>
    <n v="448"/>
    <n v="956"/>
    <x v="2"/>
    <n v="448"/>
    <x v="0"/>
  </r>
  <r>
    <x v="243"/>
    <d v="2020-02-18T00:00:00"/>
    <x v="0"/>
    <n v="796"/>
    <n v="1752"/>
    <x v="2"/>
    <n v="796"/>
    <x v="0"/>
  </r>
  <r>
    <x v="243"/>
    <d v="2020-03-31T00:00:00"/>
    <x v="0"/>
    <n v="178"/>
    <n v="1930"/>
    <x v="1"/>
    <n v="178"/>
    <x v="0"/>
  </r>
  <r>
    <x v="243"/>
    <d v="2020-04-10T00:00:00"/>
    <x v="1"/>
    <n v="284"/>
    <n v="1646"/>
    <x v="3"/>
    <n v="-284"/>
    <x v="0"/>
  </r>
  <r>
    <x v="243"/>
    <d v="2020-04-18T00:00:00"/>
    <x v="2"/>
    <n v="769"/>
    <n v="877"/>
    <x v="3"/>
    <n v="-769"/>
    <x v="0"/>
  </r>
  <r>
    <x v="244"/>
    <d v="2020-01-30T00:00:00"/>
    <x v="0"/>
    <n v="76"/>
    <n v="76"/>
    <x v="0"/>
    <n v="76"/>
    <x v="0"/>
  </r>
  <r>
    <x v="244"/>
    <d v="2020-02-14T00:00:00"/>
    <x v="0"/>
    <n v="320"/>
    <n v="396"/>
    <x v="2"/>
    <n v="320"/>
    <x v="0"/>
  </r>
  <r>
    <x v="244"/>
    <d v="2020-02-19T00:00:00"/>
    <x v="2"/>
    <n v="737"/>
    <n v="-341"/>
    <x v="2"/>
    <n v="-737"/>
    <x v="1"/>
  </r>
  <r>
    <x v="244"/>
    <d v="2020-03-01T00:00:00"/>
    <x v="0"/>
    <n v="483"/>
    <n v="142"/>
    <x v="1"/>
    <n v="483"/>
    <x v="0"/>
  </r>
  <r>
    <x v="244"/>
    <d v="2020-03-01T00:00:00"/>
    <x v="1"/>
    <n v="82"/>
    <n v="60"/>
    <x v="1"/>
    <n v="-82"/>
    <x v="0"/>
  </r>
  <r>
    <x v="244"/>
    <d v="2020-03-04T00:00:00"/>
    <x v="1"/>
    <n v="116"/>
    <n v="-56"/>
    <x v="1"/>
    <n v="-116"/>
    <x v="1"/>
  </r>
  <r>
    <x v="244"/>
    <d v="2020-03-08T00:00:00"/>
    <x v="0"/>
    <n v="345"/>
    <n v="289"/>
    <x v="1"/>
    <n v="345"/>
    <x v="0"/>
  </r>
  <r>
    <x v="244"/>
    <d v="2020-03-10T00:00:00"/>
    <x v="2"/>
    <n v="45"/>
    <n v="244"/>
    <x v="1"/>
    <n v="-45"/>
    <x v="0"/>
  </r>
  <r>
    <x v="244"/>
    <d v="2020-03-20T00:00:00"/>
    <x v="0"/>
    <n v="127"/>
    <n v="371"/>
    <x v="1"/>
    <n v="127"/>
    <x v="0"/>
  </r>
  <r>
    <x v="244"/>
    <d v="2020-03-22T00:00:00"/>
    <x v="2"/>
    <n v="870"/>
    <n v="-499"/>
    <x v="1"/>
    <n v="-870"/>
    <x v="1"/>
  </r>
  <r>
    <x v="244"/>
    <d v="2020-03-23T00:00:00"/>
    <x v="1"/>
    <n v="434"/>
    <n v="-933"/>
    <x v="1"/>
    <n v="-434"/>
    <x v="1"/>
  </r>
  <r>
    <x v="244"/>
    <d v="2020-03-23T00:00:00"/>
    <x v="2"/>
    <n v="536"/>
    <n v="-1469"/>
    <x v="1"/>
    <n v="-536"/>
    <x v="1"/>
  </r>
  <r>
    <x v="244"/>
    <d v="2020-03-27T00:00:00"/>
    <x v="2"/>
    <n v="322"/>
    <n v="-1791"/>
    <x v="1"/>
    <n v="-322"/>
    <x v="1"/>
  </r>
  <r>
    <x v="244"/>
    <d v="2020-04-07T00:00:00"/>
    <x v="0"/>
    <n v="891"/>
    <n v="-900"/>
    <x v="3"/>
    <n v="891"/>
    <x v="1"/>
  </r>
  <r>
    <x v="244"/>
    <d v="2020-04-07T00:00:00"/>
    <x v="1"/>
    <n v="620"/>
    <n v="-1520"/>
    <x v="3"/>
    <n v="-620"/>
    <x v="1"/>
  </r>
  <r>
    <x v="244"/>
    <d v="2020-04-12T00:00:00"/>
    <x v="0"/>
    <n v="244"/>
    <n v="-1276"/>
    <x v="3"/>
    <n v="244"/>
    <x v="1"/>
  </r>
  <r>
    <x v="244"/>
    <d v="2020-04-16T00:00:00"/>
    <x v="0"/>
    <n v="266"/>
    <n v="-1010"/>
    <x v="3"/>
    <n v="266"/>
    <x v="1"/>
  </r>
  <r>
    <x v="244"/>
    <d v="2020-04-24T00:00:00"/>
    <x v="0"/>
    <n v="880"/>
    <n v="-130"/>
    <x v="3"/>
    <n v="880"/>
    <x v="1"/>
  </r>
  <r>
    <x v="244"/>
    <d v="2020-04-28T00:00:00"/>
    <x v="2"/>
    <n v="891"/>
    <n v="-1021"/>
    <x v="3"/>
    <n v="-891"/>
    <x v="1"/>
  </r>
  <r>
    <x v="245"/>
    <d v="2020-01-29T00:00:00"/>
    <x v="0"/>
    <n v="506"/>
    <n v="506"/>
    <x v="0"/>
    <n v="506"/>
    <x v="0"/>
  </r>
  <r>
    <x v="245"/>
    <d v="2020-02-10T00:00:00"/>
    <x v="0"/>
    <n v="609"/>
    <n v="1115"/>
    <x v="2"/>
    <n v="609"/>
    <x v="0"/>
  </r>
  <r>
    <x v="245"/>
    <d v="2020-02-18T00:00:00"/>
    <x v="1"/>
    <n v="531"/>
    <n v="584"/>
    <x v="2"/>
    <n v="-531"/>
    <x v="0"/>
  </r>
  <r>
    <x v="245"/>
    <d v="2020-03-03T00:00:00"/>
    <x v="0"/>
    <n v="909"/>
    <n v="1493"/>
    <x v="1"/>
    <n v="909"/>
    <x v="0"/>
  </r>
  <r>
    <x v="245"/>
    <d v="2020-03-05T00:00:00"/>
    <x v="2"/>
    <n v="527"/>
    <n v="966"/>
    <x v="1"/>
    <n v="-527"/>
    <x v="0"/>
  </r>
  <r>
    <x v="245"/>
    <d v="2020-03-25T00:00:00"/>
    <x v="2"/>
    <n v="689"/>
    <n v="277"/>
    <x v="1"/>
    <n v="-689"/>
    <x v="0"/>
  </r>
  <r>
    <x v="245"/>
    <d v="2020-04-03T00:00:00"/>
    <x v="1"/>
    <n v="859"/>
    <n v="-582"/>
    <x v="3"/>
    <n v="-859"/>
    <x v="1"/>
  </r>
  <r>
    <x v="245"/>
    <d v="2020-04-07T00:00:00"/>
    <x v="0"/>
    <n v="265"/>
    <n v="-317"/>
    <x v="3"/>
    <n v="265"/>
    <x v="1"/>
  </r>
  <r>
    <x v="245"/>
    <d v="2020-04-08T00:00:00"/>
    <x v="1"/>
    <n v="860"/>
    <n v="-1177"/>
    <x v="3"/>
    <n v="-860"/>
    <x v="1"/>
  </r>
  <r>
    <x v="245"/>
    <d v="2020-04-09T00:00:00"/>
    <x v="2"/>
    <n v="955"/>
    <n v="-2132"/>
    <x v="3"/>
    <n v="-955"/>
    <x v="1"/>
  </r>
  <r>
    <x v="246"/>
    <d v="2020-01-01T00:00:00"/>
    <x v="0"/>
    <n v="930"/>
    <n v="930"/>
    <x v="0"/>
    <n v="930"/>
    <x v="0"/>
  </r>
  <r>
    <x v="246"/>
    <d v="2020-01-02T00:00:00"/>
    <x v="0"/>
    <n v="53"/>
    <n v="983"/>
    <x v="0"/>
    <n v="53"/>
    <x v="0"/>
  </r>
  <r>
    <x v="246"/>
    <d v="2020-02-04T00:00:00"/>
    <x v="0"/>
    <n v="348"/>
    <n v="1331"/>
    <x v="2"/>
    <n v="348"/>
    <x v="0"/>
  </r>
  <r>
    <x v="246"/>
    <d v="2020-02-15T00:00:00"/>
    <x v="1"/>
    <n v="754"/>
    <n v="577"/>
    <x v="2"/>
    <n v="-754"/>
    <x v="0"/>
  </r>
  <r>
    <x v="246"/>
    <d v="2020-03-11T00:00:00"/>
    <x v="1"/>
    <n v="317"/>
    <n v="260"/>
    <x v="1"/>
    <n v="-317"/>
    <x v="0"/>
  </r>
  <r>
    <x v="246"/>
    <d v="2020-03-13T00:00:00"/>
    <x v="0"/>
    <n v="132"/>
    <n v="392"/>
    <x v="1"/>
    <n v="132"/>
    <x v="0"/>
  </r>
  <r>
    <x v="246"/>
    <d v="2020-03-28T00:00:00"/>
    <x v="2"/>
    <n v="95"/>
    <n v="297"/>
    <x v="1"/>
    <n v="-95"/>
    <x v="0"/>
  </r>
  <r>
    <x v="247"/>
    <d v="2020-01-24T00:00:00"/>
    <x v="0"/>
    <n v="304"/>
    <n v="304"/>
    <x v="0"/>
    <n v="304"/>
    <x v="0"/>
  </r>
  <r>
    <x v="247"/>
    <d v="2020-02-04T00:00:00"/>
    <x v="0"/>
    <n v="980"/>
    <n v="1284"/>
    <x v="2"/>
    <n v="980"/>
    <x v="0"/>
  </r>
  <r>
    <x v="247"/>
    <d v="2020-02-10T00:00:00"/>
    <x v="2"/>
    <n v="617"/>
    <n v="667"/>
    <x v="2"/>
    <n v="-617"/>
    <x v="0"/>
  </r>
  <r>
    <x v="247"/>
    <d v="2020-03-04T00:00:00"/>
    <x v="1"/>
    <n v="938"/>
    <n v="-271"/>
    <x v="1"/>
    <n v="-938"/>
    <x v="1"/>
  </r>
  <r>
    <x v="247"/>
    <d v="2020-03-13T00:00:00"/>
    <x v="0"/>
    <n v="654"/>
    <n v="383"/>
    <x v="1"/>
    <n v="654"/>
    <x v="0"/>
  </r>
  <r>
    <x v="247"/>
    <d v="2020-03-26T00:00:00"/>
    <x v="0"/>
    <n v="572"/>
    <n v="955"/>
    <x v="1"/>
    <n v="572"/>
    <x v="0"/>
  </r>
  <r>
    <x v="247"/>
    <d v="2020-04-05T00:00:00"/>
    <x v="0"/>
    <n v="844"/>
    <n v="1799"/>
    <x v="3"/>
    <n v="844"/>
    <x v="0"/>
  </r>
  <r>
    <x v="247"/>
    <d v="2020-04-08T00:00:00"/>
    <x v="2"/>
    <n v="620"/>
    <n v="1179"/>
    <x v="3"/>
    <n v="-620"/>
    <x v="0"/>
  </r>
  <r>
    <x v="247"/>
    <d v="2020-04-10T00:00:00"/>
    <x v="2"/>
    <n v="166"/>
    <n v="1013"/>
    <x v="3"/>
    <n v="-166"/>
    <x v="0"/>
  </r>
  <r>
    <x v="247"/>
    <d v="2020-04-19T00:00:00"/>
    <x v="0"/>
    <n v="175"/>
    <n v="1188"/>
    <x v="3"/>
    <n v="175"/>
    <x v="0"/>
  </r>
  <r>
    <x v="248"/>
    <d v="2020-01-14T00:00:00"/>
    <x v="0"/>
    <n v="336"/>
    <n v="336"/>
    <x v="0"/>
    <n v="336"/>
    <x v="0"/>
  </r>
  <r>
    <x v="248"/>
    <d v="2020-03-02T00:00:00"/>
    <x v="0"/>
    <n v="729"/>
    <n v="1065"/>
    <x v="1"/>
    <n v="729"/>
    <x v="0"/>
  </r>
  <r>
    <x v="248"/>
    <d v="2020-04-12T00:00:00"/>
    <x v="2"/>
    <n v="170"/>
    <n v="895"/>
    <x v="3"/>
    <n v="-170"/>
    <x v="0"/>
  </r>
  <r>
    <x v="249"/>
    <d v="2020-01-25T00:00:00"/>
    <x v="0"/>
    <n v="625"/>
    <n v="625"/>
    <x v="0"/>
    <n v="625"/>
    <x v="0"/>
  </r>
  <r>
    <x v="249"/>
    <d v="2020-01-28T00:00:00"/>
    <x v="2"/>
    <n v="476"/>
    <n v="149"/>
    <x v="0"/>
    <n v="-476"/>
    <x v="0"/>
  </r>
  <r>
    <x v="249"/>
    <d v="2020-02-12T00:00:00"/>
    <x v="1"/>
    <n v="389"/>
    <n v="-240"/>
    <x v="2"/>
    <n v="-389"/>
    <x v="1"/>
  </r>
  <r>
    <x v="249"/>
    <d v="2020-02-24T00:00:00"/>
    <x v="0"/>
    <n v="850"/>
    <n v="610"/>
    <x v="2"/>
    <n v="850"/>
    <x v="0"/>
  </r>
  <r>
    <x v="249"/>
    <d v="2020-02-27T00:00:00"/>
    <x v="1"/>
    <n v="610"/>
    <n v="0"/>
    <x v="2"/>
    <n v="-610"/>
    <x v="0"/>
  </r>
  <r>
    <x v="249"/>
    <d v="2020-03-04T00:00:00"/>
    <x v="1"/>
    <n v="643"/>
    <n v="-643"/>
    <x v="1"/>
    <n v="-643"/>
    <x v="1"/>
  </r>
  <r>
    <x v="249"/>
    <d v="2020-03-04T00:00:00"/>
    <x v="2"/>
    <n v="47"/>
    <n v="-690"/>
    <x v="1"/>
    <n v="-47"/>
    <x v="1"/>
  </r>
  <r>
    <x v="249"/>
    <d v="2020-03-09T00:00:00"/>
    <x v="0"/>
    <n v="146"/>
    <n v="-544"/>
    <x v="1"/>
    <n v="146"/>
    <x v="1"/>
  </r>
  <r>
    <x v="249"/>
    <d v="2020-03-12T00:00:00"/>
    <x v="0"/>
    <n v="895"/>
    <n v="351"/>
    <x v="1"/>
    <n v="895"/>
    <x v="0"/>
  </r>
  <r>
    <x v="249"/>
    <d v="2020-03-26T00:00:00"/>
    <x v="0"/>
    <n v="493"/>
    <n v="844"/>
    <x v="1"/>
    <n v="493"/>
    <x v="0"/>
  </r>
  <r>
    <x v="249"/>
    <d v="2020-03-31T00:00:00"/>
    <x v="2"/>
    <n v="667"/>
    <n v="177"/>
    <x v="1"/>
    <n v="-667"/>
    <x v="0"/>
  </r>
  <r>
    <x v="249"/>
    <d v="2020-04-02T00:00:00"/>
    <x v="2"/>
    <n v="195"/>
    <n v="-18"/>
    <x v="3"/>
    <n v="-195"/>
    <x v="1"/>
  </r>
  <r>
    <x v="249"/>
    <d v="2020-04-03T00:00:00"/>
    <x v="2"/>
    <n v="903"/>
    <n v="-921"/>
    <x v="3"/>
    <n v="-903"/>
    <x v="1"/>
  </r>
  <r>
    <x v="249"/>
    <d v="2020-04-17T00:00:00"/>
    <x v="2"/>
    <n v="634"/>
    <n v="-1555"/>
    <x v="3"/>
    <n v="-634"/>
    <x v="1"/>
  </r>
  <r>
    <x v="250"/>
    <d v="2020-01-09T00:00:00"/>
    <x v="0"/>
    <n v="961"/>
    <n v="961"/>
    <x v="0"/>
    <n v="961"/>
    <x v="0"/>
  </r>
  <r>
    <x v="250"/>
    <d v="2020-01-19T00:00:00"/>
    <x v="2"/>
    <n v="413"/>
    <n v="548"/>
    <x v="0"/>
    <n v="-413"/>
    <x v="0"/>
  </r>
  <r>
    <x v="250"/>
    <d v="2020-01-19T00:00:00"/>
    <x v="1"/>
    <n v="108"/>
    <n v="440"/>
    <x v="0"/>
    <n v="-108"/>
    <x v="0"/>
  </r>
  <r>
    <x v="250"/>
    <d v="2020-01-21T00:00:00"/>
    <x v="0"/>
    <n v="836"/>
    <n v="1276"/>
    <x v="0"/>
    <n v="836"/>
    <x v="0"/>
  </r>
  <r>
    <x v="250"/>
    <d v="2020-02-12T00:00:00"/>
    <x v="1"/>
    <n v="874"/>
    <n v="402"/>
    <x v="2"/>
    <n v="-874"/>
    <x v="0"/>
  </r>
  <r>
    <x v="250"/>
    <d v="2020-02-17T00:00:00"/>
    <x v="1"/>
    <n v="783"/>
    <n v="-381"/>
    <x v="2"/>
    <n v="-783"/>
    <x v="1"/>
  </r>
  <r>
    <x v="250"/>
    <d v="2020-02-27T00:00:00"/>
    <x v="0"/>
    <n v="200"/>
    <n v="-181"/>
    <x v="2"/>
    <n v="200"/>
    <x v="1"/>
  </r>
  <r>
    <x v="250"/>
    <d v="2020-02-28T00:00:00"/>
    <x v="2"/>
    <n v="743"/>
    <n v="-924"/>
    <x v="2"/>
    <n v="-743"/>
    <x v="1"/>
  </r>
  <r>
    <x v="250"/>
    <d v="2020-03-03T00:00:00"/>
    <x v="2"/>
    <n v="977"/>
    <n v="-1901"/>
    <x v="1"/>
    <n v="-977"/>
    <x v="1"/>
  </r>
  <r>
    <x v="250"/>
    <d v="2020-03-07T00:00:00"/>
    <x v="0"/>
    <n v="703"/>
    <n v="-1198"/>
    <x v="1"/>
    <n v="703"/>
    <x v="1"/>
  </r>
  <r>
    <x v="250"/>
    <d v="2020-03-09T00:00:00"/>
    <x v="1"/>
    <n v="598"/>
    <n v="-1796"/>
    <x v="1"/>
    <n v="-598"/>
    <x v="1"/>
  </r>
  <r>
    <x v="250"/>
    <d v="2020-03-11T00:00:00"/>
    <x v="0"/>
    <n v="323"/>
    <n v="-1473"/>
    <x v="1"/>
    <n v="323"/>
    <x v="1"/>
  </r>
  <r>
    <x v="250"/>
    <d v="2020-03-11T00:00:00"/>
    <x v="2"/>
    <n v="238"/>
    <n v="-1711"/>
    <x v="1"/>
    <n v="-238"/>
    <x v="1"/>
  </r>
  <r>
    <x v="250"/>
    <d v="2020-03-17T00:00:00"/>
    <x v="1"/>
    <n v="153"/>
    <n v="-1864"/>
    <x v="1"/>
    <n v="-153"/>
    <x v="1"/>
  </r>
  <r>
    <x v="250"/>
    <d v="2020-03-25T00:00:00"/>
    <x v="0"/>
    <n v="595"/>
    <n v="-1269"/>
    <x v="1"/>
    <n v="595"/>
    <x v="1"/>
  </r>
  <r>
    <x v="250"/>
    <d v="2020-03-29T00:00:00"/>
    <x v="0"/>
    <n v="39"/>
    <n v="-1230"/>
    <x v="1"/>
    <n v="39"/>
    <x v="1"/>
  </r>
  <r>
    <x v="250"/>
    <d v="2020-04-01T00:00:00"/>
    <x v="2"/>
    <n v="653"/>
    <n v="-1883"/>
    <x v="3"/>
    <n v="-653"/>
    <x v="1"/>
  </r>
  <r>
    <x v="251"/>
    <d v="2020-01-26T00:00:00"/>
    <x v="0"/>
    <n v="982"/>
    <n v="982"/>
    <x v="0"/>
    <n v="982"/>
    <x v="0"/>
  </r>
  <r>
    <x v="251"/>
    <d v="2020-01-28T00:00:00"/>
    <x v="1"/>
    <n v="693"/>
    <n v="289"/>
    <x v="0"/>
    <n v="-693"/>
    <x v="0"/>
  </r>
  <r>
    <x v="251"/>
    <d v="2020-04-24T00:00:00"/>
    <x v="2"/>
    <n v="156"/>
    <n v="133"/>
    <x v="3"/>
    <n v="-156"/>
    <x v="0"/>
  </r>
  <r>
    <x v="252"/>
    <d v="2020-01-29T00:00:00"/>
    <x v="2"/>
    <n v="971"/>
    <n v="-971"/>
    <x v="0"/>
    <n v="-971"/>
    <x v="1"/>
  </r>
  <r>
    <x v="252"/>
    <d v="2020-01-29T00:00:00"/>
    <x v="0"/>
    <n v="976"/>
    <n v="5"/>
    <x v="0"/>
    <n v="976"/>
    <x v="0"/>
  </r>
  <r>
    <x v="252"/>
    <d v="2020-01-30T00:00:00"/>
    <x v="2"/>
    <n v="583"/>
    <n v="-578"/>
    <x v="0"/>
    <n v="-583"/>
    <x v="1"/>
  </r>
  <r>
    <x v="252"/>
    <d v="2020-02-07T00:00:00"/>
    <x v="1"/>
    <n v="724"/>
    <n v="-1302"/>
    <x v="2"/>
    <n v="-724"/>
    <x v="1"/>
  </r>
  <r>
    <x v="252"/>
    <d v="2020-02-11T00:00:00"/>
    <x v="0"/>
    <n v="754"/>
    <n v="-548"/>
    <x v="2"/>
    <n v="754"/>
    <x v="1"/>
  </r>
  <r>
    <x v="252"/>
    <d v="2020-02-11T00:00:00"/>
    <x v="0"/>
    <n v="463"/>
    <n v="-85"/>
    <x v="2"/>
    <n v="463"/>
    <x v="1"/>
  </r>
  <r>
    <x v="252"/>
    <d v="2020-02-22T00:00:00"/>
    <x v="1"/>
    <n v="492"/>
    <n v="-577"/>
    <x v="2"/>
    <n v="-492"/>
    <x v="1"/>
  </r>
  <r>
    <x v="252"/>
    <d v="2020-03-17T00:00:00"/>
    <x v="1"/>
    <n v="723"/>
    <n v="-1300"/>
    <x v="1"/>
    <n v="-723"/>
    <x v="1"/>
  </r>
  <r>
    <x v="252"/>
    <d v="2020-03-24T00:00:00"/>
    <x v="0"/>
    <n v="843"/>
    <n v="-457"/>
    <x v="1"/>
    <n v="843"/>
    <x v="1"/>
  </r>
  <r>
    <x v="252"/>
    <d v="2020-04-04T00:00:00"/>
    <x v="2"/>
    <n v="257"/>
    <n v="-714"/>
    <x v="3"/>
    <n v="-257"/>
    <x v="1"/>
  </r>
  <r>
    <x v="252"/>
    <d v="2020-04-06T00:00:00"/>
    <x v="2"/>
    <n v="990"/>
    <n v="-1704"/>
    <x v="3"/>
    <n v="-990"/>
    <x v="1"/>
  </r>
  <r>
    <x v="252"/>
    <d v="2020-04-06T00:00:00"/>
    <x v="0"/>
    <n v="239"/>
    <n v="-1465"/>
    <x v="3"/>
    <n v="239"/>
    <x v="1"/>
  </r>
  <r>
    <x v="252"/>
    <d v="2020-04-25T00:00:00"/>
    <x v="0"/>
    <n v="981"/>
    <n v="-484"/>
    <x v="3"/>
    <n v="981"/>
    <x v="1"/>
  </r>
  <r>
    <x v="253"/>
    <d v="2020-01-05T00:00:00"/>
    <x v="0"/>
    <n v="856"/>
    <n v="856"/>
    <x v="0"/>
    <n v="856"/>
    <x v="0"/>
  </r>
  <r>
    <x v="253"/>
    <d v="2020-01-27T00:00:00"/>
    <x v="1"/>
    <n v="820"/>
    <n v="36"/>
    <x v="0"/>
    <n v="-820"/>
    <x v="0"/>
  </r>
  <r>
    <x v="253"/>
    <d v="2020-02-02T00:00:00"/>
    <x v="1"/>
    <n v="482"/>
    <n v="-446"/>
    <x v="2"/>
    <n v="-482"/>
    <x v="1"/>
  </r>
  <r>
    <x v="253"/>
    <d v="2020-02-08T00:00:00"/>
    <x v="2"/>
    <n v="971"/>
    <n v="-1417"/>
    <x v="2"/>
    <n v="-971"/>
    <x v="1"/>
  </r>
  <r>
    <x v="253"/>
    <d v="2020-02-10T00:00:00"/>
    <x v="2"/>
    <n v="314"/>
    <n v="-1731"/>
    <x v="2"/>
    <n v="-314"/>
    <x v="1"/>
  </r>
  <r>
    <x v="253"/>
    <d v="2020-02-23T00:00:00"/>
    <x v="1"/>
    <n v="931"/>
    <n v="-2662"/>
    <x v="2"/>
    <n v="-931"/>
    <x v="1"/>
  </r>
  <r>
    <x v="253"/>
    <d v="2020-02-27T00:00:00"/>
    <x v="1"/>
    <n v="221"/>
    <n v="-2883"/>
    <x v="2"/>
    <n v="-221"/>
    <x v="1"/>
  </r>
  <r>
    <x v="253"/>
    <d v="2020-03-14T00:00:00"/>
    <x v="2"/>
    <n v="782"/>
    <n v="-3665"/>
    <x v="1"/>
    <n v="-782"/>
    <x v="1"/>
  </r>
  <r>
    <x v="253"/>
    <d v="2020-03-18T00:00:00"/>
    <x v="0"/>
    <n v="590"/>
    <n v="-3075"/>
    <x v="1"/>
    <n v="590"/>
    <x v="1"/>
  </r>
  <r>
    <x v="253"/>
    <d v="2020-03-27T00:00:00"/>
    <x v="0"/>
    <n v="961"/>
    <n v="-2114"/>
    <x v="1"/>
    <n v="961"/>
    <x v="1"/>
  </r>
  <r>
    <x v="253"/>
    <d v="2020-03-28T00:00:00"/>
    <x v="0"/>
    <n v="778"/>
    <n v="-1336"/>
    <x v="1"/>
    <n v="778"/>
    <x v="1"/>
  </r>
  <r>
    <x v="253"/>
    <d v="2020-03-29T00:00:00"/>
    <x v="0"/>
    <n v="17"/>
    <n v="-1319"/>
    <x v="1"/>
    <n v="17"/>
    <x v="1"/>
  </r>
  <r>
    <x v="253"/>
    <d v="2020-03-30T00:00:00"/>
    <x v="1"/>
    <n v="5"/>
    <n v="-1324"/>
    <x v="1"/>
    <n v="-5"/>
    <x v="1"/>
  </r>
  <r>
    <x v="253"/>
    <d v="2020-03-31T00:00:00"/>
    <x v="0"/>
    <n v="734"/>
    <n v="-590"/>
    <x v="1"/>
    <n v="734"/>
    <x v="1"/>
  </r>
  <r>
    <x v="254"/>
    <d v="2020-01-14T00:00:00"/>
    <x v="0"/>
    <n v="563"/>
    <n v="563"/>
    <x v="0"/>
    <n v="563"/>
    <x v="0"/>
  </r>
  <r>
    <x v="254"/>
    <d v="2020-01-31T00:00:00"/>
    <x v="1"/>
    <n v="310"/>
    <n v="253"/>
    <x v="0"/>
    <n v="-310"/>
    <x v="0"/>
  </r>
  <r>
    <x v="254"/>
    <d v="2020-02-16T00:00:00"/>
    <x v="1"/>
    <n v="479"/>
    <n v="-226"/>
    <x v="2"/>
    <n v="-479"/>
    <x v="1"/>
  </r>
  <r>
    <x v="254"/>
    <d v="2020-02-27T00:00:00"/>
    <x v="0"/>
    <n v="355"/>
    <n v="129"/>
    <x v="2"/>
    <n v="355"/>
    <x v="0"/>
  </r>
  <r>
    <x v="254"/>
    <d v="2020-03-10T00:00:00"/>
    <x v="0"/>
    <n v="105"/>
    <n v="234"/>
    <x v="1"/>
    <n v="105"/>
    <x v="0"/>
  </r>
  <r>
    <x v="254"/>
    <d v="2020-03-28T00:00:00"/>
    <x v="1"/>
    <n v="782"/>
    <n v="-548"/>
    <x v="1"/>
    <n v="-782"/>
    <x v="1"/>
  </r>
  <r>
    <x v="255"/>
    <d v="2020-01-26T00:00:00"/>
    <x v="0"/>
    <n v="811"/>
    <n v="811"/>
    <x v="0"/>
    <n v="811"/>
    <x v="0"/>
  </r>
  <r>
    <x v="255"/>
    <d v="2020-01-26T00:00:00"/>
    <x v="0"/>
    <n v="932"/>
    <n v="1743"/>
    <x v="0"/>
    <n v="932"/>
    <x v="0"/>
  </r>
  <r>
    <x v="255"/>
    <d v="2020-02-04T00:00:00"/>
    <x v="0"/>
    <n v="10"/>
    <n v="1753"/>
    <x v="2"/>
    <n v="10"/>
    <x v="0"/>
  </r>
  <r>
    <x v="255"/>
    <d v="2020-02-15T00:00:00"/>
    <x v="2"/>
    <n v="372"/>
    <n v="1381"/>
    <x v="2"/>
    <n v="-372"/>
    <x v="0"/>
  </r>
  <r>
    <x v="255"/>
    <d v="2020-02-20T00:00:00"/>
    <x v="2"/>
    <n v="278"/>
    <n v="1103"/>
    <x v="2"/>
    <n v="-278"/>
    <x v="0"/>
  </r>
  <r>
    <x v="255"/>
    <d v="2020-02-24T00:00:00"/>
    <x v="1"/>
    <n v="72"/>
    <n v="1031"/>
    <x v="2"/>
    <n v="-72"/>
    <x v="0"/>
  </r>
  <r>
    <x v="255"/>
    <d v="2020-02-26T00:00:00"/>
    <x v="1"/>
    <n v="636"/>
    <n v="395"/>
    <x v="2"/>
    <n v="-636"/>
    <x v="0"/>
  </r>
  <r>
    <x v="255"/>
    <d v="2020-02-27T00:00:00"/>
    <x v="0"/>
    <n v="962"/>
    <n v="1357"/>
    <x v="2"/>
    <n v="962"/>
    <x v="0"/>
  </r>
  <r>
    <x v="255"/>
    <d v="2020-02-29T00:00:00"/>
    <x v="1"/>
    <n v="451"/>
    <n v="906"/>
    <x v="2"/>
    <n v="-451"/>
    <x v="0"/>
  </r>
  <r>
    <x v="255"/>
    <d v="2020-03-02T00:00:00"/>
    <x v="0"/>
    <n v="469"/>
    <n v="1375"/>
    <x v="1"/>
    <n v="469"/>
    <x v="0"/>
  </r>
  <r>
    <x v="255"/>
    <d v="2020-03-09T00:00:00"/>
    <x v="0"/>
    <n v="589"/>
    <n v="1964"/>
    <x v="1"/>
    <n v="589"/>
    <x v="0"/>
  </r>
  <r>
    <x v="255"/>
    <d v="2020-03-10T00:00:00"/>
    <x v="1"/>
    <n v="354"/>
    <n v="1610"/>
    <x v="1"/>
    <n v="-354"/>
    <x v="0"/>
  </r>
  <r>
    <x v="255"/>
    <d v="2020-03-22T00:00:00"/>
    <x v="0"/>
    <n v="82"/>
    <n v="1692"/>
    <x v="1"/>
    <n v="82"/>
    <x v="0"/>
  </r>
  <r>
    <x v="255"/>
    <d v="2020-03-23T00:00:00"/>
    <x v="2"/>
    <n v="540"/>
    <n v="1152"/>
    <x v="1"/>
    <n v="-540"/>
    <x v="0"/>
  </r>
  <r>
    <x v="255"/>
    <d v="2020-04-04T00:00:00"/>
    <x v="1"/>
    <n v="191"/>
    <n v="961"/>
    <x v="3"/>
    <n v="-191"/>
    <x v="0"/>
  </r>
  <r>
    <x v="255"/>
    <d v="2020-04-08T00:00:00"/>
    <x v="0"/>
    <n v="78"/>
    <n v="1039"/>
    <x v="3"/>
    <n v="78"/>
    <x v="0"/>
  </r>
  <r>
    <x v="255"/>
    <d v="2020-04-10T00:00:00"/>
    <x v="2"/>
    <n v="562"/>
    <n v="477"/>
    <x v="3"/>
    <n v="-562"/>
    <x v="0"/>
  </r>
  <r>
    <x v="255"/>
    <d v="2020-04-17T00:00:00"/>
    <x v="1"/>
    <n v="327"/>
    <n v="150"/>
    <x v="3"/>
    <n v="-327"/>
    <x v="0"/>
  </r>
  <r>
    <x v="255"/>
    <d v="2020-04-20T00:00:00"/>
    <x v="0"/>
    <n v="944"/>
    <n v="1094"/>
    <x v="3"/>
    <n v="944"/>
    <x v="0"/>
  </r>
  <r>
    <x v="256"/>
    <d v="2020-01-20T00:00:00"/>
    <x v="0"/>
    <n v="493"/>
    <n v="493"/>
    <x v="0"/>
    <n v="493"/>
    <x v="0"/>
  </r>
  <r>
    <x v="256"/>
    <d v="2020-01-27T00:00:00"/>
    <x v="2"/>
    <n v="79"/>
    <n v="414"/>
    <x v="0"/>
    <n v="-79"/>
    <x v="0"/>
  </r>
  <r>
    <x v="256"/>
    <d v="2020-02-04T00:00:00"/>
    <x v="1"/>
    <n v="62"/>
    <n v="352"/>
    <x v="2"/>
    <n v="-62"/>
    <x v="0"/>
  </r>
  <r>
    <x v="256"/>
    <d v="2020-02-13T00:00:00"/>
    <x v="2"/>
    <n v="319"/>
    <n v="33"/>
    <x v="2"/>
    <n v="-319"/>
    <x v="0"/>
  </r>
  <r>
    <x v="256"/>
    <d v="2020-02-17T00:00:00"/>
    <x v="0"/>
    <n v="13"/>
    <n v="46"/>
    <x v="2"/>
    <n v="13"/>
    <x v="0"/>
  </r>
  <r>
    <x v="256"/>
    <d v="2020-02-19T00:00:00"/>
    <x v="1"/>
    <n v="929"/>
    <n v="-883"/>
    <x v="2"/>
    <n v="-929"/>
    <x v="1"/>
  </r>
  <r>
    <x v="256"/>
    <d v="2020-02-22T00:00:00"/>
    <x v="0"/>
    <n v="501"/>
    <n v="-382"/>
    <x v="2"/>
    <n v="501"/>
    <x v="1"/>
  </r>
  <r>
    <x v="256"/>
    <d v="2020-02-24T00:00:00"/>
    <x v="1"/>
    <n v="546"/>
    <n v="-928"/>
    <x v="2"/>
    <n v="-546"/>
    <x v="1"/>
  </r>
  <r>
    <x v="256"/>
    <d v="2020-02-28T00:00:00"/>
    <x v="2"/>
    <n v="681"/>
    <n v="-1609"/>
    <x v="2"/>
    <n v="-681"/>
    <x v="1"/>
  </r>
  <r>
    <x v="256"/>
    <d v="2020-03-01T00:00:00"/>
    <x v="2"/>
    <n v="659"/>
    <n v="-2268"/>
    <x v="1"/>
    <n v="-659"/>
    <x v="1"/>
  </r>
  <r>
    <x v="256"/>
    <d v="2020-03-03T00:00:00"/>
    <x v="0"/>
    <n v="815"/>
    <n v="-1453"/>
    <x v="1"/>
    <n v="815"/>
    <x v="1"/>
  </r>
  <r>
    <x v="256"/>
    <d v="2020-03-07T00:00:00"/>
    <x v="2"/>
    <n v="105"/>
    <n v="-1558"/>
    <x v="1"/>
    <n v="-105"/>
    <x v="1"/>
  </r>
  <r>
    <x v="256"/>
    <d v="2020-03-16T00:00:00"/>
    <x v="1"/>
    <n v="53"/>
    <n v="-1611"/>
    <x v="1"/>
    <n v="-53"/>
    <x v="1"/>
  </r>
  <r>
    <x v="256"/>
    <d v="2020-03-18T00:00:00"/>
    <x v="2"/>
    <n v="31"/>
    <n v="-1642"/>
    <x v="1"/>
    <n v="-31"/>
    <x v="1"/>
  </r>
  <r>
    <x v="256"/>
    <d v="2020-03-19T00:00:00"/>
    <x v="0"/>
    <n v="401"/>
    <n v="-1241"/>
    <x v="1"/>
    <n v="401"/>
    <x v="1"/>
  </r>
  <r>
    <x v="256"/>
    <d v="2020-03-20T00:00:00"/>
    <x v="0"/>
    <n v="769"/>
    <n v="-472"/>
    <x v="1"/>
    <n v="769"/>
    <x v="1"/>
  </r>
  <r>
    <x v="256"/>
    <d v="2020-04-13T00:00:00"/>
    <x v="1"/>
    <n v="504"/>
    <n v="-976"/>
    <x v="3"/>
    <n v="-504"/>
    <x v="1"/>
  </r>
  <r>
    <x v="257"/>
    <d v="2020-01-25T00:00:00"/>
    <x v="0"/>
    <n v="590"/>
    <n v="590"/>
    <x v="0"/>
    <n v="590"/>
    <x v="0"/>
  </r>
  <r>
    <x v="257"/>
    <d v="2020-02-04T00:00:00"/>
    <x v="1"/>
    <n v="849"/>
    <n v="-259"/>
    <x v="2"/>
    <n v="-849"/>
    <x v="1"/>
  </r>
  <r>
    <x v="257"/>
    <d v="2020-02-14T00:00:00"/>
    <x v="1"/>
    <n v="817"/>
    <n v="-1076"/>
    <x v="2"/>
    <n v="-817"/>
    <x v="1"/>
  </r>
  <r>
    <x v="257"/>
    <d v="2020-03-04T00:00:00"/>
    <x v="2"/>
    <n v="379"/>
    <n v="-1455"/>
    <x v="1"/>
    <n v="-379"/>
    <x v="1"/>
  </r>
  <r>
    <x v="257"/>
    <d v="2020-03-06T00:00:00"/>
    <x v="1"/>
    <n v="782"/>
    <n v="-2237"/>
    <x v="1"/>
    <n v="-782"/>
    <x v="1"/>
  </r>
  <r>
    <x v="257"/>
    <d v="2020-03-16T00:00:00"/>
    <x v="0"/>
    <n v="43"/>
    <n v="-2194"/>
    <x v="1"/>
    <n v="43"/>
    <x v="1"/>
  </r>
  <r>
    <x v="257"/>
    <d v="2020-03-25T00:00:00"/>
    <x v="0"/>
    <n v="115"/>
    <n v="-2079"/>
    <x v="1"/>
    <n v="115"/>
    <x v="1"/>
  </r>
  <r>
    <x v="257"/>
    <d v="2020-03-26T00:00:00"/>
    <x v="1"/>
    <n v="814"/>
    <n v="-2893"/>
    <x v="1"/>
    <n v="-814"/>
    <x v="1"/>
  </r>
  <r>
    <x v="257"/>
    <d v="2020-04-03T00:00:00"/>
    <x v="0"/>
    <n v="819"/>
    <n v="-2074"/>
    <x v="3"/>
    <n v="819"/>
    <x v="1"/>
  </r>
  <r>
    <x v="257"/>
    <d v="2020-04-13T00:00:00"/>
    <x v="0"/>
    <n v="609"/>
    <n v="-1465"/>
    <x v="3"/>
    <n v="609"/>
    <x v="1"/>
  </r>
  <r>
    <x v="258"/>
    <d v="2020-01-04T00:00:00"/>
    <x v="0"/>
    <n v="744"/>
    <n v="744"/>
    <x v="0"/>
    <n v="744"/>
    <x v="0"/>
  </r>
  <r>
    <x v="258"/>
    <d v="2020-01-08T00:00:00"/>
    <x v="1"/>
    <n v="672"/>
    <n v="72"/>
    <x v="0"/>
    <n v="-672"/>
    <x v="0"/>
  </r>
  <r>
    <x v="258"/>
    <d v="2020-01-14T00:00:00"/>
    <x v="0"/>
    <n v="714"/>
    <n v="786"/>
    <x v="0"/>
    <n v="714"/>
    <x v="0"/>
  </r>
  <r>
    <x v="258"/>
    <d v="2020-01-18T00:00:00"/>
    <x v="0"/>
    <n v="745"/>
    <n v="1531"/>
    <x v="0"/>
    <n v="745"/>
    <x v="0"/>
  </r>
  <r>
    <x v="258"/>
    <d v="2020-01-18T00:00:00"/>
    <x v="1"/>
    <n v="695"/>
    <n v="836"/>
    <x v="0"/>
    <n v="-695"/>
    <x v="0"/>
  </r>
  <r>
    <x v="258"/>
    <d v="2020-01-25T00:00:00"/>
    <x v="2"/>
    <n v="352"/>
    <n v="484"/>
    <x v="0"/>
    <n v="-352"/>
    <x v="0"/>
  </r>
  <r>
    <x v="258"/>
    <d v="2020-01-30T00:00:00"/>
    <x v="1"/>
    <n v="188"/>
    <n v="296"/>
    <x v="0"/>
    <n v="-188"/>
    <x v="0"/>
  </r>
  <r>
    <x v="258"/>
    <d v="2020-01-31T00:00:00"/>
    <x v="0"/>
    <n v="632"/>
    <n v="928"/>
    <x v="0"/>
    <n v="632"/>
    <x v="0"/>
  </r>
  <r>
    <x v="258"/>
    <d v="2020-02-06T00:00:00"/>
    <x v="1"/>
    <n v="347"/>
    <n v="581"/>
    <x v="2"/>
    <n v="-347"/>
    <x v="0"/>
  </r>
  <r>
    <x v="258"/>
    <d v="2020-02-17T00:00:00"/>
    <x v="2"/>
    <n v="982"/>
    <n v="-401"/>
    <x v="2"/>
    <n v="-982"/>
    <x v="1"/>
  </r>
  <r>
    <x v="258"/>
    <d v="2020-02-18T00:00:00"/>
    <x v="2"/>
    <n v="41"/>
    <n v="-442"/>
    <x v="2"/>
    <n v="-41"/>
    <x v="1"/>
  </r>
  <r>
    <x v="258"/>
    <d v="2020-02-22T00:00:00"/>
    <x v="2"/>
    <n v="464"/>
    <n v="-906"/>
    <x v="2"/>
    <n v="-464"/>
    <x v="1"/>
  </r>
  <r>
    <x v="258"/>
    <d v="2020-02-23T00:00:00"/>
    <x v="0"/>
    <n v="639"/>
    <n v="-267"/>
    <x v="2"/>
    <n v="639"/>
    <x v="1"/>
  </r>
  <r>
    <x v="258"/>
    <d v="2020-03-08T00:00:00"/>
    <x v="0"/>
    <n v="223"/>
    <n v="-44"/>
    <x v="1"/>
    <n v="223"/>
    <x v="1"/>
  </r>
  <r>
    <x v="258"/>
    <d v="2020-03-17T00:00:00"/>
    <x v="2"/>
    <n v="593"/>
    <n v="-637"/>
    <x v="1"/>
    <n v="-593"/>
    <x v="1"/>
  </r>
  <r>
    <x v="258"/>
    <d v="2020-03-30T00:00:00"/>
    <x v="2"/>
    <n v="821"/>
    <n v="-1458"/>
    <x v="1"/>
    <n v="-821"/>
    <x v="1"/>
  </r>
  <r>
    <x v="259"/>
    <d v="2020-01-26T00:00:00"/>
    <x v="0"/>
    <n v="899"/>
    <n v="899"/>
    <x v="0"/>
    <n v="899"/>
    <x v="0"/>
  </r>
  <r>
    <x v="259"/>
    <d v="2020-01-28T00:00:00"/>
    <x v="0"/>
    <n v="966"/>
    <n v="1865"/>
    <x v="0"/>
    <n v="966"/>
    <x v="0"/>
  </r>
  <r>
    <x v="259"/>
    <d v="2020-03-07T00:00:00"/>
    <x v="2"/>
    <n v="952"/>
    <n v="913"/>
    <x v="1"/>
    <n v="-952"/>
    <x v="0"/>
  </r>
  <r>
    <x v="259"/>
    <d v="2020-03-24T00:00:00"/>
    <x v="0"/>
    <n v="996"/>
    <n v="1909"/>
    <x v="1"/>
    <n v="996"/>
    <x v="0"/>
  </r>
  <r>
    <x v="260"/>
    <d v="2020-01-25T00:00:00"/>
    <x v="0"/>
    <n v="746"/>
    <n v="746"/>
    <x v="0"/>
    <n v="746"/>
    <x v="0"/>
  </r>
  <r>
    <x v="260"/>
    <d v="2020-02-04T00:00:00"/>
    <x v="0"/>
    <n v="974"/>
    <n v="1720"/>
    <x v="2"/>
    <n v="974"/>
    <x v="0"/>
  </r>
  <r>
    <x v="260"/>
    <d v="2020-02-14T00:00:00"/>
    <x v="0"/>
    <n v="27"/>
    <n v="1747"/>
    <x v="2"/>
    <n v="27"/>
    <x v="0"/>
  </r>
  <r>
    <x v="260"/>
    <d v="2020-02-20T00:00:00"/>
    <x v="2"/>
    <n v="339"/>
    <n v="1408"/>
    <x v="2"/>
    <n v="-339"/>
    <x v="0"/>
  </r>
  <r>
    <x v="260"/>
    <d v="2020-03-02T00:00:00"/>
    <x v="1"/>
    <n v="778"/>
    <n v="630"/>
    <x v="1"/>
    <n v="-778"/>
    <x v="0"/>
  </r>
  <r>
    <x v="260"/>
    <d v="2020-03-07T00:00:00"/>
    <x v="2"/>
    <n v="959"/>
    <n v="-329"/>
    <x v="1"/>
    <n v="-959"/>
    <x v="1"/>
  </r>
  <r>
    <x v="260"/>
    <d v="2020-04-05T00:00:00"/>
    <x v="0"/>
    <n v="298"/>
    <n v="-31"/>
    <x v="3"/>
    <n v="298"/>
    <x v="1"/>
  </r>
  <r>
    <x v="261"/>
    <d v="2020-01-04T00:00:00"/>
    <x v="0"/>
    <n v="83"/>
    <n v="83"/>
    <x v="0"/>
    <n v="83"/>
    <x v="0"/>
  </r>
  <r>
    <x v="261"/>
    <d v="2020-01-04T00:00:00"/>
    <x v="2"/>
    <n v="728"/>
    <n v="-645"/>
    <x v="0"/>
    <n v="-728"/>
    <x v="1"/>
  </r>
  <r>
    <x v="261"/>
    <d v="2020-01-11T00:00:00"/>
    <x v="2"/>
    <n v="368"/>
    <n v="-1013"/>
    <x v="0"/>
    <n v="-368"/>
    <x v="1"/>
  </r>
  <r>
    <x v="261"/>
    <d v="2020-01-23T00:00:00"/>
    <x v="1"/>
    <n v="57"/>
    <n v="-1070"/>
    <x v="0"/>
    <n v="-57"/>
    <x v="1"/>
  </r>
  <r>
    <x v="261"/>
    <d v="2020-02-15T00:00:00"/>
    <x v="1"/>
    <n v="702"/>
    <n v="-1772"/>
    <x v="2"/>
    <n v="-702"/>
    <x v="1"/>
  </r>
  <r>
    <x v="261"/>
    <d v="2020-02-16T00:00:00"/>
    <x v="1"/>
    <n v="227"/>
    <n v="-1999"/>
    <x v="2"/>
    <n v="-227"/>
    <x v="1"/>
  </r>
  <r>
    <x v="261"/>
    <d v="2020-02-17T00:00:00"/>
    <x v="1"/>
    <n v="16"/>
    <n v="-2015"/>
    <x v="2"/>
    <n v="-16"/>
    <x v="1"/>
  </r>
  <r>
    <x v="261"/>
    <d v="2020-02-18T00:00:00"/>
    <x v="2"/>
    <n v="584"/>
    <n v="-2599"/>
    <x v="2"/>
    <n v="-584"/>
    <x v="1"/>
  </r>
  <r>
    <x v="261"/>
    <d v="2020-03-06T00:00:00"/>
    <x v="0"/>
    <n v="97"/>
    <n v="-2502"/>
    <x v="1"/>
    <n v="97"/>
    <x v="1"/>
  </r>
  <r>
    <x v="261"/>
    <d v="2020-03-07T00:00:00"/>
    <x v="2"/>
    <n v="516"/>
    <n v="-3018"/>
    <x v="1"/>
    <n v="-516"/>
    <x v="1"/>
  </r>
  <r>
    <x v="261"/>
    <d v="2020-03-11T00:00:00"/>
    <x v="0"/>
    <n v="264"/>
    <n v="-2754"/>
    <x v="1"/>
    <n v="264"/>
    <x v="1"/>
  </r>
  <r>
    <x v="261"/>
    <d v="2020-03-19T00:00:00"/>
    <x v="0"/>
    <n v="646"/>
    <n v="-2108"/>
    <x v="1"/>
    <n v="646"/>
    <x v="1"/>
  </r>
  <r>
    <x v="261"/>
    <d v="2020-03-20T00:00:00"/>
    <x v="0"/>
    <n v="610"/>
    <n v="-1498"/>
    <x v="1"/>
    <n v="610"/>
    <x v="1"/>
  </r>
  <r>
    <x v="261"/>
    <d v="2020-03-23T00:00:00"/>
    <x v="1"/>
    <n v="871"/>
    <n v="-2369"/>
    <x v="1"/>
    <n v="-871"/>
    <x v="1"/>
  </r>
  <r>
    <x v="261"/>
    <d v="2020-03-24T00:00:00"/>
    <x v="1"/>
    <n v="28"/>
    <n v="-2397"/>
    <x v="1"/>
    <n v="-28"/>
    <x v="1"/>
  </r>
  <r>
    <x v="261"/>
    <d v="2020-03-25T00:00:00"/>
    <x v="0"/>
    <n v="155"/>
    <n v="-2242"/>
    <x v="1"/>
    <n v="155"/>
    <x v="1"/>
  </r>
  <r>
    <x v="261"/>
    <d v="2020-03-31T00:00:00"/>
    <x v="2"/>
    <n v="130"/>
    <n v="-2372"/>
    <x v="1"/>
    <n v="-130"/>
    <x v="1"/>
  </r>
  <r>
    <x v="262"/>
    <d v="2020-01-16T00:00:00"/>
    <x v="0"/>
    <n v="312"/>
    <n v="312"/>
    <x v="0"/>
    <n v="312"/>
    <x v="0"/>
  </r>
  <r>
    <x v="262"/>
    <d v="2020-02-22T00:00:00"/>
    <x v="1"/>
    <n v="200"/>
    <n v="112"/>
    <x v="2"/>
    <n v="-200"/>
    <x v="0"/>
  </r>
  <r>
    <x v="262"/>
    <d v="2020-04-05T00:00:00"/>
    <x v="0"/>
    <n v="658"/>
    <n v="770"/>
    <x v="3"/>
    <n v="658"/>
    <x v="0"/>
  </r>
  <r>
    <x v="263"/>
    <d v="2020-01-16T00:00:00"/>
    <x v="0"/>
    <n v="876"/>
    <n v="876"/>
    <x v="0"/>
    <n v="876"/>
    <x v="0"/>
  </r>
  <r>
    <x v="263"/>
    <d v="2020-01-16T00:00:00"/>
    <x v="0"/>
    <n v="41"/>
    <n v="917"/>
    <x v="0"/>
    <n v="41"/>
    <x v="0"/>
  </r>
  <r>
    <x v="263"/>
    <d v="2020-01-23T00:00:00"/>
    <x v="1"/>
    <n v="147"/>
    <n v="770"/>
    <x v="0"/>
    <n v="-147"/>
    <x v="0"/>
  </r>
  <r>
    <x v="263"/>
    <d v="2020-02-04T00:00:00"/>
    <x v="1"/>
    <n v="75"/>
    <n v="695"/>
    <x v="2"/>
    <n v="-75"/>
    <x v="0"/>
  </r>
  <r>
    <x v="263"/>
    <d v="2020-02-25T00:00:00"/>
    <x v="0"/>
    <n v="850"/>
    <n v="1545"/>
    <x v="2"/>
    <n v="850"/>
    <x v="0"/>
  </r>
  <r>
    <x v="263"/>
    <d v="2020-03-10T00:00:00"/>
    <x v="0"/>
    <n v="886"/>
    <n v="2431"/>
    <x v="1"/>
    <n v="886"/>
    <x v="0"/>
  </r>
  <r>
    <x v="263"/>
    <d v="2020-03-18T00:00:00"/>
    <x v="0"/>
    <n v="362"/>
    <n v="2793"/>
    <x v="1"/>
    <n v="362"/>
    <x v="0"/>
  </r>
  <r>
    <x v="263"/>
    <d v="2020-03-18T00:00:00"/>
    <x v="0"/>
    <n v="987"/>
    <n v="3780"/>
    <x v="1"/>
    <n v="987"/>
    <x v="0"/>
  </r>
  <r>
    <x v="263"/>
    <d v="2020-03-19T00:00:00"/>
    <x v="1"/>
    <n v="760"/>
    <n v="3020"/>
    <x v="1"/>
    <n v="-760"/>
    <x v="0"/>
  </r>
  <r>
    <x v="263"/>
    <d v="2020-03-25T00:00:00"/>
    <x v="1"/>
    <n v="932"/>
    <n v="2088"/>
    <x v="1"/>
    <n v="-932"/>
    <x v="0"/>
  </r>
  <r>
    <x v="263"/>
    <d v="2020-04-06T00:00:00"/>
    <x v="2"/>
    <n v="793"/>
    <n v="1295"/>
    <x v="3"/>
    <n v="-793"/>
    <x v="0"/>
  </r>
  <r>
    <x v="264"/>
    <d v="2020-01-08T00:00:00"/>
    <x v="0"/>
    <n v="699"/>
    <n v="699"/>
    <x v="0"/>
    <n v="699"/>
    <x v="0"/>
  </r>
  <r>
    <x v="264"/>
    <d v="2020-01-10T00:00:00"/>
    <x v="0"/>
    <n v="92"/>
    <n v="791"/>
    <x v="0"/>
    <n v="92"/>
    <x v="0"/>
  </r>
  <r>
    <x v="264"/>
    <d v="2020-01-14T00:00:00"/>
    <x v="2"/>
    <n v="818"/>
    <n v="-27"/>
    <x v="0"/>
    <n v="-818"/>
    <x v="1"/>
  </r>
  <r>
    <x v="264"/>
    <d v="2020-01-18T00:00:00"/>
    <x v="0"/>
    <n v="2"/>
    <n v="-25"/>
    <x v="0"/>
    <n v="2"/>
    <x v="1"/>
  </r>
  <r>
    <x v="264"/>
    <d v="2020-02-05T00:00:00"/>
    <x v="1"/>
    <n v="161"/>
    <n v="-186"/>
    <x v="2"/>
    <n v="-161"/>
    <x v="1"/>
  </r>
  <r>
    <x v="264"/>
    <d v="2020-02-10T00:00:00"/>
    <x v="1"/>
    <n v="193"/>
    <n v="-379"/>
    <x v="2"/>
    <n v="-193"/>
    <x v="1"/>
  </r>
  <r>
    <x v="264"/>
    <d v="2020-02-14T00:00:00"/>
    <x v="1"/>
    <n v="577"/>
    <n v="-956"/>
    <x v="2"/>
    <n v="-577"/>
    <x v="1"/>
  </r>
  <r>
    <x v="264"/>
    <d v="2020-02-17T00:00:00"/>
    <x v="1"/>
    <n v="73"/>
    <n v="-1029"/>
    <x v="2"/>
    <n v="-73"/>
    <x v="1"/>
  </r>
  <r>
    <x v="264"/>
    <d v="2020-02-28T00:00:00"/>
    <x v="2"/>
    <n v="452"/>
    <n v="-1481"/>
    <x v="2"/>
    <n v="-452"/>
    <x v="1"/>
  </r>
  <r>
    <x v="264"/>
    <d v="2020-03-03T00:00:00"/>
    <x v="0"/>
    <n v="280"/>
    <n v="-1201"/>
    <x v="1"/>
    <n v="280"/>
    <x v="1"/>
  </r>
  <r>
    <x v="264"/>
    <d v="2020-03-07T00:00:00"/>
    <x v="0"/>
    <n v="36"/>
    <n v="-1165"/>
    <x v="1"/>
    <n v="36"/>
    <x v="1"/>
  </r>
  <r>
    <x v="264"/>
    <d v="2020-03-08T00:00:00"/>
    <x v="0"/>
    <n v="483"/>
    <n v="-682"/>
    <x v="1"/>
    <n v="483"/>
    <x v="1"/>
  </r>
  <r>
    <x v="264"/>
    <d v="2020-03-09T00:00:00"/>
    <x v="0"/>
    <n v="531"/>
    <n v="-151"/>
    <x v="1"/>
    <n v="531"/>
    <x v="1"/>
  </r>
  <r>
    <x v="264"/>
    <d v="2020-03-16T00:00:00"/>
    <x v="1"/>
    <n v="257"/>
    <n v="-408"/>
    <x v="1"/>
    <n v="-257"/>
    <x v="1"/>
  </r>
  <r>
    <x v="264"/>
    <d v="2020-03-23T00:00:00"/>
    <x v="1"/>
    <n v="835"/>
    <n v="-1243"/>
    <x v="1"/>
    <n v="-835"/>
    <x v="1"/>
  </r>
  <r>
    <x v="264"/>
    <d v="2020-03-26T00:00:00"/>
    <x v="2"/>
    <n v="881"/>
    <n v="-2124"/>
    <x v="1"/>
    <n v="-881"/>
    <x v="1"/>
  </r>
  <r>
    <x v="264"/>
    <d v="2020-03-27T00:00:00"/>
    <x v="0"/>
    <n v="89"/>
    <n v="-2035"/>
    <x v="1"/>
    <n v="89"/>
    <x v="1"/>
  </r>
  <r>
    <x v="264"/>
    <d v="2020-03-29T00:00:00"/>
    <x v="2"/>
    <n v="557"/>
    <n v="-2592"/>
    <x v="1"/>
    <n v="-557"/>
    <x v="1"/>
  </r>
  <r>
    <x v="264"/>
    <d v="2020-04-05T00:00:00"/>
    <x v="0"/>
    <n v="644"/>
    <n v="-1948"/>
    <x v="3"/>
    <n v="644"/>
    <x v="1"/>
  </r>
  <r>
    <x v="265"/>
    <d v="2020-01-17T00:00:00"/>
    <x v="0"/>
    <n v="651"/>
    <n v="651"/>
    <x v="0"/>
    <n v="651"/>
    <x v="0"/>
  </r>
  <r>
    <x v="265"/>
    <d v="2020-02-05T00:00:00"/>
    <x v="0"/>
    <n v="804"/>
    <n v="1455"/>
    <x v="2"/>
    <n v="804"/>
    <x v="0"/>
  </r>
  <r>
    <x v="265"/>
    <d v="2020-03-12T00:00:00"/>
    <x v="1"/>
    <n v="668"/>
    <n v="787"/>
    <x v="1"/>
    <n v="-668"/>
    <x v="0"/>
  </r>
  <r>
    <x v="265"/>
    <d v="2020-04-01T00:00:00"/>
    <x v="2"/>
    <n v="507"/>
    <n v="280"/>
    <x v="3"/>
    <n v="-507"/>
    <x v="0"/>
  </r>
  <r>
    <x v="265"/>
    <d v="2020-04-15T00:00:00"/>
    <x v="0"/>
    <n v="858"/>
    <n v="1138"/>
    <x v="3"/>
    <n v="858"/>
    <x v="0"/>
  </r>
  <r>
    <x v="266"/>
    <d v="2020-01-19T00:00:00"/>
    <x v="0"/>
    <n v="31"/>
    <n v="31"/>
    <x v="0"/>
    <n v="31"/>
    <x v="0"/>
  </r>
  <r>
    <x v="266"/>
    <d v="2020-01-29T00:00:00"/>
    <x v="1"/>
    <n v="196"/>
    <n v="-165"/>
    <x v="0"/>
    <n v="-196"/>
    <x v="1"/>
  </r>
  <r>
    <x v="266"/>
    <d v="2020-01-30T00:00:00"/>
    <x v="2"/>
    <n v="660"/>
    <n v="-825"/>
    <x v="0"/>
    <n v="-660"/>
    <x v="1"/>
  </r>
  <r>
    <x v="266"/>
    <d v="2020-01-31T00:00:00"/>
    <x v="0"/>
    <n v="632"/>
    <n v="-193"/>
    <x v="0"/>
    <n v="632"/>
    <x v="1"/>
  </r>
  <r>
    <x v="266"/>
    <d v="2020-02-11T00:00:00"/>
    <x v="2"/>
    <n v="523"/>
    <n v="-716"/>
    <x v="2"/>
    <n v="-523"/>
    <x v="1"/>
  </r>
  <r>
    <x v="266"/>
    <d v="2020-02-20T00:00:00"/>
    <x v="1"/>
    <n v="497"/>
    <n v="-1213"/>
    <x v="2"/>
    <n v="-497"/>
    <x v="1"/>
  </r>
  <r>
    <x v="266"/>
    <d v="2020-02-27T00:00:00"/>
    <x v="1"/>
    <n v="325"/>
    <n v="-1538"/>
    <x v="2"/>
    <n v="-325"/>
    <x v="1"/>
  </r>
  <r>
    <x v="266"/>
    <d v="2020-02-27T00:00:00"/>
    <x v="2"/>
    <n v="530"/>
    <n v="-2068"/>
    <x v="2"/>
    <n v="-530"/>
    <x v="1"/>
  </r>
  <r>
    <x v="266"/>
    <d v="2020-03-06T00:00:00"/>
    <x v="0"/>
    <n v="201"/>
    <n v="-1867"/>
    <x v="1"/>
    <n v="201"/>
    <x v="1"/>
  </r>
  <r>
    <x v="266"/>
    <d v="2020-03-08T00:00:00"/>
    <x v="1"/>
    <n v="880"/>
    <n v="-2747"/>
    <x v="1"/>
    <n v="-880"/>
    <x v="1"/>
  </r>
  <r>
    <x v="266"/>
    <d v="2020-03-17T00:00:00"/>
    <x v="2"/>
    <n v="970"/>
    <n v="-3717"/>
    <x v="1"/>
    <n v="-970"/>
    <x v="1"/>
  </r>
  <r>
    <x v="266"/>
    <d v="2020-03-21T00:00:00"/>
    <x v="2"/>
    <n v="501"/>
    <n v="-4218"/>
    <x v="1"/>
    <n v="-501"/>
    <x v="1"/>
  </r>
  <r>
    <x v="266"/>
    <d v="2020-03-21T00:00:00"/>
    <x v="2"/>
    <n v="729"/>
    <n v="-4947"/>
    <x v="1"/>
    <n v="-729"/>
    <x v="1"/>
  </r>
  <r>
    <x v="266"/>
    <d v="2020-03-28T00:00:00"/>
    <x v="2"/>
    <n v="289"/>
    <n v="-5236"/>
    <x v="1"/>
    <n v="-289"/>
    <x v="1"/>
  </r>
  <r>
    <x v="266"/>
    <d v="2020-04-04T00:00:00"/>
    <x v="0"/>
    <n v="996"/>
    <n v="-4240"/>
    <x v="3"/>
    <n v="996"/>
    <x v="1"/>
  </r>
  <r>
    <x v="266"/>
    <d v="2020-04-04T00:00:00"/>
    <x v="0"/>
    <n v="917"/>
    <n v="-3323"/>
    <x v="3"/>
    <n v="917"/>
    <x v="1"/>
  </r>
  <r>
    <x v="266"/>
    <d v="2020-04-10T00:00:00"/>
    <x v="0"/>
    <n v="530"/>
    <n v="-2793"/>
    <x v="3"/>
    <n v="530"/>
    <x v="1"/>
  </r>
  <r>
    <x v="266"/>
    <d v="2020-04-13T00:00:00"/>
    <x v="0"/>
    <n v="351"/>
    <n v="-2442"/>
    <x v="3"/>
    <n v="351"/>
    <x v="1"/>
  </r>
  <r>
    <x v="267"/>
    <d v="2020-01-11T00:00:00"/>
    <x v="0"/>
    <n v="744"/>
    <n v="744"/>
    <x v="0"/>
    <n v="744"/>
    <x v="0"/>
  </r>
  <r>
    <x v="267"/>
    <d v="2020-01-12T00:00:00"/>
    <x v="0"/>
    <n v="589"/>
    <n v="1333"/>
    <x v="0"/>
    <n v="589"/>
    <x v="0"/>
  </r>
  <r>
    <x v="267"/>
    <d v="2020-01-15T00:00:00"/>
    <x v="0"/>
    <n v="291"/>
    <n v="1624"/>
    <x v="0"/>
    <n v="291"/>
    <x v="0"/>
  </r>
  <r>
    <x v="267"/>
    <d v="2020-01-18T00:00:00"/>
    <x v="0"/>
    <n v="759"/>
    <n v="2383"/>
    <x v="0"/>
    <n v="759"/>
    <x v="0"/>
  </r>
  <r>
    <x v="267"/>
    <d v="2020-01-21T00:00:00"/>
    <x v="0"/>
    <n v="249"/>
    <n v="2632"/>
    <x v="0"/>
    <n v="249"/>
    <x v="0"/>
  </r>
  <r>
    <x v="267"/>
    <d v="2020-01-22T00:00:00"/>
    <x v="1"/>
    <n v="547"/>
    <n v="2085"/>
    <x v="0"/>
    <n v="-547"/>
    <x v="0"/>
  </r>
  <r>
    <x v="267"/>
    <d v="2020-01-31T00:00:00"/>
    <x v="2"/>
    <n v="386"/>
    <n v="1699"/>
    <x v="0"/>
    <n v="-386"/>
    <x v="0"/>
  </r>
  <r>
    <x v="267"/>
    <d v="2020-02-01T00:00:00"/>
    <x v="2"/>
    <n v="937"/>
    <n v="762"/>
    <x v="2"/>
    <n v="-937"/>
    <x v="0"/>
  </r>
  <r>
    <x v="267"/>
    <d v="2020-02-04T00:00:00"/>
    <x v="1"/>
    <n v="169"/>
    <n v="593"/>
    <x v="2"/>
    <n v="-169"/>
    <x v="0"/>
  </r>
  <r>
    <x v="267"/>
    <d v="2020-02-09T00:00:00"/>
    <x v="1"/>
    <n v="104"/>
    <n v="489"/>
    <x v="2"/>
    <n v="-104"/>
    <x v="0"/>
  </r>
  <r>
    <x v="267"/>
    <d v="2020-02-13T00:00:00"/>
    <x v="0"/>
    <n v="503"/>
    <n v="992"/>
    <x v="2"/>
    <n v="503"/>
    <x v="0"/>
  </r>
  <r>
    <x v="267"/>
    <d v="2020-02-13T00:00:00"/>
    <x v="2"/>
    <n v="58"/>
    <n v="934"/>
    <x v="2"/>
    <n v="-58"/>
    <x v="0"/>
  </r>
  <r>
    <x v="267"/>
    <d v="2020-02-19T00:00:00"/>
    <x v="2"/>
    <n v="811"/>
    <n v="123"/>
    <x v="2"/>
    <n v="-811"/>
    <x v="0"/>
  </r>
  <r>
    <x v="267"/>
    <d v="2020-03-02T00:00:00"/>
    <x v="0"/>
    <n v="150"/>
    <n v="273"/>
    <x v="1"/>
    <n v="150"/>
    <x v="0"/>
  </r>
  <r>
    <x v="267"/>
    <d v="2020-03-08T00:00:00"/>
    <x v="1"/>
    <n v="52"/>
    <n v="221"/>
    <x v="1"/>
    <n v="-52"/>
    <x v="0"/>
  </r>
  <r>
    <x v="267"/>
    <d v="2020-03-11T00:00:00"/>
    <x v="0"/>
    <n v="583"/>
    <n v="804"/>
    <x v="1"/>
    <n v="583"/>
    <x v="0"/>
  </r>
  <r>
    <x v="267"/>
    <d v="2020-03-14T00:00:00"/>
    <x v="1"/>
    <n v="84"/>
    <n v="720"/>
    <x v="1"/>
    <n v="-84"/>
    <x v="0"/>
  </r>
  <r>
    <x v="267"/>
    <d v="2020-03-22T00:00:00"/>
    <x v="2"/>
    <n v="450"/>
    <n v="270"/>
    <x v="1"/>
    <n v="-450"/>
    <x v="0"/>
  </r>
  <r>
    <x v="267"/>
    <d v="2020-04-03T00:00:00"/>
    <x v="2"/>
    <n v="488"/>
    <n v="-218"/>
    <x v="3"/>
    <n v="-488"/>
    <x v="1"/>
  </r>
  <r>
    <x v="268"/>
    <d v="2020-01-14T00:00:00"/>
    <x v="0"/>
    <n v="654"/>
    <n v="654"/>
    <x v="0"/>
    <n v="654"/>
    <x v="0"/>
  </r>
  <r>
    <x v="268"/>
    <d v="2020-01-15T00:00:00"/>
    <x v="1"/>
    <n v="421"/>
    <n v="233"/>
    <x v="0"/>
    <n v="-421"/>
    <x v="0"/>
  </r>
  <r>
    <x v="268"/>
    <d v="2020-01-15T00:00:00"/>
    <x v="0"/>
    <n v="351"/>
    <n v="584"/>
    <x v="0"/>
    <n v="351"/>
    <x v="0"/>
  </r>
  <r>
    <x v="268"/>
    <d v="2020-01-18T00:00:00"/>
    <x v="1"/>
    <n v="406"/>
    <n v="178"/>
    <x v="0"/>
    <n v="-406"/>
    <x v="0"/>
  </r>
  <r>
    <x v="268"/>
    <d v="2020-01-21T00:00:00"/>
    <x v="2"/>
    <n v="895"/>
    <n v="-717"/>
    <x v="0"/>
    <n v="-895"/>
    <x v="1"/>
  </r>
  <r>
    <x v="268"/>
    <d v="2020-01-27T00:00:00"/>
    <x v="2"/>
    <n v="705"/>
    <n v="-1422"/>
    <x v="0"/>
    <n v="-705"/>
    <x v="1"/>
  </r>
  <r>
    <x v="268"/>
    <d v="2020-01-28T00:00:00"/>
    <x v="2"/>
    <n v="765"/>
    <n v="-2187"/>
    <x v="0"/>
    <n v="-765"/>
    <x v="1"/>
  </r>
  <r>
    <x v="268"/>
    <d v="2020-01-29T00:00:00"/>
    <x v="2"/>
    <n v="478"/>
    <n v="-2665"/>
    <x v="0"/>
    <n v="-478"/>
    <x v="1"/>
  </r>
  <r>
    <x v="268"/>
    <d v="2020-02-02T00:00:00"/>
    <x v="0"/>
    <n v="354"/>
    <n v="-2311"/>
    <x v="2"/>
    <n v="354"/>
    <x v="1"/>
  </r>
  <r>
    <x v="268"/>
    <d v="2020-02-11T00:00:00"/>
    <x v="1"/>
    <n v="550"/>
    <n v="-2861"/>
    <x v="2"/>
    <n v="-550"/>
    <x v="1"/>
  </r>
  <r>
    <x v="268"/>
    <d v="2020-02-15T00:00:00"/>
    <x v="2"/>
    <n v="459"/>
    <n v="-3320"/>
    <x v="2"/>
    <n v="-459"/>
    <x v="1"/>
  </r>
  <r>
    <x v="268"/>
    <d v="2020-02-20T00:00:00"/>
    <x v="1"/>
    <n v="665"/>
    <n v="-3985"/>
    <x v="2"/>
    <n v="-665"/>
    <x v="1"/>
  </r>
  <r>
    <x v="268"/>
    <d v="2020-03-04T00:00:00"/>
    <x v="2"/>
    <n v="24"/>
    <n v="-4009"/>
    <x v="1"/>
    <n v="-24"/>
    <x v="1"/>
  </r>
  <r>
    <x v="268"/>
    <d v="2020-03-10T00:00:00"/>
    <x v="0"/>
    <n v="471"/>
    <n v="-3538"/>
    <x v="1"/>
    <n v="471"/>
    <x v="1"/>
  </r>
  <r>
    <x v="268"/>
    <d v="2020-03-15T00:00:00"/>
    <x v="0"/>
    <n v="766"/>
    <n v="-2772"/>
    <x v="1"/>
    <n v="766"/>
    <x v="1"/>
  </r>
  <r>
    <x v="268"/>
    <d v="2020-03-30T00:00:00"/>
    <x v="0"/>
    <n v="302"/>
    <n v="-2470"/>
    <x v="1"/>
    <n v="302"/>
    <x v="1"/>
  </r>
  <r>
    <x v="268"/>
    <d v="2020-04-03T00:00:00"/>
    <x v="1"/>
    <n v="98"/>
    <n v="-2568"/>
    <x v="3"/>
    <n v="-98"/>
    <x v="1"/>
  </r>
  <r>
    <x v="268"/>
    <d v="2020-04-07T00:00:00"/>
    <x v="0"/>
    <n v="640"/>
    <n v="-1928"/>
    <x v="3"/>
    <n v="640"/>
    <x v="1"/>
  </r>
  <r>
    <x v="268"/>
    <d v="2020-04-11T00:00:00"/>
    <x v="0"/>
    <n v="64"/>
    <n v="-1864"/>
    <x v="3"/>
    <n v="64"/>
    <x v="1"/>
  </r>
  <r>
    <x v="269"/>
    <d v="2020-01-16T00:00:00"/>
    <x v="0"/>
    <n v="294"/>
    <n v="294"/>
    <x v="0"/>
    <n v="294"/>
    <x v="0"/>
  </r>
  <r>
    <x v="269"/>
    <d v="2020-01-18T00:00:00"/>
    <x v="0"/>
    <n v="708"/>
    <n v="1002"/>
    <x v="0"/>
    <n v="708"/>
    <x v="0"/>
  </r>
  <r>
    <x v="269"/>
    <d v="2020-01-30T00:00:00"/>
    <x v="0"/>
    <n v="393"/>
    <n v="1395"/>
    <x v="0"/>
    <n v="393"/>
    <x v="0"/>
  </r>
  <r>
    <x v="269"/>
    <d v="2020-02-02T00:00:00"/>
    <x v="2"/>
    <n v="835"/>
    <n v="560"/>
    <x v="2"/>
    <n v="-835"/>
    <x v="0"/>
  </r>
  <r>
    <x v="269"/>
    <d v="2020-02-18T00:00:00"/>
    <x v="0"/>
    <n v="520"/>
    <n v="1080"/>
    <x v="2"/>
    <n v="520"/>
    <x v="0"/>
  </r>
  <r>
    <x v="269"/>
    <d v="2020-02-24T00:00:00"/>
    <x v="0"/>
    <n v="315"/>
    <n v="1395"/>
    <x v="2"/>
    <n v="315"/>
    <x v="0"/>
  </r>
  <r>
    <x v="269"/>
    <d v="2020-02-26T00:00:00"/>
    <x v="0"/>
    <n v="69"/>
    <n v="1464"/>
    <x v="2"/>
    <n v="69"/>
    <x v="0"/>
  </r>
  <r>
    <x v="269"/>
    <d v="2020-02-28T00:00:00"/>
    <x v="2"/>
    <n v="503"/>
    <n v="961"/>
    <x v="2"/>
    <n v="-503"/>
    <x v="0"/>
  </r>
  <r>
    <x v="269"/>
    <d v="2020-03-06T00:00:00"/>
    <x v="0"/>
    <n v="843"/>
    <n v="1804"/>
    <x v="1"/>
    <n v="843"/>
    <x v="0"/>
  </r>
  <r>
    <x v="269"/>
    <d v="2020-03-11T00:00:00"/>
    <x v="2"/>
    <n v="379"/>
    <n v="1425"/>
    <x v="1"/>
    <n v="-379"/>
    <x v="0"/>
  </r>
  <r>
    <x v="269"/>
    <d v="2020-03-15T00:00:00"/>
    <x v="2"/>
    <n v="826"/>
    <n v="599"/>
    <x v="1"/>
    <n v="-826"/>
    <x v="0"/>
  </r>
  <r>
    <x v="269"/>
    <d v="2020-04-06T00:00:00"/>
    <x v="1"/>
    <n v="984"/>
    <n v="-385"/>
    <x v="3"/>
    <n v="-984"/>
    <x v="1"/>
  </r>
  <r>
    <x v="269"/>
    <d v="2020-04-08T00:00:00"/>
    <x v="2"/>
    <n v="57"/>
    <n v="-442"/>
    <x v="3"/>
    <n v="-57"/>
    <x v="1"/>
  </r>
  <r>
    <x v="270"/>
    <d v="2020-01-08T00:00:00"/>
    <x v="0"/>
    <n v="318"/>
    <n v="318"/>
    <x v="0"/>
    <n v="318"/>
    <x v="0"/>
  </r>
  <r>
    <x v="270"/>
    <d v="2020-01-11T00:00:00"/>
    <x v="1"/>
    <n v="833"/>
    <n v="-515"/>
    <x v="0"/>
    <n v="-833"/>
    <x v="1"/>
  </r>
  <r>
    <x v="270"/>
    <d v="2020-01-17T00:00:00"/>
    <x v="0"/>
    <n v="469"/>
    <n v="-46"/>
    <x v="0"/>
    <n v="469"/>
    <x v="1"/>
  </r>
  <r>
    <x v="270"/>
    <d v="2020-01-17T00:00:00"/>
    <x v="1"/>
    <n v="821"/>
    <n v="-867"/>
    <x v="0"/>
    <n v="-821"/>
    <x v="1"/>
  </r>
  <r>
    <x v="270"/>
    <d v="2020-01-19T00:00:00"/>
    <x v="2"/>
    <n v="719"/>
    <n v="-1586"/>
    <x v="0"/>
    <n v="-719"/>
    <x v="1"/>
  </r>
  <r>
    <x v="270"/>
    <d v="2020-02-02T00:00:00"/>
    <x v="0"/>
    <n v="965"/>
    <n v="-621"/>
    <x v="2"/>
    <n v="965"/>
    <x v="1"/>
  </r>
  <r>
    <x v="270"/>
    <d v="2020-02-06T00:00:00"/>
    <x v="1"/>
    <n v="167"/>
    <n v="-788"/>
    <x v="2"/>
    <n v="-167"/>
    <x v="1"/>
  </r>
  <r>
    <x v="270"/>
    <d v="2020-02-26T00:00:00"/>
    <x v="0"/>
    <n v="737"/>
    <n v="-51"/>
    <x v="2"/>
    <n v="737"/>
    <x v="1"/>
  </r>
  <r>
    <x v="270"/>
    <d v="2020-02-28T00:00:00"/>
    <x v="0"/>
    <n v="55"/>
    <n v="4"/>
    <x v="2"/>
    <n v="55"/>
    <x v="0"/>
  </r>
  <r>
    <x v="270"/>
    <d v="2020-02-29T00:00:00"/>
    <x v="0"/>
    <n v="268"/>
    <n v="272"/>
    <x v="2"/>
    <n v="268"/>
    <x v="0"/>
  </r>
  <r>
    <x v="270"/>
    <d v="2020-03-05T00:00:00"/>
    <x v="1"/>
    <n v="468"/>
    <n v="-196"/>
    <x v="1"/>
    <n v="-468"/>
    <x v="1"/>
  </r>
  <r>
    <x v="270"/>
    <d v="2020-03-05T00:00:00"/>
    <x v="2"/>
    <n v="584"/>
    <n v="-780"/>
    <x v="1"/>
    <n v="-584"/>
    <x v="1"/>
  </r>
  <r>
    <x v="270"/>
    <d v="2020-03-11T00:00:00"/>
    <x v="1"/>
    <n v="842"/>
    <n v="-1622"/>
    <x v="1"/>
    <n v="-842"/>
    <x v="1"/>
  </r>
  <r>
    <x v="270"/>
    <d v="2020-03-11T00:00:00"/>
    <x v="1"/>
    <n v="245"/>
    <n v="-1867"/>
    <x v="1"/>
    <n v="-245"/>
    <x v="1"/>
  </r>
  <r>
    <x v="270"/>
    <d v="2020-03-18T00:00:00"/>
    <x v="0"/>
    <n v="844"/>
    <n v="-1023"/>
    <x v="1"/>
    <n v="844"/>
    <x v="1"/>
  </r>
  <r>
    <x v="270"/>
    <d v="2020-03-19T00:00:00"/>
    <x v="0"/>
    <n v="478"/>
    <n v="-545"/>
    <x v="1"/>
    <n v="478"/>
    <x v="1"/>
  </r>
  <r>
    <x v="270"/>
    <d v="2020-03-23T00:00:00"/>
    <x v="0"/>
    <n v="497"/>
    <n v="-48"/>
    <x v="1"/>
    <n v="497"/>
    <x v="1"/>
  </r>
  <r>
    <x v="270"/>
    <d v="2020-03-29T00:00:00"/>
    <x v="1"/>
    <n v="568"/>
    <n v="-616"/>
    <x v="1"/>
    <n v="-568"/>
    <x v="1"/>
  </r>
  <r>
    <x v="270"/>
    <d v="2020-04-02T00:00:00"/>
    <x v="0"/>
    <n v="857"/>
    <n v="241"/>
    <x v="3"/>
    <n v="857"/>
    <x v="0"/>
  </r>
  <r>
    <x v="270"/>
    <d v="2020-04-02T00:00:00"/>
    <x v="2"/>
    <n v="61"/>
    <n v="180"/>
    <x v="3"/>
    <n v="-61"/>
    <x v="0"/>
  </r>
  <r>
    <x v="271"/>
    <d v="2020-01-11T00:00:00"/>
    <x v="0"/>
    <n v="706"/>
    <n v="706"/>
    <x v="0"/>
    <n v="706"/>
    <x v="0"/>
  </r>
  <r>
    <x v="271"/>
    <d v="2020-01-27T00:00:00"/>
    <x v="1"/>
    <n v="934"/>
    <n v="-228"/>
    <x v="0"/>
    <n v="-934"/>
    <x v="1"/>
  </r>
  <r>
    <x v="271"/>
    <d v="2020-02-01T00:00:00"/>
    <x v="0"/>
    <n v="526"/>
    <n v="298"/>
    <x v="2"/>
    <n v="526"/>
    <x v="0"/>
  </r>
  <r>
    <x v="271"/>
    <d v="2020-02-10T00:00:00"/>
    <x v="2"/>
    <n v="563"/>
    <n v="-265"/>
    <x v="2"/>
    <n v="-563"/>
    <x v="1"/>
  </r>
  <r>
    <x v="271"/>
    <d v="2020-02-19T00:00:00"/>
    <x v="1"/>
    <n v="852"/>
    <n v="-1117"/>
    <x v="2"/>
    <n v="-852"/>
    <x v="1"/>
  </r>
  <r>
    <x v="271"/>
    <d v="2020-02-22T00:00:00"/>
    <x v="2"/>
    <n v="15"/>
    <n v="-1132"/>
    <x v="2"/>
    <n v="-15"/>
    <x v="1"/>
  </r>
  <r>
    <x v="271"/>
    <d v="2020-02-29T00:00:00"/>
    <x v="1"/>
    <n v="541"/>
    <n v="-1673"/>
    <x v="2"/>
    <n v="-541"/>
    <x v="1"/>
  </r>
  <r>
    <x v="271"/>
    <d v="2020-04-01T00:00:00"/>
    <x v="0"/>
    <n v="708"/>
    <n v="-965"/>
    <x v="3"/>
    <n v="708"/>
    <x v="1"/>
  </r>
  <r>
    <x v="271"/>
    <d v="2020-04-01T00:00:00"/>
    <x v="2"/>
    <n v="804"/>
    <n v="-1769"/>
    <x v="3"/>
    <n v="-804"/>
    <x v="1"/>
  </r>
  <r>
    <x v="272"/>
    <d v="2020-01-19T00:00:00"/>
    <x v="0"/>
    <n v="876"/>
    <n v="876"/>
    <x v="0"/>
    <n v="876"/>
    <x v="0"/>
  </r>
  <r>
    <x v="272"/>
    <d v="2020-02-08T00:00:00"/>
    <x v="0"/>
    <n v="751"/>
    <n v="1627"/>
    <x v="2"/>
    <n v="751"/>
    <x v="0"/>
  </r>
  <r>
    <x v="272"/>
    <d v="2020-02-13T00:00:00"/>
    <x v="2"/>
    <n v="883"/>
    <n v="744"/>
    <x v="2"/>
    <n v="-883"/>
    <x v="0"/>
  </r>
  <r>
    <x v="272"/>
    <d v="2020-02-15T00:00:00"/>
    <x v="0"/>
    <n v="215"/>
    <n v="959"/>
    <x v="2"/>
    <n v="215"/>
    <x v="0"/>
  </r>
  <r>
    <x v="272"/>
    <d v="2020-02-22T00:00:00"/>
    <x v="2"/>
    <n v="826"/>
    <n v="133"/>
    <x v="2"/>
    <n v="-826"/>
    <x v="0"/>
  </r>
  <r>
    <x v="272"/>
    <d v="2020-03-23T00:00:00"/>
    <x v="0"/>
    <n v="684"/>
    <n v="817"/>
    <x v="1"/>
    <n v="684"/>
    <x v="0"/>
  </r>
  <r>
    <x v="272"/>
    <d v="2020-03-25T00:00:00"/>
    <x v="1"/>
    <n v="995"/>
    <n v="-178"/>
    <x v="1"/>
    <n v="-995"/>
    <x v="1"/>
  </r>
  <r>
    <x v="272"/>
    <d v="2020-04-06T00:00:00"/>
    <x v="0"/>
    <n v="859"/>
    <n v="681"/>
    <x v="3"/>
    <n v="859"/>
    <x v="0"/>
  </r>
  <r>
    <x v="272"/>
    <d v="2020-04-07T00:00:00"/>
    <x v="2"/>
    <n v="147"/>
    <n v="534"/>
    <x v="3"/>
    <n v="-147"/>
    <x v="0"/>
  </r>
  <r>
    <x v="272"/>
    <d v="2020-04-13T00:00:00"/>
    <x v="1"/>
    <n v="226"/>
    <n v="308"/>
    <x v="3"/>
    <n v="-226"/>
    <x v="0"/>
  </r>
  <r>
    <x v="273"/>
    <d v="2020-01-02T00:00:00"/>
    <x v="0"/>
    <n v="801"/>
    <n v="801"/>
    <x v="0"/>
    <n v="801"/>
    <x v="0"/>
  </r>
  <r>
    <x v="273"/>
    <d v="2020-01-03T00:00:00"/>
    <x v="1"/>
    <n v="174"/>
    <n v="627"/>
    <x v="0"/>
    <n v="-174"/>
    <x v="0"/>
  </r>
  <r>
    <x v="273"/>
    <d v="2020-01-03T00:00:00"/>
    <x v="2"/>
    <n v="437"/>
    <n v="190"/>
    <x v="0"/>
    <n v="-437"/>
    <x v="0"/>
  </r>
  <r>
    <x v="273"/>
    <d v="2020-01-04T00:00:00"/>
    <x v="2"/>
    <n v="839"/>
    <n v="-649"/>
    <x v="0"/>
    <n v="-839"/>
    <x v="1"/>
  </r>
  <r>
    <x v="273"/>
    <d v="2020-01-04T00:00:00"/>
    <x v="1"/>
    <n v="359"/>
    <n v="-1008"/>
    <x v="0"/>
    <n v="-359"/>
    <x v="1"/>
  </r>
  <r>
    <x v="273"/>
    <d v="2020-01-07T00:00:00"/>
    <x v="0"/>
    <n v="763"/>
    <n v="-245"/>
    <x v="0"/>
    <n v="763"/>
    <x v="1"/>
  </r>
  <r>
    <x v="273"/>
    <d v="2020-01-08T00:00:00"/>
    <x v="2"/>
    <n v="217"/>
    <n v="-462"/>
    <x v="0"/>
    <n v="-217"/>
    <x v="1"/>
  </r>
  <r>
    <x v="273"/>
    <d v="2020-01-18T00:00:00"/>
    <x v="1"/>
    <n v="318"/>
    <n v="-780"/>
    <x v="0"/>
    <n v="-318"/>
    <x v="1"/>
  </r>
  <r>
    <x v="273"/>
    <d v="2020-02-09T00:00:00"/>
    <x v="1"/>
    <n v="949"/>
    <n v="-1729"/>
    <x v="2"/>
    <n v="-949"/>
    <x v="1"/>
  </r>
  <r>
    <x v="273"/>
    <d v="2020-02-13T00:00:00"/>
    <x v="0"/>
    <n v="192"/>
    <n v="-1537"/>
    <x v="2"/>
    <n v="192"/>
    <x v="1"/>
  </r>
  <r>
    <x v="273"/>
    <d v="2020-02-15T00:00:00"/>
    <x v="0"/>
    <n v="815"/>
    <n v="-722"/>
    <x v="2"/>
    <n v="815"/>
    <x v="1"/>
  </r>
  <r>
    <x v="273"/>
    <d v="2020-02-17T00:00:00"/>
    <x v="0"/>
    <n v="554"/>
    <n v="-168"/>
    <x v="2"/>
    <n v="554"/>
    <x v="1"/>
  </r>
  <r>
    <x v="273"/>
    <d v="2020-02-23T00:00:00"/>
    <x v="2"/>
    <n v="493"/>
    <n v="-661"/>
    <x v="2"/>
    <n v="-493"/>
    <x v="1"/>
  </r>
  <r>
    <x v="273"/>
    <d v="2020-02-28T00:00:00"/>
    <x v="0"/>
    <n v="79"/>
    <n v="-582"/>
    <x v="2"/>
    <n v="79"/>
    <x v="1"/>
  </r>
  <r>
    <x v="273"/>
    <d v="2020-03-01T00:00:00"/>
    <x v="0"/>
    <n v="156"/>
    <n v="-426"/>
    <x v="1"/>
    <n v="156"/>
    <x v="1"/>
  </r>
  <r>
    <x v="273"/>
    <d v="2020-03-09T00:00:00"/>
    <x v="0"/>
    <n v="895"/>
    <n v="469"/>
    <x v="1"/>
    <n v="895"/>
    <x v="0"/>
  </r>
  <r>
    <x v="273"/>
    <d v="2020-03-12T00:00:00"/>
    <x v="1"/>
    <n v="345"/>
    <n v="124"/>
    <x v="1"/>
    <n v="-345"/>
    <x v="0"/>
  </r>
  <r>
    <x v="274"/>
    <d v="2020-01-28T00:00:00"/>
    <x v="0"/>
    <n v="211"/>
    <n v="211"/>
    <x v="0"/>
    <n v="211"/>
    <x v="0"/>
  </r>
  <r>
    <x v="274"/>
    <d v="2020-02-10T00:00:00"/>
    <x v="1"/>
    <n v="390"/>
    <n v="-179"/>
    <x v="2"/>
    <n v="-390"/>
    <x v="1"/>
  </r>
  <r>
    <x v="274"/>
    <d v="2020-02-16T00:00:00"/>
    <x v="2"/>
    <n v="918"/>
    <n v="-1097"/>
    <x v="2"/>
    <n v="-918"/>
    <x v="1"/>
  </r>
  <r>
    <x v="274"/>
    <d v="2020-02-24T00:00:00"/>
    <x v="0"/>
    <n v="53"/>
    <n v="-1044"/>
    <x v="2"/>
    <n v="53"/>
    <x v="1"/>
  </r>
  <r>
    <x v="274"/>
    <d v="2020-02-27T00:00:00"/>
    <x v="2"/>
    <n v="281"/>
    <n v="-1325"/>
    <x v="2"/>
    <n v="-281"/>
    <x v="1"/>
  </r>
  <r>
    <x v="274"/>
    <d v="2020-03-01T00:00:00"/>
    <x v="2"/>
    <n v="481"/>
    <n v="-1806"/>
    <x v="1"/>
    <n v="-481"/>
    <x v="1"/>
  </r>
  <r>
    <x v="274"/>
    <d v="2020-03-02T00:00:00"/>
    <x v="0"/>
    <n v="127"/>
    <n v="-1679"/>
    <x v="1"/>
    <n v="127"/>
    <x v="1"/>
  </r>
  <r>
    <x v="274"/>
    <d v="2020-03-05T00:00:00"/>
    <x v="0"/>
    <n v="377"/>
    <n v="-1302"/>
    <x v="1"/>
    <n v="377"/>
    <x v="1"/>
  </r>
  <r>
    <x v="274"/>
    <d v="2020-03-06T00:00:00"/>
    <x v="0"/>
    <n v="763"/>
    <n v="-539"/>
    <x v="1"/>
    <n v="763"/>
    <x v="1"/>
  </r>
  <r>
    <x v="274"/>
    <d v="2020-03-14T00:00:00"/>
    <x v="0"/>
    <n v="600"/>
    <n v="61"/>
    <x v="1"/>
    <n v="600"/>
    <x v="0"/>
  </r>
  <r>
    <x v="274"/>
    <d v="2020-03-19T00:00:00"/>
    <x v="2"/>
    <n v="869"/>
    <n v="-808"/>
    <x v="1"/>
    <n v="-869"/>
    <x v="1"/>
  </r>
  <r>
    <x v="274"/>
    <d v="2020-03-25T00:00:00"/>
    <x v="1"/>
    <n v="473"/>
    <n v="-1281"/>
    <x v="1"/>
    <n v="-473"/>
    <x v="1"/>
  </r>
  <r>
    <x v="274"/>
    <d v="2020-03-28T00:00:00"/>
    <x v="1"/>
    <n v="768"/>
    <n v="-2049"/>
    <x v="1"/>
    <n v="-768"/>
    <x v="1"/>
  </r>
  <r>
    <x v="274"/>
    <d v="2020-03-30T00:00:00"/>
    <x v="2"/>
    <n v="924"/>
    <n v="-2973"/>
    <x v="1"/>
    <n v="-924"/>
    <x v="1"/>
  </r>
  <r>
    <x v="274"/>
    <d v="2020-04-07T00:00:00"/>
    <x v="2"/>
    <n v="643"/>
    <n v="-3616"/>
    <x v="3"/>
    <n v="-643"/>
    <x v="1"/>
  </r>
  <r>
    <x v="274"/>
    <d v="2020-04-09T00:00:00"/>
    <x v="2"/>
    <n v="220"/>
    <n v="-3836"/>
    <x v="3"/>
    <n v="-220"/>
    <x v="1"/>
  </r>
  <r>
    <x v="274"/>
    <d v="2020-04-11T00:00:00"/>
    <x v="1"/>
    <n v="676"/>
    <n v="-4512"/>
    <x v="3"/>
    <n v="-676"/>
    <x v="1"/>
  </r>
  <r>
    <x v="274"/>
    <d v="2020-04-13T00:00:00"/>
    <x v="0"/>
    <n v="934"/>
    <n v="-3578"/>
    <x v="3"/>
    <n v="934"/>
    <x v="1"/>
  </r>
  <r>
    <x v="274"/>
    <d v="2020-04-22T00:00:00"/>
    <x v="2"/>
    <n v="445"/>
    <n v="-4023"/>
    <x v="3"/>
    <n v="-445"/>
    <x v="1"/>
  </r>
  <r>
    <x v="274"/>
    <d v="2020-04-23T00:00:00"/>
    <x v="0"/>
    <n v="854"/>
    <n v="-3169"/>
    <x v="3"/>
    <n v="854"/>
    <x v="1"/>
  </r>
  <r>
    <x v="275"/>
    <d v="2020-01-07T00:00:00"/>
    <x v="0"/>
    <n v="926"/>
    <n v="926"/>
    <x v="0"/>
    <n v="926"/>
    <x v="0"/>
  </r>
  <r>
    <x v="275"/>
    <d v="2020-01-09T00:00:00"/>
    <x v="2"/>
    <n v="360"/>
    <n v="566"/>
    <x v="0"/>
    <n v="-360"/>
    <x v="0"/>
  </r>
  <r>
    <x v="275"/>
    <d v="2020-01-10T00:00:00"/>
    <x v="1"/>
    <n v="52"/>
    <n v="514"/>
    <x v="0"/>
    <n v="-52"/>
    <x v="0"/>
  </r>
  <r>
    <x v="275"/>
    <d v="2020-01-13T00:00:00"/>
    <x v="1"/>
    <n v="922"/>
    <n v="-408"/>
    <x v="0"/>
    <n v="-922"/>
    <x v="1"/>
  </r>
  <r>
    <x v="275"/>
    <d v="2020-01-13T00:00:00"/>
    <x v="1"/>
    <n v="465"/>
    <n v="-873"/>
    <x v="0"/>
    <n v="-465"/>
    <x v="1"/>
  </r>
  <r>
    <x v="275"/>
    <d v="2020-01-17T00:00:00"/>
    <x v="0"/>
    <n v="600"/>
    <n v="-273"/>
    <x v="0"/>
    <n v="600"/>
    <x v="1"/>
  </r>
  <r>
    <x v="275"/>
    <d v="2020-01-28T00:00:00"/>
    <x v="1"/>
    <n v="578"/>
    <n v="-851"/>
    <x v="0"/>
    <n v="-578"/>
    <x v="1"/>
  </r>
  <r>
    <x v="275"/>
    <d v="2020-02-04T00:00:00"/>
    <x v="0"/>
    <n v="559"/>
    <n v="-292"/>
    <x v="2"/>
    <n v="559"/>
    <x v="1"/>
  </r>
  <r>
    <x v="275"/>
    <d v="2020-02-08T00:00:00"/>
    <x v="2"/>
    <n v="222"/>
    <n v="-514"/>
    <x v="2"/>
    <n v="-222"/>
    <x v="1"/>
  </r>
  <r>
    <x v="275"/>
    <d v="2020-02-21T00:00:00"/>
    <x v="0"/>
    <n v="319"/>
    <n v="-195"/>
    <x v="2"/>
    <n v="319"/>
    <x v="1"/>
  </r>
  <r>
    <x v="275"/>
    <d v="2020-02-25T00:00:00"/>
    <x v="2"/>
    <n v="601"/>
    <n v="-796"/>
    <x v="2"/>
    <n v="-601"/>
    <x v="1"/>
  </r>
  <r>
    <x v="275"/>
    <d v="2020-03-01T00:00:00"/>
    <x v="0"/>
    <n v="189"/>
    <n v="-607"/>
    <x v="1"/>
    <n v="189"/>
    <x v="1"/>
  </r>
  <r>
    <x v="275"/>
    <d v="2020-03-01T00:00:00"/>
    <x v="1"/>
    <n v="985"/>
    <n v="-1592"/>
    <x v="1"/>
    <n v="-985"/>
    <x v="1"/>
  </r>
  <r>
    <x v="275"/>
    <d v="2020-03-08T00:00:00"/>
    <x v="0"/>
    <n v="624"/>
    <n v="-968"/>
    <x v="1"/>
    <n v="624"/>
    <x v="1"/>
  </r>
  <r>
    <x v="275"/>
    <d v="2020-03-30T00:00:00"/>
    <x v="1"/>
    <n v="976"/>
    <n v="-1944"/>
    <x v="1"/>
    <n v="-976"/>
    <x v="1"/>
  </r>
  <r>
    <x v="276"/>
    <d v="2020-01-27T00:00:00"/>
    <x v="0"/>
    <n v="615"/>
    <n v="615"/>
    <x v="0"/>
    <n v="615"/>
    <x v="0"/>
  </r>
  <r>
    <x v="276"/>
    <d v="2020-02-16T00:00:00"/>
    <x v="0"/>
    <n v="796"/>
    <n v="1411"/>
    <x v="2"/>
    <n v="796"/>
    <x v="0"/>
  </r>
  <r>
    <x v="276"/>
    <d v="2020-03-09T00:00:00"/>
    <x v="1"/>
    <n v="143"/>
    <n v="1268"/>
    <x v="1"/>
    <n v="-143"/>
    <x v="0"/>
  </r>
  <r>
    <x v="276"/>
    <d v="2020-03-18T00:00:00"/>
    <x v="1"/>
    <n v="303"/>
    <n v="965"/>
    <x v="1"/>
    <n v="-303"/>
    <x v="0"/>
  </r>
  <r>
    <x v="276"/>
    <d v="2020-03-25T00:00:00"/>
    <x v="0"/>
    <n v="900"/>
    <n v="1865"/>
    <x v="1"/>
    <n v="900"/>
    <x v="0"/>
  </r>
  <r>
    <x v="277"/>
    <d v="2020-01-26T00:00:00"/>
    <x v="0"/>
    <n v="682"/>
    <n v="682"/>
    <x v="0"/>
    <n v="682"/>
    <x v="0"/>
  </r>
  <r>
    <x v="277"/>
    <d v="2020-01-27T00:00:00"/>
    <x v="0"/>
    <n v="627"/>
    <n v="1309"/>
    <x v="0"/>
    <n v="627"/>
    <x v="0"/>
  </r>
  <r>
    <x v="277"/>
    <d v="2020-02-17T00:00:00"/>
    <x v="0"/>
    <n v="878"/>
    <n v="2187"/>
    <x v="2"/>
    <n v="878"/>
    <x v="0"/>
  </r>
  <r>
    <x v="277"/>
    <d v="2020-02-21T00:00:00"/>
    <x v="1"/>
    <n v="10"/>
    <n v="2177"/>
    <x v="2"/>
    <n v="-10"/>
    <x v="0"/>
  </r>
  <r>
    <x v="277"/>
    <d v="2020-02-25T00:00:00"/>
    <x v="2"/>
    <n v="618"/>
    <n v="1559"/>
    <x v="2"/>
    <n v="-618"/>
    <x v="0"/>
  </r>
  <r>
    <x v="277"/>
    <d v="2020-02-26T00:00:00"/>
    <x v="0"/>
    <n v="442"/>
    <n v="2001"/>
    <x v="2"/>
    <n v="442"/>
    <x v="0"/>
  </r>
  <r>
    <x v="277"/>
    <d v="2020-02-28T00:00:00"/>
    <x v="2"/>
    <n v="278"/>
    <n v="1723"/>
    <x v="2"/>
    <n v="-278"/>
    <x v="0"/>
  </r>
  <r>
    <x v="277"/>
    <d v="2020-03-03T00:00:00"/>
    <x v="2"/>
    <n v="152"/>
    <n v="1571"/>
    <x v="1"/>
    <n v="-152"/>
    <x v="0"/>
  </r>
  <r>
    <x v="277"/>
    <d v="2020-03-11T00:00:00"/>
    <x v="0"/>
    <n v="455"/>
    <n v="2026"/>
    <x v="1"/>
    <n v="455"/>
    <x v="0"/>
  </r>
  <r>
    <x v="277"/>
    <d v="2020-04-01T00:00:00"/>
    <x v="2"/>
    <n v="276"/>
    <n v="1750"/>
    <x v="3"/>
    <n v="-276"/>
    <x v="0"/>
  </r>
  <r>
    <x v="277"/>
    <d v="2020-04-05T00:00:00"/>
    <x v="0"/>
    <n v="152"/>
    <n v="1902"/>
    <x v="3"/>
    <n v="152"/>
    <x v="0"/>
  </r>
  <r>
    <x v="277"/>
    <d v="2020-04-11T00:00:00"/>
    <x v="0"/>
    <n v="396"/>
    <n v="2298"/>
    <x v="3"/>
    <n v="396"/>
    <x v="0"/>
  </r>
  <r>
    <x v="277"/>
    <d v="2020-04-15T00:00:00"/>
    <x v="1"/>
    <n v="414"/>
    <n v="1884"/>
    <x v="3"/>
    <n v="-414"/>
    <x v="0"/>
  </r>
  <r>
    <x v="277"/>
    <d v="2020-04-16T00:00:00"/>
    <x v="0"/>
    <n v="417"/>
    <n v="2301"/>
    <x v="3"/>
    <n v="417"/>
    <x v="0"/>
  </r>
  <r>
    <x v="277"/>
    <d v="2020-04-17T00:00:00"/>
    <x v="0"/>
    <n v="727"/>
    <n v="3028"/>
    <x v="3"/>
    <n v="727"/>
    <x v="0"/>
  </r>
  <r>
    <x v="277"/>
    <d v="2020-04-20T00:00:00"/>
    <x v="0"/>
    <n v="526"/>
    <n v="3554"/>
    <x v="3"/>
    <n v="526"/>
    <x v="0"/>
  </r>
  <r>
    <x v="278"/>
    <d v="2020-01-13T00:00:00"/>
    <x v="0"/>
    <n v="98"/>
    <n v="98"/>
    <x v="0"/>
    <n v="98"/>
    <x v="0"/>
  </r>
  <r>
    <x v="278"/>
    <d v="2020-01-13T00:00:00"/>
    <x v="0"/>
    <n v="116"/>
    <n v="214"/>
    <x v="0"/>
    <n v="116"/>
    <x v="0"/>
  </r>
  <r>
    <x v="278"/>
    <d v="2020-01-15T00:00:00"/>
    <x v="0"/>
    <n v="837"/>
    <n v="1051"/>
    <x v="0"/>
    <n v="837"/>
    <x v="0"/>
  </r>
  <r>
    <x v="278"/>
    <d v="2020-01-23T00:00:00"/>
    <x v="0"/>
    <n v="844"/>
    <n v="1895"/>
    <x v="0"/>
    <n v="844"/>
    <x v="0"/>
  </r>
  <r>
    <x v="278"/>
    <d v="2020-02-19T00:00:00"/>
    <x v="0"/>
    <n v="443"/>
    <n v="2338"/>
    <x v="2"/>
    <n v="443"/>
    <x v="0"/>
  </r>
  <r>
    <x v="278"/>
    <d v="2020-02-24T00:00:00"/>
    <x v="0"/>
    <n v="725"/>
    <n v="3063"/>
    <x v="2"/>
    <n v="725"/>
    <x v="0"/>
  </r>
  <r>
    <x v="278"/>
    <d v="2020-02-24T00:00:00"/>
    <x v="0"/>
    <n v="578"/>
    <n v="3641"/>
    <x v="2"/>
    <n v="578"/>
    <x v="0"/>
  </r>
  <r>
    <x v="278"/>
    <d v="2020-03-25T00:00:00"/>
    <x v="1"/>
    <n v="83"/>
    <n v="3558"/>
    <x v="1"/>
    <n v="-83"/>
    <x v="0"/>
  </r>
  <r>
    <x v="278"/>
    <d v="2020-03-27T00:00:00"/>
    <x v="2"/>
    <n v="135"/>
    <n v="3423"/>
    <x v="1"/>
    <n v="-135"/>
    <x v="0"/>
  </r>
  <r>
    <x v="278"/>
    <d v="2020-03-29T00:00:00"/>
    <x v="0"/>
    <n v="15"/>
    <n v="3438"/>
    <x v="1"/>
    <n v="15"/>
    <x v="0"/>
  </r>
  <r>
    <x v="278"/>
    <d v="2020-03-30T00:00:00"/>
    <x v="0"/>
    <n v="745"/>
    <n v="4183"/>
    <x v="1"/>
    <n v="745"/>
    <x v="0"/>
  </r>
  <r>
    <x v="278"/>
    <d v="2020-04-01T00:00:00"/>
    <x v="2"/>
    <n v="80"/>
    <n v="4103"/>
    <x v="3"/>
    <n v="-80"/>
    <x v="0"/>
  </r>
  <r>
    <x v="279"/>
    <d v="2020-01-03T00:00:00"/>
    <x v="0"/>
    <n v="273"/>
    <n v="273"/>
    <x v="0"/>
    <n v="273"/>
    <x v="0"/>
  </r>
  <r>
    <x v="279"/>
    <d v="2020-01-12T00:00:00"/>
    <x v="2"/>
    <n v="834"/>
    <n v="-561"/>
    <x v="0"/>
    <n v="-834"/>
    <x v="1"/>
  </r>
  <r>
    <x v="279"/>
    <d v="2020-01-26T00:00:00"/>
    <x v="0"/>
    <n v="182"/>
    <n v="-379"/>
    <x v="0"/>
    <n v="182"/>
    <x v="1"/>
  </r>
  <r>
    <x v="279"/>
    <d v="2020-01-29T00:00:00"/>
    <x v="0"/>
    <n v="292"/>
    <n v="-87"/>
    <x v="0"/>
    <n v="292"/>
    <x v="1"/>
  </r>
  <r>
    <x v="279"/>
    <d v="2020-02-07T00:00:00"/>
    <x v="2"/>
    <n v="16"/>
    <n v="-103"/>
    <x v="2"/>
    <n v="-16"/>
    <x v="1"/>
  </r>
  <r>
    <x v="279"/>
    <d v="2020-02-14T00:00:00"/>
    <x v="0"/>
    <n v="767"/>
    <n v="664"/>
    <x v="2"/>
    <n v="767"/>
    <x v="0"/>
  </r>
  <r>
    <x v="279"/>
    <d v="2020-02-15T00:00:00"/>
    <x v="2"/>
    <n v="767"/>
    <n v="-103"/>
    <x v="2"/>
    <n v="-767"/>
    <x v="1"/>
  </r>
  <r>
    <x v="279"/>
    <d v="2020-02-24T00:00:00"/>
    <x v="1"/>
    <n v="82"/>
    <n v="-185"/>
    <x v="2"/>
    <n v="-82"/>
    <x v="1"/>
  </r>
  <r>
    <x v="279"/>
    <d v="2020-03-09T00:00:00"/>
    <x v="0"/>
    <n v="205"/>
    <n v="20"/>
    <x v="1"/>
    <n v="205"/>
    <x v="0"/>
  </r>
  <r>
    <x v="279"/>
    <d v="2020-03-10T00:00:00"/>
    <x v="2"/>
    <n v="607"/>
    <n v="-587"/>
    <x v="1"/>
    <n v="-607"/>
    <x v="1"/>
  </r>
  <r>
    <x v="279"/>
    <d v="2020-03-27T00:00:00"/>
    <x v="0"/>
    <n v="214"/>
    <n v="-373"/>
    <x v="1"/>
    <n v="214"/>
    <x v="1"/>
  </r>
  <r>
    <x v="280"/>
    <d v="2020-01-06T00:00:00"/>
    <x v="0"/>
    <n v="616"/>
    <n v="616"/>
    <x v="0"/>
    <n v="616"/>
    <x v="0"/>
  </r>
  <r>
    <x v="280"/>
    <d v="2020-01-09T00:00:00"/>
    <x v="2"/>
    <n v="147"/>
    <n v="469"/>
    <x v="0"/>
    <n v="-147"/>
    <x v="0"/>
  </r>
  <r>
    <x v="280"/>
    <d v="2020-01-11T00:00:00"/>
    <x v="0"/>
    <n v="357"/>
    <n v="826"/>
    <x v="0"/>
    <n v="357"/>
    <x v="0"/>
  </r>
  <r>
    <x v="280"/>
    <d v="2020-01-13T00:00:00"/>
    <x v="1"/>
    <n v="198"/>
    <n v="628"/>
    <x v="0"/>
    <n v="-198"/>
    <x v="0"/>
  </r>
  <r>
    <x v="280"/>
    <d v="2020-01-15T00:00:00"/>
    <x v="0"/>
    <n v="299"/>
    <n v="927"/>
    <x v="0"/>
    <n v="299"/>
    <x v="0"/>
  </r>
  <r>
    <x v="280"/>
    <d v="2020-01-18T00:00:00"/>
    <x v="1"/>
    <n v="229"/>
    <n v="698"/>
    <x v="0"/>
    <n v="-229"/>
    <x v="0"/>
  </r>
  <r>
    <x v="280"/>
    <d v="2020-01-21T00:00:00"/>
    <x v="2"/>
    <n v="838"/>
    <n v="-140"/>
    <x v="0"/>
    <n v="-838"/>
    <x v="1"/>
  </r>
  <r>
    <x v="280"/>
    <d v="2020-01-29T00:00:00"/>
    <x v="0"/>
    <n v="360"/>
    <n v="220"/>
    <x v="0"/>
    <n v="360"/>
    <x v="0"/>
  </r>
  <r>
    <x v="280"/>
    <d v="2020-02-02T00:00:00"/>
    <x v="0"/>
    <n v="383"/>
    <n v="603"/>
    <x v="2"/>
    <n v="383"/>
    <x v="0"/>
  </r>
  <r>
    <x v="280"/>
    <d v="2020-02-08T00:00:00"/>
    <x v="2"/>
    <n v="304"/>
    <n v="299"/>
    <x v="2"/>
    <n v="-304"/>
    <x v="0"/>
  </r>
  <r>
    <x v="280"/>
    <d v="2020-02-11T00:00:00"/>
    <x v="0"/>
    <n v="875"/>
    <n v="1174"/>
    <x v="2"/>
    <n v="875"/>
    <x v="0"/>
  </r>
  <r>
    <x v="280"/>
    <d v="2020-02-13T00:00:00"/>
    <x v="0"/>
    <n v="713"/>
    <n v="1887"/>
    <x v="2"/>
    <n v="713"/>
    <x v="0"/>
  </r>
  <r>
    <x v="280"/>
    <d v="2020-02-27T00:00:00"/>
    <x v="1"/>
    <n v="832"/>
    <n v="1055"/>
    <x v="2"/>
    <n v="-832"/>
    <x v="0"/>
  </r>
  <r>
    <x v="280"/>
    <d v="2020-03-04T00:00:00"/>
    <x v="2"/>
    <n v="102"/>
    <n v="953"/>
    <x v="1"/>
    <n v="-102"/>
    <x v="0"/>
  </r>
  <r>
    <x v="280"/>
    <d v="2020-03-05T00:00:00"/>
    <x v="0"/>
    <n v="922"/>
    <n v="1875"/>
    <x v="1"/>
    <n v="922"/>
    <x v="0"/>
  </r>
  <r>
    <x v="280"/>
    <d v="2020-03-06T00:00:00"/>
    <x v="0"/>
    <n v="701"/>
    <n v="2576"/>
    <x v="1"/>
    <n v="701"/>
    <x v="0"/>
  </r>
  <r>
    <x v="280"/>
    <d v="2020-03-07T00:00:00"/>
    <x v="0"/>
    <n v="740"/>
    <n v="3316"/>
    <x v="1"/>
    <n v="740"/>
    <x v="0"/>
  </r>
  <r>
    <x v="280"/>
    <d v="2020-03-08T00:00:00"/>
    <x v="1"/>
    <n v="210"/>
    <n v="3106"/>
    <x v="1"/>
    <n v="-210"/>
    <x v="0"/>
  </r>
  <r>
    <x v="280"/>
    <d v="2020-03-20T00:00:00"/>
    <x v="2"/>
    <n v="929"/>
    <n v="2177"/>
    <x v="1"/>
    <n v="-929"/>
    <x v="0"/>
  </r>
  <r>
    <x v="280"/>
    <d v="2020-03-24T00:00:00"/>
    <x v="2"/>
    <n v="865"/>
    <n v="1312"/>
    <x v="1"/>
    <n v="-865"/>
    <x v="0"/>
  </r>
  <r>
    <x v="280"/>
    <d v="2020-03-25T00:00:00"/>
    <x v="0"/>
    <n v="880"/>
    <n v="2192"/>
    <x v="1"/>
    <n v="880"/>
    <x v="0"/>
  </r>
  <r>
    <x v="280"/>
    <d v="2020-04-04T00:00:00"/>
    <x v="0"/>
    <n v="812"/>
    <n v="3004"/>
    <x v="3"/>
    <n v="812"/>
    <x v="0"/>
  </r>
  <r>
    <x v="281"/>
    <d v="2020-01-24T00:00:00"/>
    <x v="0"/>
    <n v="74"/>
    <n v="74"/>
    <x v="0"/>
    <n v="74"/>
    <x v="0"/>
  </r>
  <r>
    <x v="281"/>
    <d v="2020-02-18T00:00:00"/>
    <x v="1"/>
    <n v="787"/>
    <n v="-713"/>
    <x v="2"/>
    <n v="-787"/>
    <x v="1"/>
  </r>
  <r>
    <x v="281"/>
    <d v="2020-03-25T00:00:00"/>
    <x v="0"/>
    <n v="548"/>
    <n v="-165"/>
    <x v="1"/>
    <n v="548"/>
    <x v="1"/>
  </r>
  <r>
    <x v="281"/>
    <d v="2020-03-25T00:00:00"/>
    <x v="1"/>
    <n v="497"/>
    <n v="-662"/>
    <x v="1"/>
    <n v="-497"/>
    <x v="1"/>
  </r>
  <r>
    <x v="281"/>
    <d v="2020-03-29T00:00:00"/>
    <x v="1"/>
    <n v="999"/>
    <n v="-1661"/>
    <x v="1"/>
    <n v="-999"/>
    <x v="1"/>
  </r>
  <r>
    <x v="281"/>
    <d v="2020-04-02T00:00:00"/>
    <x v="0"/>
    <n v="370"/>
    <n v="-1291"/>
    <x v="3"/>
    <n v="370"/>
    <x v="1"/>
  </r>
  <r>
    <x v="281"/>
    <d v="2020-04-09T00:00:00"/>
    <x v="0"/>
    <n v="387"/>
    <n v="-904"/>
    <x v="3"/>
    <n v="387"/>
    <x v="1"/>
  </r>
  <r>
    <x v="281"/>
    <d v="2020-04-11T00:00:00"/>
    <x v="0"/>
    <n v="203"/>
    <n v="-701"/>
    <x v="3"/>
    <n v="203"/>
    <x v="1"/>
  </r>
  <r>
    <x v="281"/>
    <d v="2020-04-17T00:00:00"/>
    <x v="1"/>
    <n v="734"/>
    <n v="-1435"/>
    <x v="3"/>
    <n v="-734"/>
    <x v="1"/>
  </r>
  <r>
    <x v="281"/>
    <d v="2020-04-20T00:00:00"/>
    <x v="0"/>
    <n v="124"/>
    <n v="-1311"/>
    <x v="3"/>
    <n v="124"/>
    <x v="1"/>
  </r>
  <r>
    <x v="282"/>
    <d v="2020-01-05T00:00:00"/>
    <x v="0"/>
    <n v="947"/>
    <n v="947"/>
    <x v="0"/>
    <n v="947"/>
    <x v="0"/>
  </r>
  <r>
    <x v="282"/>
    <d v="2020-01-05T00:00:00"/>
    <x v="2"/>
    <n v="977"/>
    <n v="-30"/>
    <x v="0"/>
    <n v="-977"/>
    <x v="1"/>
  </r>
  <r>
    <x v="282"/>
    <d v="2020-01-06T00:00:00"/>
    <x v="2"/>
    <n v="697"/>
    <n v="-727"/>
    <x v="0"/>
    <n v="-697"/>
    <x v="1"/>
  </r>
  <r>
    <x v="282"/>
    <d v="2020-01-11T00:00:00"/>
    <x v="0"/>
    <n v="49"/>
    <n v="-678"/>
    <x v="0"/>
    <n v="49"/>
    <x v="1"/>
  </r>
  <r>
    <x v="282"/>
    <d v="2020-01-11T00:00:00"/>
    <x v="2"/>
    <n v="151"/>
    <n v="-829"/>
    <x v="0"/>
    <n v="-151"/>
    <x v="1"/>
  </r>
  <r>
    <x v="282"/>
    <d v="2020-01-16T00:00:00"/>
    <x v="1"/>
    <n v="619"/>
    <n v="-1448"/>
    <x v="0"/>
    <n v="-619"/>
    <x v="1"/>
  </r>
  <r>
    <x v="282"/>
    <d v="2020-01-21T00:00:00"/>
    <x v="0"/>
    <n v="50"/>
    <n v="-1398"/>
    <x v="0"/>
    <n v="50"/>
    <x v="1"/>
  </r>
  <r>
    <x v="282"/>
    <d v="2020-01-24T00:00:00"/>
    <x v="0"/>
    <n v="643"/>
    <n v="-755"/>
    <x v="0"/>
    <n v="643"/>
    <x v="1"/>
  </r>
  <r>
    <x v="282"/>
    <d v="2020-01-31T00:00:00"/>
    <x v="2"/>
    <n v="446"/>
    <n v="-1201"/>
    <x v="0"/>
    <n v="-446"/>
    <x v="1"/>
  </r>
  <r>
    <x v="282"/>
    <d v="2020-02-05T00:00:00"/>
    <x v="0"/>
    <n v="58"/>
    <n v="-1143"/>
    <x v="2"/>
    <n v="58"/>
    <x v="1"/>
  </r>
  <r>
    <x v="282"/>
    <d v="2020-02-24T00:00:00"/>
    <x v="1"/>
    <n v="846"/>
    <n v="-1989"/>
    <x v="2"/>
    <n v="-846"/>
    <x v="1"/>
  </r>
  <r>
    <x v="282"/>
    <d v="2020-02-24T00:00:00"/>
    <x v="2"/>
    <n v="829"/>
    <n v="-2818"/>
    <x v="2"/>
    <n v="-829"/>
    <x v="1"/>
  </r>
  <r>
    <x v="282"/>
    <d v="2020-03-05T00:00:00"/>
    <x v="1"/>
    <n v="606"/>
    <n v="-3424"/>
    <x v="1"/>
    <n v="-606"/>
    <x v="1"/>
  </r>
  <r>
    <x v="282"/>
    <d v="2020-03-07T00:00:00"/>
    <x v="2"/>
    <n v="662"/>
    <n v="-4086"/>
    <x v="1"/>
    <n v="-662"/>
    <x v="1"/>
  </r>
  <r>
    <x v="282"/>
    <d v="2020-03-09T00:00:00"/>
    <x v="1"/>
    <n v="121"/>
    <n v="-4207"/>
    <x v="1"/>
    <n v="-121"/>
    <x v="1"/>
  </r>
  <r>
    <x v="282"/>
    <d v="2020-03-27T00:00:00"/>
    <x v="1"/>
    <n v="231"/>
    <n v="-4438"/>
    <x v="1"/>
    <n v="-231"/>
    <x v="1"/>
  </r>
  <r>
    <x v="282"/>
    <d v="2020-03-29T00:00:00"/>
    <x v="1"/>
    <n v="629"/>
    <n v="-5067"/>
    <x v="1"/>
    <n v="-629"/>
    <x v="1"/>
  </r>
  <r>
    <x v="282"/>
    <d v="2020-03-31T00:00:00"/>
    <x v="1"/>
    <n v="654"/>
    <n v="-5721"/>
    <x v="1"/>
    <n v="-654"/>
    <x v="1"/>
  </r>
  <r>
    <x v="282"/>
    <d v="2020-04-01T00:00:00"/>
    <x v="1"/>
    <n v="601"/>
    <n v="-6322"/>
    <x v="3"/>
    <n v="-601"/>
    <x v="1"/>
  </r>
  <r>
    <x v="282"/>
    <d v="2020-04-02T00:00:00"/>
    <x v="1"/>
    <n v="823"/>
    <n v="-7145"/>
    <x v="3"/>
    <n v="-823"/>
    <x v="1"/>
  </r>
  <r>
    <x v="283"/>
    <d v="2020-01-30T00:00:00"/>
    <x v="0"/>
    <n v="257"/>
    <n v="257"/>
    <x v="0"/>
    <n v="257"/>
    <x v="0"/>
  </r>
  <r>
    <x v="283"/>
    <d v="2020-02-02T00:00:00"/>
    <x v="2"/>
    <n v="324"/>
    <n v="-67"/>
    <x v="2"/>
    <n v="-324"/>
    <x v="1"/>
  </r>
  <r>
    <x v="283"/>
    <d v="2020-02-02T00:00:00"/>
    <x v="0"/>
    <n v="862"/>
    <n v="795"/>
    <x v="2"/>
    <n v="862"/>
    <x v="0"/>
  </r>
  <r>
    <x v="283"/>
    <d v="2020-02-05T00:00:00"/>
    <x v="1"/>
    <n v="687"/>
    <n v="108"/>
    <x v="2"/>
    <n v="-687"/>
    <x v="0"/>
  </r>
  <r>
    <x v="283"/>
    <d v="2020-02-11T00:00:00"/>
    <x v="2"/>
    <n v="574"/>
    <n v="-466"/>
    <x v="2"/>
    <n v="-574"/>
    <x v="1"/>
  </r>
  <r>
    <x v="283"/>
    <d v="2020-02-11T00:00:00"/>
    <x v="1"/>
    <n v="836"/>
    <n v="-1302"/>
    <x v="2"/>
    <n v="-836"/>
    <x v="1"/>
  </r>
  <r>
    <x v="283"/>
    <d v="2020-02-11T00:00:00"/>
    <x v="1"/>
    <n v="210"/>
    <n v="-1512"/>
    <x v="2"/>
    <n v="-210"/>
    <x v="1"/>
  </r>
  <r>
    <x v="283"/>
    <d v="2020-02-14T00:00:00"/>
    <x v="1"/>
    <n v="586"/>
    <n v="-2098"/>
    <x v="2"/>
    <n v="-586"/>
    <x v="1"/>
  </r>
  <r>
    <x v="283"/>
    <d v="2020-02-18T00:00:00"/>
    <x v="2"/>
    <n v="500"/>
    <n v="-2598"/>
    <x v="2"/>
    <n v="-500"/>
    <x v="1"/>
  </r>
  <r>
    <x v="283"/>
    <d v="2020-02-22T00:00:00"/>
    <x v="0"/>
    <n v="290"/>
    <n v="-2308"/>
    <x v="2"/>
    <n v="290"/>
    <x v="1"/>
  </r>
  <r>
    <x v="283"/>
    <d v="2020-02-24T00:00:00"/>
    <x v="1"/>
    <n v="294"/>
    <n v="-2602"/>
    <x v="2"/>
    <n v="-294"/>
    <x v="1"/>
  </r>
  <r>
    <x v="283"/>
    <d v="2020-03-04T00:00:00"/>
    <x v="1"/>
    <n v="852"/>
    <n v="-3454"/>
    <x v="1"/>
    <n v="-852"/>
    <x v="1"/>
  </r>
  <r>
    <x v="283"/>
    <d v="2020-03-05T00:00:00"/>
    <x v="0"/>
    <n v="306"/>
    <n v="-3148"/>
    <x v="1"/>
    <n v="306"/>
    <x v="1"/>
  </r>
  <r>
    <x v="283"/>
    <d v="2020-03-06T00:00:00"/>
    <x v="1"/>
    <n v="407"/>
    <n v="-3555"/>
    <x v="1"/>
    <n v="-407"/>
    <x v="1"/>
  </r>
  <r>
    <x v="283"/>
    <d v="2020-03-06T00:00:00"/>
    <x v="1"/>
    <n v="16"/>
    <n v="-3571"/>
    <x v="1"/>
    <n v="-16"/>
    <x v="1"/>
  </r>
  <r>
    <x v="283"/>
    <d v="2020-03-07T00:00:00"/>
    <x v="2"/>
    <n v="646"/>
    <n v="-4217"/>
    <x v="1"/>
    <n v="-646"/>
    <x v="1"/>
  </r>
  <r>
    <x v="283"/>
    <d v="2020-03-10T00:00:00"/>
    <x v="0"/>
    <n v="679"/>
    <n v="-3538"/>
    <x v="1"/>
    <n v="679"/>
    <x v="1"/>
  </r>
  <r>
    <x v="283"/>
    <d v="2020-03-27T00:00:00"/>
    <x v="0"/>
    <n v="712"/>
    <n v="-2826"/>
    <x v="1"/>
    <n v="712"/>
    <x v="1"/>
  </r>
  <r>
    <x v="283"/>
    <d v="2020-04-01T00:00:00"/>
    <x v="1"/>
    <n v="903"/>
    <n v="-3729"/>
    <x v="3"/>
    <n v="-903"/>
    <x v="1"/>
  </r>
  <r>
    <x v="283"/>
    <d v="2020-04-07T00:00:00"/>
    <x v="2"/>
    <n v="741"/>
    <n v="-4470"/>
    <x v="3"/>
    <n v="-741"/>
    <x v="1"/>
  </r>
  <r>
    <x v="283"/>
    <d v="2020-04-10T00:00:00"/>
    <x v="0"/>
    <n v="356"/>
    <n v="-4114"/>
    <x v="3"/>
    <n v="356"/>
    <x v="1"/>
  </r>
  <r>
    <x v="283"/>
    <d v="2020-04-23T00:00:00"/>
    <x v="0"/>
    <n v="735"/>
    <n v="-3379"/>
    <x v="3"/>
    <n v="735"/>
    <x v="1"/>
  </r>
  <r>
    <x v="284"/>
    <d v="2020-01-22T00:00:00"/>
    <x v="0"/>
    <n v="360"/>
    <n v="360"/>
    <x v="0"/>
    <n v="360"/>
    <x v="0"/>
  </r>
  <r>
    <x v="284"/>
    <d v="2020-02-11T00:00:00"/>
    <x v="0"/>
    <n v="998"/>
    <n v="1358"/>
    <x v="2"/>
    <n v="998"/>
    <x v="0"/>
  </r>
  <r>
    <x v="284"/>
    <d v="2020-03-08T00:00:00"/>
    <x v="0"/>
    <n v="607"/>
    <n v="1965"/>
    <x v="1"/>
    <n v="607"/>
    <x v="0"/>
  </r>
  <r>
    <x v="285"/>
    <d v="2020-01-02T00:00:00"/>
    <x v="0"/>
    <n v="177"/>
    <n v="177"/>
    <x v="0"/>
    <n v="177"/>
    <x v="0"/>
  </r>
  <r>
    <x v="285"/>
    <d v="2020-02-07T00:00:00"/>
    <x v="1"/>
    <n v="6"/>
    <n v="171"/>
    <x v="2"/>
    <n v="-6"/>
    <x v="0"/>
  </r>
  <r>
    <x v="286"/>
    <d v="2020-01-22T00:00:00"/>
    <x v="0"/>
    <n v="658"/>
    <n v="658"/>
    <x v="0"/>
    <n v="658"/>
    <x v="0"/>
  </r>
  <r>
    <x v="286"/>
    <d v="2020-02-01T00:00:00"/>
    <x v="0"/>
    <n v="966"/>
    <n v="1624"/>
    <x v="2"/>
    <n v="966"/>
    <x v="0"/>
  </r>
  <r>
    <x v="286"/>
    <d v="2020-02-05T00:00:00"/>
    <x v="1"/>
    <n v="227"/>
    <n v="1397"/>
    <x v="2"/>
    <n v="-227"/>
    <x v="0"/>
  </r>
  <r>
    <x v="286"/>
    <d v="2020-02-26T00:00:00"/>
    <x v="1"/>
    <n v="568"/>
    <n v="829"/>
    <x v="2"/>
    <n v="-568"/>
    <x v="0"/>
  </r>
  <r>
    <x v="286"/>
    <d v="2020-03-06T00:00:00"/>
    <x v="0"/>
    <n v="38"/>
    <n v="867"/>
    <x v="1"/>
    <n v="38"/>
    <x v="0"/>
  </r>
  <r>
    <x v="286"/>
    <d v="2020-03-13T00:00:00"/>
    <x v="0"/>
    <n v="971"/>
    <n v="1838"/>
    <x v="1"/>
    <n v="971"/>
    <x v="0"/>
  </r>
  <r>
    <x v="286"/>
    <d v="2020-03-14T00:00:00"/>
    <x v="0"/>
    <n v="518"/>
    <n v="2356"/>
    <x v="1"/>
    <n v="518"/>
    <x v="0"/>
  </r>
  <r>
    <x v="286"/>
    <d v="2020-03-16T00:00:00"/>
    <x v="2"/>
    <n v="932"/>
    <n v="1424"/>
    <x v="1"/>
    <n v="-932"/>
    <x v="0"/>
  </r>
  <r>
    <x v="286"/>
    <d v="2020-03-28T00:00:00"/>
    <x v="1"/>
    <n v="538"/>
    <n v="886"/>
    <x v="1"/>
    <n v="-538"/>
    <x v="0"/>
  </r>
  <r>
    <x v="286"/>
    <d v="2020-04-09T00:00:00"/>
    <x v="1"/>
    <n v="816"/>
    <n v="70"/>
    <x v="3"/>
    <n v="-816"/>
    <x v="0"/>
  </r>
  <r>
    <x v="286"/>
    <d v="2020-04-11T00:00:00"/>
    <x v="2"/>
    <n v="476"/>
    <n v="-406"/>
    <x v="3"/>
    <n v="-476"/>
    <x v="1"/>
  </r>
  <r>
    <x v="287"/>
    <d v="2020-01-13T00:00:00"/>
    <x v="0"/>
    <n v="758"/>
    <n v="758"/>
    <x v="0"/>
    <n v="758"/>
    <x v="0"/>
  </r>
  <r>
    <x v="287"/>
    <d v="2020-01-13T00:00:00"/>
    <x v="0"/>
    <n v="586"/>
    <n v="1344"/>
    <x v="0"/>
    <n v="586"/>
    <x v="0"/>
  </r>
  <r>
    <x v="287"/>
    <d v="2020-01-19T00:00:00"/>
    <x v="1"/>
    <n v="571"/>
    <n v="773"/>
    <x v="0"/>
    <n v="-571"/>
    <x v="0"/>
  </r>
  <r>
    <x v="287"/>
    <d v="2020-01-20T00:00:00"/>
    <x v="0"/>
    <n v="5"/>
    <n v="778"/>
    <x v="0"/>
    <n v="5"/>
    <x v="0"/>
  </r>
  <r>
    <x v="287"/>
    <d v="2020-02-02T00:00:00"/>
    <x v="1"/>
    <n v="346"/>
    <n v="432"/>
    <x v="2"/>
    <n v="-346"/>
    <x v="0"/>
  </r>
  <r>
    <x v="287"/>
    <d v="2020-02-14T00:00:00"/>
    <x v="0"/>
    <n v="87"/>
    <n v="519"/>
    <x v="2"/>
    <n v="87"/>
    <x v="0"/>
  </r>
  <r>
    <x v="287"/>
    <d v="2020-02-22T00:00:00"/>
    <x v="1"/>
    <n v="677"/>
    <n v="-158"/>
    <x v="2"/>
    <n v="-677"/>
    <x v="1"/>
  </r>
  <r>
    <x v="287"/>
    <d v="2020-02-29T00:00:00"/>
    <x v="1"/>
    <n v="709"/>
    <n v="-867"/>
    <x v="2"/>
    <n v="-709"/>
    <x v="1"/>
  </r>
  <r>
    <x v="287"/>
    <d v="2020-03-26T00:00:00"/>
    <x v="0"/>
    <n v="352"/>
    <n v="-515"/>
    <x v="1"/>
    <n v="352"/>
    <x v="1"/>
  </r>
  <r>
    <x v="288"/>
    <d v="2020-01-28T00:00:00"/>
    <x v="0"/>
    <n v="838"/>
    <n v="838"/>
    <x v="0"/>
    <n v="838"/>
    <x v="0"/>
  </r>
  <r>
    <x v="288"/>
    <d v="2020-02-02T00:00:00"/>
    <x v="0"/>
    <n v="688"/>
    <n v="1526"/>
    <x v="2"/>
    <n v="688"/>
    <x v="0"/>
  </r>
  <r>
    <x v="288"/>
    <d v="2020-02-11T00:00:00"/>
    <x v="2"/>
    <n v="382"/>
    <n v="1144"/>
    <x v="2"/>
    <n v="-382"/>
    <x v="0"/>
  </r>
  <r>
    <x v="288"/>
    <d v="2020-02-14T00:00:00"/>
    <x v="1"/>
    <n v="939"/>
    <n v="205"/>
    <x v="2"/>
    <n v="-939"/>
    <x v="0"/>
  </r>
  <r>
    <x v="288"/>
    <d v="2020-02-24T00:00:00"/>
    <x v="1"/>
    <n v="412"/>
    <n v="-207"/>
    <x v="2"/>
    <n v="-412"/>
    <x v="1"/>
  </r>
  <r>
    <x v="288"/>
    <d v="2020-03-03T00:00:00"/>
    <x v="1"/>
    <n v="64"/>
    <n v="-271"/>
    <x v="1"/>
    <n v="-64"/>
    <x v="1"/>
  </r>
  <r>
    <x v="288"/>
    <d v="2020-03-07T00:00:00"/>
    <x v="0"/>
    <n v="860"/>
    <n v="589"/>
    <x v="1"/>
    <n v="860"/>
    <x v="0"/>
  </r>
  <r>
    <x v="288"/>
    <d v="2020-03-20T00:00:00"/>
    <x v="1"/>
    <n v="868"/>
    <n v="-279"/>
    <x v="1"/>
    <n v="-868"/>
    <x v="1"/>
  </r>
  <r>
    <x v="288"/>
    <d v="2020-03-26T00:00:00"/>
    <x v="0"/>
    <n v="255"/>
    <n v="-24"/>
    <x v="1"/>
    <n v="255"/>
    <x v="1"/>
  </r>
  <r>
    <x v="288"/>
    <d v="2020-03-31T00:00:00"/>
    <x v="2"/>
    <n v="910"/>
    <n v="-934"/>
    <x v="1"/>
    <n v="-910"/>
    <x v="1"/>
  </r>
  <r>
    <x v="288"/>
    <d v="2020-04-15T00:00:00"/>
    <x v="2"/>
    <n v="453"/>
    <n v="-1387"/>
    <x v="3"/>
    <n v="-453"/>
    <x v="1"/>
  </r>
  <r>
    <x v="288"/>
    <d v="2020-04-16T00:00:00"/>
    <x v="0"/>
    <n v="436"/>
    <n v="-951"/>
    <x v="3"/>
    <n v="436"/>
    <x v="1"/>
  </r>
  <r>
    <x v="288"/>
    <d v="2020-04-24T00:00:00"/>
    <x v="2"/>
    <n v="511"/>
    <n v="-1462"/>
    <x v="3"/>
    <n v="-511"/>
    <x v="1"/>
  </r>
  <r>
    <x v="288"/>
    <d v="2020-04-26T00:00:00"/>
    <x v="0"/>
    <n v="403"/>
    <n v="-1059"/>
    <x v="3"/>
    <n v="403"/>
    <x v="1"/>
  </r>
  <r>
    <x v="289"/>
    <d v="2020-01-15T00:00:00"/>
    <x v="0"/>
    <n v="788"/>
    <n v="788"/>
    <x v="0"/>
    <n v="788"/>
    <x v="0"/>
  </r>
  <r>
    <x v="289"/>
    <d v="2020-01-20T00:00:00"/>
    <x v="1"/>
    <n v="737"/>
    <n v="51"/>
    <x v="0"/>
    <n v="-737"/>
    <x v="0"/>
  </r>
  <r>
    <x v="289"/>
    <d v="2020-01-21T00:00:00"/>
    <x v="0"/>
    <n v="734"/>
    <n v="785"/>
    <x v="0"/>
    <n v="734"/>
    <x v="0"/>
  </r>
  <r>
    <x v="289"/>
    <d v="2020-02-01T00:00:00"/>
    <x v="0"/>
    <n v="858"/>
    <n v="1643"/>
    <x v="2"/>
    <n v="858"/>
    <x v="0"/>
  </r>
  <r>
    <x v="289"/>
    <d v="2020-02-09T00:00:00"/>
    <x v="2"/>
    <n v="531"/>
    <n v="1112"/>
    <x v="2"/>
    <n v="-531"/>
    <x v="0"/>
  </r>
  <r>
    <x v="289"/>
    <d v="2020-02-12T00:00:00"/>
    <x v="1"/>
    <n v="174"/>
    <n v="938"/>
    <x v="2"/>
    <n v="-174"/>
    <x v="0"/>
  </r>
  <r>
    <x v="289"/>
    <d v="2020-02-15T00:00:00"/>
    <x v="0"/>
    <n v="698"/>
    <n v="1636"/>
    <x v="2"/>
    <n v="698"/>
    <x v="0"/>
  </r>
  <r>
    <x v="289"/>
    <d v="2020-02-20T00:00:00"/>
    <x v="2"/>
    <n v="195"/>
    <n v="1441"/>
    <x v="2"/>
    <n v="-195"/>
    <x v="0"/>
  </r>
  <r>
    <x v="289"/>
    <d v="2020-02-26T00:00:00"/>
    <x v="2"/>
    <n v="302"/>
    <n v="1139"/>
    <x v="2"/>
    <n v="-302"/>
    <x v="0"/>
  </r>
  <r>
    <x v="289"/>
    <d v="2020-03-20T00:00:00"/>
    <x v="0"/>
    <n v="922"/>
    <n v="2061"/>
    <x v="1"/>
    <n v="922"/>
    <x v="0"/>
  </r>
  <r>
    <x v="289"/>
    <d v="2020-04-05T00:00:00"/>
    <x v="1"/>
    <n v="871"/>
    <n v="1190"/>
    <x v="3"/>
    <n v="-871"/>
    <x v="0"/>
  </r>
  <r>
    <x v="289"/>
    <d v="2020-04-05T00:00:00"/>
    <x v="1"/>
    <n v="583"/>
    <n v="607"/>
    <x v="3"/>
    <n v="-583"/>
    <x v="0"/>
  </r>
  <r>
    <x v="289"/>
    <d v="2020-04-09T00:00:00"/>
    <x v="1"/>
    <n v="586"/>
    <n v="21"/>
    <x v="3"/>
    <n v="-586"/>
    <x v="0"/>
  </r>
  <r>
    <x v="290"/>
    <d v="2020-01-20T00:00:00"/>
    <x v="0"/>
    <n v="930"/>
    <n v="930"/>
    <x v="0"/>
    <n v="930"/>
    <x v="0"/>
  </r>
  <r>
    <x v="290"/>
    <d v="2020-04-01T00:00:00"/>
    <x v="0"/>
    <n v="8"/>
    <n v="938"/>
    <x v="3"/>
    <n v="8"/>
    <x v="0"/>
  </r>
  <r>
    <x v="290"/>
    <d v="2020-04-10T00:00:00"/>
    <x v="1"/>
    <n v="697"/>
    <n v="241"/>
    <x v="3"/>
    <n v="-697"/>
    <x v="0"/>
  </r>
  <r>
    <x v="290"/>
    <d v="2020-04-14T00:00:00"/>
    <x v="0"/>
    <n v="290"/>
    <n v="531"/>
    <x v="3"/>
    <n v="290"/>
    <x v="0"/>
  </r>
  <r>
    <x v="291"/>
    <d v="2020-01-10T00:00:00"/>
    <x v="0"/>
    <n v="136"/>
    <n v="136"/>
    <x v="0"/>
    <n v="136"/>
    <x v="0"/>
  </r>
  <r>
    <x v="291"/>
    <d v="2020-01-13T00:00:00"/>
    <x v="2"/>
    <n v="289"/>
    <n v="-153"/>
    <x v="0"/>
    <n v="-289"/>
    <x v="1"/>
  </r>
  <r>
    <x v="291"/>
    <d v="2020-01-15T00:00:00"/>
    <x v="2"/>
    <n v="909"/>
    <n v="-1062"/>
    <x v="0"/>
    <n v="-909"/>
    <x v="1"/>
  </r>
  <r>
    <x v="291"/>
    <d v="2020-01-19T00:00:00"/>
    <x v="1"/>
    <n v="44"/>
    <n v="-1106"/>
    <x v="0"/>
    <n v="-44"/>
    <x v="1"/>
  </r>
  <r>
    <x v="291"/>
    <d v="2020-01-19T00:00:00"/>
    <x v="2"/>
    <n v="973"/>
    <n v="-2079"/>
    <x v="0"/>
    <n v="-973"/>
    <x v="1"/>
  </r>
  <r>
    <x v="291"/>
    <d v="2020-01-26T00:00:00"/>
    <x v="1"/>
    <n v="760"/>
    <n v="-2839"/>
    <x v="0"/>
    <n v="-760"/>
    <x v="1"/>
  </r>
  <r>
    <x v="291"/>
    <d v="2020-01-28T00:00:00"/>
    <x v="2"/>
    <n v="218"/>
    <n v="-3057"/>
    <x v="0"/>
    <n v="-218"/>
    <x v="1"/>
  </r>
  <r>
    <x v="291"/>
    <d v="2020-01-30T00:00:00"/>
    <x v="1"/>
    <n v="401"/>
    <n v="-3458"/>
    <x v="0"/>
    <n v="-401"/>
    <x v="1"/>
  </r>
  <r>
    <x v="291"/>
    <d v="2020-02-13T00:00:00"/>
    <x v="2"/>
    <n v="999"/>
    <n v="-4457"/>
    <x v="2"/>
    <n v="-999"/>
    <x v="1"/>
  </r>
  <r>
    <x v="291"/>
    <d v="2020-02-23T00:00:00"/>
    <x v="1"/>
    <n v="46"/>
    <n v="-4503"/>
    <x v="2"/>
    <n v="-46"/>
    <x v="1"/>
  </r>
  <r>
    <x v="291"/>
    <d v="2020-02-27T00:00:00"/>
    <x v="2"/>
    <n v="143"/>
    <n v="-4646"/>
    <x v="2"/>
    <n v="-143"/>
    <x v="1"/>
  </r>
  <r>
    <x v="291"/>
    <d v="2020-03-02T00:00:00"/>
    <x v="2"/>
    <n v="270"/>
    <n v="-4916"/>
    <x v="1"/>
    <n v="-270"/>
    <x v="1"/>
  </r>
  <r>
    <x v="291"/>
    <d v="2020-03-07T00:00:00"/>
    <x v="0"/>
    <n v="343"/>
    <n v="-4573"/>
    <x v="1"/>
    <n v="343"/>
    <x v="1"/>
  </r>
  <r>
    <x v="291"/>
    <d v="2020-03-14T00:00:00"/>
    <x v="0"/>
    <n v="503"/>
    <n v="-4070"/>
    <x v="1"/>
    <n v="503"/>
    <x v="1"/>
  </r>
  <r>
    <x v="291"/>
    <d v="2020-03-23T00:00:00"/>
    <x v="2"/>
    <n v="690"/>
    <n v="-4760"/>
    <x v="1"/>
    <n v="-690"/>
    <x v="1"/>
  </r>
  <r>
    <x v="292"/>
    <d v="2020-01-15T00:00:00"/>
    <x v="0"/>
    <n v="541"/>
    <n v="541"/>
    <x v="0"/>
    <n v="541"/>
    <x v="0"/>
  </r>
  <r>
    <x v="292"/>
    <d v="2020-01-29T00:00:00"/>
    <x v="2"/>
    <n v="27"/>
    <n v="514"/>
    <x v="0"/>
    <n v="-27"/>
    <x v="0"/>
  </r>
  <r>
    <x v="292"/>
    <d v="2020-01-30T00:00:00"/>
    <x v="1"/>
    <n v="993"/>
    <n v="-479"/>
    <x v="0"/>
    <n v="-993"/>
    <x v="1"/>
  </r>
  <r>
    <x v="292"/>
    <d v="2020-01-31T00:00:00"/>
    <x v="0"/>
    <n v="96"/>
    <n v="-383"/>
    <x v="0"/>
    <n v="96"/>
    <x v="1"/>
  </r>
  <r>
    <x v="292"/>
    <d v="2020-02-04T00:00:00"/>
    <x v="0"/>
    <n v="48"/>
    <n v="-335"/>
    <x v="2"/>
    <n v="48"/>
    <x v="1"/>
  </r>
  <r>
    <x v="292"/>
    <d v="2020-02-04T00:00:00"/>
    <x v="2"/>
    <n v="966"/>
    <n v="-1301"/>
    <x v="2"/>
    <n v="-966"/>
    <x v="1"/>
  </r>
  <r>
    <x v="292"/>
    <d v="2020-02-13T00:00:00"/>
    <x v="2"/>
    <n v="464"/>
    <n v="-1765"/>
    <x v="2"/>
    <n v="-464"/>
    <x v="1"/>
  </r>
  <r>
    <x v="292"/>
    <d v="2020-02-16T00:00:00"/>
    <x v="2"/>
    <n v="804"/>
    <n v="-2569"/>
    <x v="2"/>
    <n v="-804"/>
    <x v="1"/>
  </r>
  <r>
    <x v="292"/>
    <d v="2020-02-24T00:00:00"/>
    <x v="0"/>
    <n v="756"/>
    <n v="-1813"/>
    <x v="2"/>
    <n v="756"/>
    <x v="1"/>
  </r>
  <r>
    <x v="292"/>
    <d v="2020-02-29T00:00:00"/>
    <x v="0"/>
    <n v="361"/>
    <n v="-1452"/>
    <x v="2"/>
    <n v="361"/>
    <x v="1"/>
  </r>
  <r>
    <x v="292"/>
    <d v="2020-03-03T00:00:00"/>
    <x v="0"/>
    <n v="270"/>
    <n v="-1182"/>
    <x v="1"/>
    <n v="270"/>
    <x v="1"/>
  </r>
  <r>
    <x v="292"/>
    <d v="2020-03-28T00:00:00"/>
    <x v="2"/>
    <n v="588"/>
    <n v="-1770"/>
    <x v="1"/>
    <n v="-588"/>
    <x v="1"/>
  </r>
  <r>
    <x v="292"/>
    <d v="2020-04-09T00:00:00"/>
    <x v="1"/>
    <n v="730"/>
    <n v="-2500"/>
    <x v="3"/>
    <n v="-730"/>
    <x v="1"/>
  </r>
  <r>
    <x v="293"/>
    <d v="2020-01-12T00:00:00"/>
    <x v="0"/>
    <n v="307"/>
    <n v="307"/>
    <x v="0"/>
    <n v="307"/>
    <x v="0"/>
  </r>
  <r>
    <x v="293"/>
    <d v="2020-02-11T00:00:00"/>
    <x v="2"/>
    <n v="79"/>
    <n v="228"/>
    <x v="2"/>
    <n v="-79"/>
    <x v="0"/>
  </r>
  <r>
    <x v="293"/>
    <d v="2020-02-14T00:00:00"/>
    <x v="2"/>
    <n v="411"/>
    <n v="-183"/>
    <x v="2"/>
    <n v="-411"/>
    <x v="1"/>
  </r>
  <r>
    <x v="293"/>
    <d v="2020-02-17T00:00:00"/>
    <x v="0"/>
    <n v="854"/>
    <n v="671"/>
    <x v="2"/>
    <n v="854"/>
    <x v="0"/>
  </r>
  <r>
    <x v="293"/>
    <d v="2020-02-18T00:00:00"/>
    <x v="0"/>
    <n v="886"/>
    <n v="1557"/>
    <x v="2"/>
    <n v="886"/>
    <x v="0"/>
  </r>
  <r>
    <x v="293"/>
    <d v="2020-03-22T00:00:00"/>
    <x v="2"/>
    <n v="850"/>
    <n v="707"/>
    <x v="1"/>
    <n v="-850"/>
    <x v="0"/>
  </r>
  <r>
    <x v="294"/>
    <d v="2020-01-26T00:00:00"/>
    <x v="0"/>
    <n v="636"/>
    <n v="636"/>
    <x v="0"/>
    <n v="636"/>
    <x v="0"/>
  </r>
  <r>
    <x v="294"/>
    <d v="2020-02-03T00:00:00"/>
    <x v="0"/>
    <n v="708"/>
    <n v="1344"/>
    <x v="2"/>
    <n v="708"/>
    <x v="0"/>
  </r>
  <r>
    <x v="294"/>
    <d v="2020-02-15T00:00:00"/>
    <x v="1"/>
    <n v="848"/>
    <n v="496"/>
    <x v="2"/>
    <n v="-848"/>
    <x v="0"/>
  </r>
  <r>
    <x v="294"/>
    <d v="2020-03-06T00:00:00"/>
    <x v="0"/>
    <n v="987"/>
    <n v="1483"/>
    <x v="1"/>
    <n v="987"/>
    <x v="0"/>
  </r>
  <r>
    <x v="294"/>
    <d v="2020-03-21T00:00:00"/>
    <x v="1"/>
    <n v="53"/>
    <n v="1430"/>
    <x v="1"/>
    <n v="-53"/>
    <x v="0"/>
  </r>
  <r>
    <x v="294"/>
    <d v="2020-04-03T00:00:00"/>
    <x v="1"/>
    <n v="475"/>
    <n v="955"/>
    <x v="3"/>
    <n v="-475"/>
    <x v="0"/>
  </r>
  <r>
    <x v="294"/>
    <d v="2020-04-15T00:00:00"/>
    <x v="1"/>
    <n v="474"/>
    <n v="481"/>
    <x v="3"/>
    <n v="-474"/>
    <x v="0"/>
  </r>
  <r>
    <x v="294"/>
    <d v="2020-04-18T00:00:00"/>
    <x v="1"/>
    <n v="658"/>
    <n v="-177"/>
    <x v="3"/>
    <n v="-658"/>
    <x v="1"/>
  </r>
  <r>
    <x v="295"/>
    <d v="2020-01-13T00:00:00"/>
    <x v="0"/>
    <n v="846"/>
    <n v="846"/>
    <x v="0"/>
    <n v="846"/>
    <x v="0"/>
  </r>
  <r>
    <x v="295"/>
    <d v="2020-01-27T00:00:00"/>
    <x v="2"/>
    <n v="655"/>
    <n v="191"/>
    <x v="0"/>
    <n v="-655"/>
    <x v="0"/>
  </r>
  <r>
    <x v="295"/>
    <d v="2020-02-01T00:00:00"/>
    <x v="0"/>
    <n v="983"/>
    <n v="1174"/>
    <x v="2"/>
    <n v="983"/>
    <x v="0"/>
  </r>
  <r>
    <x v="295"/>
    <d v="2020-02-11T00:00:00"/>
    <x v="1"/>
    <n v="110"/>
    <n v="1064"/>
    <x v="2"/>
    <n v="-110"/>
    <x v="0"/>
  </r>
  <r>
    <x v="295"/>
    <d v="2020-02-17T00:00:00"/>
    <x v="2"/>
    <n v="774"/>
    <n v="290"/>
    <x v="2"/>
    <n v="-774"/>
    <x v="0"/>
  </r>
  <r>
    <x v="295"/>
    <d v="2020-02-22T00:00:00"/>
    <x v="0"/>
    <n v="733"/>
    <n v="1023"/>
    <x v="2"/>
    <n v="733"/>
    <x v="0"/>
  </r>
  <r>
    <x v="295"/>
    <d v="2020-02-23T00:00:00"/>
    <x v="2"/>
    <n v="212"/>
    <n v="811"/>
    <x v="2"/>
    <n v="-212"/>
    <x v="0"/>
  </r>
  <r>
    <x v="295"/>
    <d v="2020-02-29T00:00:00"/>
    <x v="0"/>
    <n v="341"/>
    <n v="1152"/>
    <x v="2"/>
    <n v="341"/>
    <x v="0"/>
  </r>
  <r>
    <x v="295"/>
    <d v="2020-03-11T00:00:00"/>
    <x v="0"/>
    <n v="317"/>
    <n v="1469"/>
    <x v="1"/>
    <n v="317"/>
    <x v="0"/>
  </r>
  <r>
    <x v="295"/>
    <d v="2020-03-16T00:00:00"/>
    <x v="2"/>
    <n v="160"/>
    <n v="1309"/>
    <x v="1"/>
    <n v="-160"/>
    <x v="0"/>
  </r>
  <r>
    <x v="295"/>
    <d v="2020-04-05T00:00:00"/>
    <x v="0"/>
    <n v="911"/>
    <n v="2220"/>
    <x v="3"/>
    <n v="911"/>
    <x v="0"/>
  </r>
  <r>
    <x v="296"/>
    <d v="2020-01-25T00:00:00"/>
    <x v="0"/>
    <n v="469"/>
    <n v="469"/>
    <x v="0"/>
    <n v="469"/>
    <x v="0"/>
  </r>
  <r>
    <x v="296"/>
    <d v="2020-01-26T00:00:00"/>
    <x v="0"/>
    <n v="973"/>
    <n v="1442"/>
    <x v="0"/>
    <n v="973"/>
    <x v="0"/>
  </r>
  <r>
    <x v="296"/>
    <d v="2020-01-29T00:00:00"/>
    <x v="1"/>
    <n v="53"/>
    <n v="1389"/>
    <x v="0"/>
    <n v="-53"/>
    <x v="0"/>
  </r>
  <r>
    <x v="296"/>
    <d v="2020-01-30T00:00:00"/>
    <x v="0"/>
    <n v="47"/>
    <n v="1436"/>
    <x v="0"/>
    <n v="47"/>
    <x v="0"/>
  </r>
  <r>
    <x v="296"/>
    <d v="2020-01-30T00:00:00"/>
    <x v="2"/>
    <n v="886"/>
    <n v="550"/>
    <x v="0"/>
    <n v="-886"/>
    <x v="0"/>
  </r>
  <r>
    <x v="296"/>
    <d v="2020-02-02T00:00:00"/>
    <x v="0"/>
    <n v="809"/>
    <n v="1359"/>
    <x v="2"/>
    <n v="809"/>
    <x v="0"/>
  </r>
  <r>
    <x v="296"/>
    <d v="2020-02-17T00:00:00"/>
    <x v="2"/>
    <n v="151"/>
    <n v="1208"/>
    <x v="2"/>
    <n v="-151"/>
    <x v="0"/>
  </r>
  <r>
    <x v="296"/>
    <d v="2020-02-18T00:00:00"/>
    <x v="2"/>
    <n v="382"/>
    <n v="826"/>
    <x v="2"/>
    <n v="-382"/>
    <x v="0"/>
  </r>
  <r>
    <x v="296"/>
    <d v="2020-02-20T00:00:00"/>
    <x v="1"/>
    <n v="741"/>
    <n v="85"/>
    <x v="2"/>
    <n v="-741"/>
    <x v="0"/>
  </r>
  <r>
    <x v="296"/>
    <d v="2020-02-21T00:00:00"/>
    <x v="0"/>
    <n v="613"/>
    <n v="698"/>
    <x v="2"/>
    <n v="613"/>
    <x v="0"/>
  </r>
  <r>
    <x v="296"/>
    <d v="2020-02-28T00:00:00"/>
    <x v="2"/>
    <n v="113"/>
    <n v="585"/>
    <x v="2"/>
    <n v="-113"/>
    <x v="0"/>
  </r>
  <r>
    <x v="296"/>
    <d v="2020-03-07T00:00:00"/>
    <x v="0"/>
    <n v="822"/>
    <n v="1407"/>
    <x v="1"/>
    <n v="822"/>
    <x v="0"/>
  </r>
  <r>
    <x v="296"/>
    <d v="2020-03-14T00:00:00"/>
    <x v="1"/>
    <n v="149"/>
    <n v="1258"/>
    <x v="1"/>
    <n v="-149"/>
    <x v="0"/>
  </r>
  <r>
    <x v="296"/>
    <d v="2020-03-20T00:00:00"/>
    <x v="1"/>
    <n v="391"/>
    <n v="867"/>
    <x v="1"/>
    <n v="-391"/>
    <x v="0"/>
  </r>
  <r>
    <x v="296"/>
    <d v="2020-03-22T00:00:00"/>
    <x v="1"/>
    <n v="377"/>
    <n v="490"/>
    <x v="1"/>
    <n v="-377"/>
    <x v="0"/>
  </r>
  <r>
    <x v="296"/>
    <d v="2020-03-30T00:00:00"/>
    <x v="0"/>
    <n v="514"/>
    <n v="1004"/>
    <x v="1"/>
    <n v="514"/>
    <x v="0"/>
  </r>
  <r>
    <x v="296"/>
    <d v="2020-04-17T00:00:00"/>
    <x v="0"/>
    <n v="278"/>
    <n v="1282"/>
    <x v="3"/>
    <n v="278"/>
    <x v="0"/>
  </r>
  <r>
    <x v="297"/>
    <d v="2020-01-16T00:00:00"/>
    <x v="0"/>
    <n v="36"/>
    <n v="36"/>
    <x v="0"/>
    <n v="36"/>
    <x v="0"/>
  </r>
  <r>
    <x v="297"/>
    <d v="2020-01-21T00:00:00"/>
    <x v="2"/>
    <n v="572"/>
    <n v="-536"/>
    <x v="0"/>
    <n v="-572"/>
    <x v="1"/>
  </r>
  <r>
    <x v="297"/>
    <d v="2020-01-23T00:00:00"/>
    <x v="1"/>
    <n v="74"/>
    <n v="-610"/>
    <x v="0"/>
    <n v="-74"/>
    <x v="1"/>
  </r>
  <r>
    <x v="297"/>
    <d v="2020-01-23T00:00:00"/>
    <x v="0"/>
    <n v="335"/>
    <n v="-275"/>
    <x v="0"/>
    <n v="335"/>
    <x v="1"/>
  </r>
  <r>
    <x v="297"/>
    <d v="2020-01-25T00:00:00"/>
    <x v="0"/>
    <n v="938"/>
    <n v="663"/>
    <x v="0"/>
    <n v="938"/>
    <x v="0"/>
  </r>
  <r>
    <x v="297"/>
    <d v="2020-01-26T00:00:00"/>
    <x v="1"/>
    <n v="385"/>
    <n v="278"/>
    <x v="0"/>
    <n v="-385"/>
    <x v="0"/>
  </r>
  <r>
    <x v="297"/>
    <d v="2020-02-03T00:00:00"/>
    <x v="0"/>
    <n v="286"/>
    <n v="564"/>
    <x v="2"/>
    <n v="286"/>
    <x v="0"/>
  </r>
  <r>
    <x v="297"/>
    <d v="2020-02-03T00:00:00"/>
    <x v="1"/>
    <n v="897"/>
    <n v="-333"/>
    <x v="2"/>
    <n v="-897"/>
    <x v="1"/>
  </r>
  <r>
    <x v="297"/>
    <d v="2020-02-09T00:00:00"/>
    <x v="0"/>
    <n v="39"/>
    <n v="-294"/>
    <x v="2"/>
    <n v="39"/>
    <x v="1"/>
  </r>
  <r>
    <x v="297"/>
    <d v="2020-02-14T00:00:00"/>
    <x v="0"/>
    <n v="465"/>
    <n v="171"/>
    <x v="2"/>
    <n v="465"/>
    <x v="0"/>
  </r>
  <r>
    <x v="297"/>
    <d v="2020-02-23T00:00:00"/>
    <x v="2"/>
    <n v="910"/>
    <n v="-739"/>
    <x v="2"/>
    <n v="-910"/>
    <x v="1"/>
  </r>
  <r>
    <x v="297"/>
    <d v="2020-02-23T00:00:00"/>
    <x v="0"/>
    <n v="407"/>
    <n v="-332"/>
    <x v="2"/>
    <n v="407"/>
    <x v="1"/>
  </r>
  <r>
    <x v="297"/>
    <d v="2020-02-25T00:00:00"/>
    <x v="2"/>
    <n v="669"/>
    <n v="-1001"/>
    <x v="2"/>
    <n v="-669"/>
    <x v="1"/>
  </r>
  <r>
    <x v="297"/>
    <d v="2020-02-26T00:00:00"/>
    <x v="0"/>
    <n v="421"/>
    <n v="-580"/>
    <x v="2"/>
    <n v="421"/>
    <x v="1"/>
  </r>
  <r>
    <x v="297"/>
    <d v="2020-03-01T00:00:00"/>
    <x v="0"/>
    <n v="425"/>
    <n v="-155"/>
    <x v="1"/>
    <n v="425"/>
    <x v="1"/>
  </r>
  <r>
    <x v="297"/>
    <d v="2020-03-04T00:00:00"/>
    <x v="0"/>
    <n v="822"/>
    <n v="667"/>
    <x v="1"/>
    <n v="822"/>
    <x v="0"/>
  </r>
  <r>
    <x v="297"/>
    <d v="2020-03-08T00:00:00"/>
    <x v="1"/>
    <n v="10"/>
    <n v="657"/>
    <x v="1"/>
    <n v="-10"/>
    <x v="0"/>
  </r>
  <r>
    <x v="297"/>
    <d v="2020-03-10T00:00:00"/>
    <x v="0"/>
    <n v="110"/>
    <n v="767"/>
    <x v="1"/>
    <n v="110"/>
    <x v="0"/>
  </r>
  <r>
    <x v="297"/>
    <d v="2020-04-10T00:00:00"/>
    <x v="0"/>
    <n v="722"/>
    <n v="1489"/>
    <x v="3"/>
    <n v="722"/>
    <x v="0"/>
  </r>
  <r>
    <x v="298"/>
    <d v="2020-01-13T00:00:00"/>
    <x v="0"/>
    <n v="881"/>
    <n v="881"/>
    <x v="0"/>
    <n v="881"/>
    <x v="0"/>
  </r>
  <r>
    <x v="298"/>
    <d v="2020-01-17T00:00:00"/>
    <x v="0"/>
    <n v="209"/>
    <n v="1090"/>
    <x v="0"/>
    <n v="209"/>
    <x v="0"/>
  </r>
  <r>
    <x v="298"/>
    <d v="2020-01-21T00:00:00"/>
    <x v="2"/>
    <n v="639"/>
    <n v="451"/>
    <x v="0"/>
    <n v="-639"/>
    <x v="0"/>
  </r>
  <r>
    <x v="298"/>
    <d v="2020-01-22T00:00:00"/>
    <x v="0"/>
    <n v="319"/>
    <n v="770"/>
    <x v="0"/>
    <n v="319"/>
    <x v="0"/>
  </r>
  <r>
    <x v="298"/>
    <d v="2020-01-26T00:00:00"/>
    <x v="0"/>
    <n v="191"/>
    <n v="961"/>
    <x v="0"/>
    <n v="191"/>
    <x v="0"/>
  </r>
  <r>
    <x v="298"/>
    <d v="2020-02-06T00:00:00"/>
    <x v="0"/>
    <n v="654"/>
    <n v="1615"/>
    <x v="2"/>
    <n v="654"/>
    <x v="0"/>
  </r>
  <r>
    <x v="298"/>
    <d v="2020-02-13T00:00:00"/>
    <x v="0"/>
    <n v="65"/>
    <n v="1680"/>
    <x v="2"/>
    <n v="65"/>
    <x v="0"/>
  </r>
  <r>
    <x v="298"/>
    <d v="2020-02-15T00:00:00"/>
    <x v="0"/>
    <n v="447"/>
    <n v="2127"/>
    <x v="2"/>
    <n v="447"/>
    <x v="0"/>
  </r>
  <r>
    <x v="298"/>
    <d v="2020-02-18T00:00:00"/>
    <x v="1"/>
    <n v="881"/>
    <n v="1246"/>
    <x v="2"/>
    <n v="-881"/>
    <x v="0"/>
  </r>
  <r>
    <x v="298"/>
    <d v="2020-03-02T00:00:00"/>
    <x v="2"/>
    <n v="523"/>
    <n v="723"/>
    <x v="1"/>
    <n v="-523"/>
    <x v="0"/>
  </r>
  <r>
    <x v="298"/>
    <d v="2020-03-14T00:00:00"/>
    <x v="1"/>
    <n v="891"/>
    <n v="-168"/>
    <x v="1"/>
    <n v="-891"/>
    <x v="1"/>
  </r>
  <r>
    <x v="298"/>
    <d v="2020-03-16T00:00:00"/>
    <x v="1"/>
    <n v="309"/>
    <n v="-477"/>
    <x v="1"/>
    <n v="-309"/>
    <x v="1"/>
  </r>
  <r>
    <x v="298"/>
    <d v="2020-03-18T00:00:00"/>
    <x v="0"/>
    <n v="678"/>
    <n v="201"/>
    <x v="1"/>
    <n v="678"/>
    <x v="0"/>
  </r>
  <r>
    <x v="298"/>
    <d v="2020-03-18T00:00:00"/>
    <x v="1"/>
    <n v="709"/>
    <n v="-508"/>
    <x v="1"/>
    <n v="-709"/>
    <x v="1"/>
  </r>
  <r>
    <x v="298"/>
    <d v="2020-03-21T00:00:00"/>
    <x v="0"/>
    <n v="578"/>
    <n v="70"/>
    <x v="1"/>
    <n v="578"/>
    <x v="0"/>
  </r>
  <r>
    <x v="299"/>
    <d v="2020-01-21T00:00:00"/>
    <x v="0"/>
    <n v="672"/>
    <n v="672"/>
    <x v="0"/>
    <n v="672"/>
    <x v="0"/>
  </r>
  <r>
    <x v="299"/>
    <d v="2020-02-04T00:00:00"/>
    <x v="2"/>
    <n v="372"/>
    <n v="300"/>
    <x v="2"/>
    <n v="-372"/>
    <x v="0"/>
  </r>
  <r>
    <x v="299"/>
    <d v="2020-02-09T00:00:00"/>
    <x v="0"/>
    <n v="20"/>
    <n v="320"/>
    <x v="2"/>
    <n v="20"/>
    <x v="0"/>
  </r>
  <r>
    <x v="299"/>
    <d v="2020-02-12T00:00:00"/>
    <x v="2"/>
    <n v="651"/>
    <n v="-331"/>
    <x v="2"/>
    <n v="-651"/>
    <x v="1"/>
  </r>
  <r>
    <x v="299"/>
    <d v="2020-02-13T00:00:00"/>
    <x v="1"/>
    <n v="78"/>
    <n v="-409"/>
    <x v="2"/>
    <n v="-78"/>
    <x v="1"/>
  </r>
  <r>
    <x v="299"/>
    <d v="2020-02-17T00:00:00"/>
    <x v="2"/>
    <n v="540"/>
    <n v="-949"/>
    <x v="2"/>
    <n v="-540"/>
    <x v="1"/>
  </r>
  <r>
    <x v="299"/>
    <d v="2020-03-01T00:00:00"/>
    <x v="0"/>
    <n v="186"/>
    <n v="-763"/>
    <x v="1"/>
    <n v="186"/>
    <x v="1"/>
  </r>
  <r>
    <x v="299"/>
    <d v="2020-03-02T00:00:00"/>
    <x v="1"/>
    <n v="916"/>
    <n v="-1679"/>
    <x v="1"/>
    <n v="-916"/>
    <x v="1"/>
  </r>
  <r>
    <x v="299"/>
    <d v="2020-03-10T00:00:00"/>
    <x v="1"/>
    <n v="24"/>
    <n v="-1703"/>
    <x v="1"/>
    <n v="-24"/>
    <x v="1"/>
  </r>
  <r>
    <x v="299"/>
    <d v="2020-03-11T00:00:00"/>
    <x v="2"/>
    <n v="139"/>
    <n v="-1842"/>
    <x v="1"/>
    <n v="-139"/>
    <x v="1"/>
  </r>
  <r>
    <x v="299"/>
    <d v="2020-03-13T00:00:00"/>
    <x v="0"/>
    <n v="87"/>
    <n v="-1755"/>
    <x v="1"/>
    <n v="87"/>
    <x v="1"/>
  </r>
  <r>
    <x v="299"/>
    <d v="2020-03-22T00:00:00"/>
    <x v="1"/>
    <n v="299"/>
    <n v="-2054"/>
    <x v="1"/>
    <n v="-299"/>
    <x v="1"/>
  </r>
  <r>
    <x v="299"/>
    <d v="2020-03-25T00:00:00"/>
    <x v="0"/>
    <n v="389"/>
    <n v="-1665"/>
    <x v="1"/>
    <n v="389"/>
    <x v="1"/>
  </r>
  <r>
    <x v="299"/>
    <d v="2020-03-27T00:00:00"/>
    <x v="2"/>
    <n v="811"/>
    <n v="-2476"/>
    <x v="1"/>
    <n v="-811"/>
    <x v="1"/>
  </r>
  <r>
    <x v="299"/>
    <d v="2020-03-27T00:00:00"/>
    <x v="2"/>
    <n v="800"/>
    <n v="-3276"/>
    <x v="1"/>
    <n v="-800"/>
    <x v="1"/>
  </r>
  <r>
    <x v="299"/>
    <d v="2020-03-30T00:00:00"/>
    <x v="0"/>
    <n v="215"/>
    <n v="-3061"/>
    <x v="1"/>
    <n v="215"/>
    <x v="1"/>
  </r>
  <r>
    <x v="299"/>
    <d v="2020-03-31T00:00:00"/>
    <x v="0"/>
    <n v="687"/>
    <n v="-2374"/>
    <x v="1"/>
    <n v="687"/>
    <x v="1"/>
  </r>
  <r>
    <x v="299"/>
    <d v="2020-04-15T00:00:00"/>
    <x v="2"/>
    <n v="75"/>
    <n v="-2449"/>
    <x v="3"/>
    <n v="-75"/>
    <x v="1"/>
  </r>
  <r>
    <x v="299"/>
    <d v="2020-04-17T00:00:00"/>
    <x v="1"/>
    <n v="730"/>
    <n v="-3179"/>
    <x v="3"/>
    <n v="-730"/>
    <x v="1"/>
  </r>
  <r>
    <x v="300"/>
    <d v="2020-01-20T00:00:00"/>
    <x v="0"/>
    <n v="32"/>
    <n v="32"/>
    <x v="0"/>
    <n v="32"/>
    <x v="0"/>
  </r>
  <r>
    <x v="300"/>
    <d v="2020-01-21T00:00:00"/>
    <x v="0"/>
    <n v="613"/>
    <n v="645"/>
    <x v="0"/>
    <n v="613"/>
    <x v="0"/>
  </r>
  <r>
    <x v="300"/>
    <d v="2020-01-24T00:00:00"/>
    <x v="2"/>
    <n v="726"/>
    <n v="-81"/>
    <x v="0"/>
    <n v="-726"/>
    <x v="1"/>
  </r>
  <r>
    <x v="300"/>
    <d v="2020-01-29T00:00:00"/>
    <x v="1"/>
    <n v="825"/>
    <n v="-906"/>
    <x v="0"/>
    <n v="-825"/>
    <x v="1"/>
  </r>
  <r>
    <x v="300"/>
    <d v="2020-02-06T00:00:00"/>
    <x v="1"/>
    <n v="990"/>
    <n v="-1896"/>
    <x v="2"/>
    <n v="-990"/>
    <x v="1"/>
  </r>
  <r>
    <x v="300"/>
    <d v="2020-02-11T00:00:00"/>
    <x v="2"/>
    <n v="745"/>
    <n v="-2641"/>
    <x v="2"/>
    <n v="-745"/>
    <x v="1"/>
  </r>
  <r>
    <x v="300"/>
    <d v="2020-02-13T00:00:00"/>
    <x v="0"/>
    <n v="723"/>
    <n v="-1918"/>
    <x v="2"/>
    <n v="723"/>
    <x v="1"/>
  </r>
  <r>
    <x v="300"/>
    <d v="2020-02-18T00:00:00"/>
    <x v="0"/>
    <n v="634"/>
    <n v="-1284"/>
    <x v="2"/>
    <n v="634"/>
    <x v="1"/>
  </r>
  <r>
    <x v="300"/>
    <d v="2020-02-28T00:00:00"/>
    <x v="1"/>
    <n v="241"/>
    <n v="-1525"/>
    <x v="2"/>
    <n v="-241"/>
    <x v="1"/>
  </r>
  <r>
    <x v="300"/>
    <d v="2020-02-28T00:00:00"/>
    <x v="1"/>
    <n v="452"/>
    <n v="-1977"/>
    <x v="2"/>
    <n v="-452"/>
    <x v="1"/>
  </r>
  <r>
    <x v="300"/>
    <d v="2020-03-01T00:00:00"/>
    <x v="1"/>
    <n v="470"/>
    <n v="-2447"/>
    <x v="1"/>
    <n v="-470"/>
    <x v="1"/>
  </r>
  <r>
    <x v="300"/>
    <d v="2020-03-13T00:00:00"/>
    <x v="0"/>
    <n v="152"/>
    <n v="-2295"/>
    <x v="1"/>
    <n v="152"/>
    <x v="1"/>
  </r>
  <r>
    <x v="300"/>
    <d v="2020-03-15T00:00:00"/>
    <x v="0"/>
    <n v="67"/>
    <n v="-2228"/>
    <x v="1"/>
    <n v="67"/>
    <x v="1"/>
  </r>
  <r>
    <x v="300"/>
    <d v="2020-03-16T00:00:00"/>
    <x v="1"/>
    <n v="26"/>
    <n v="-2254"/>
    <x v="1"/>
    <n v="-26"/>
    <x v="1"/>
  </r>
  <r>
    <x v="300"/>
    <d v="2020-03-17T00:00:00"/>
    <x v="0"/>
    <n v="868"/>
    <n v="-1386"/>
    <x v="1"/>
    <n v="868"/>
    <x v="1"/>
  </r>
  <r>
    <x v="300"/>
    <d v="2020-03-18T00:00:00"/>
    <x v="2"/>
    <n v="561"/>
    <n v="-1947"/>
    <x v="1"/>
    <n v="-561"/>
    <x v="1"/>
  </r>
  <r>
    <x v="300"/>
    <d v="2020-03-18T00:00:00"/>
    <x v="1"/>
    <n v="153"/>
    <n v="-2100"/>
    <x v="1"/>
    <n v="-153"/>
    <x v="1"/>
  </r>
  <r>
    <x v="300"/>
    <d v="2020-03-21T00:00:00"/>
    <x v="1"/>
    <n v="950"/>
    <n v="-3050"/>
    <x v="1"/>
    <n v="-950"/>
    <x v="1"/>
  </r>
  <r>
    <x v="300"/>
    <d v="2020-03-23T00:00:00"/>
    <x v="0"/>
    <n v="14"/>
    <n v="-3036"/>
    <x v="1"/>
    <n v="14"/>
    <x v="1"/>
  </r>
  <r>
    <x v="300"/>
    <d v="2020-03-27T00:00:00"/>
    <x v="1"/>
    <n v="181"/>
    <n v="-3217"/>
    <x v="1"/>
    <n v="-181"/>
    <x v="1"/>
  </r>
  <r>
    <x v="300"/>
    <d v="2020-03-28T00:00:00"/>
    <x v="1"/>
    <n v="419"/>
    <n v="-3636"/>
    <x v="1"/>
    <n v="-419"/>
    <x v="1"/>
  </r>
  <r>
    <x v="300"/>
    <d v="2020-04-18T00:00:00"/>
    <x v="0"/>
    <n v="107"/>
    <n v="-3529"/>
    <x v="3"/>
    <n v="107"/>
    <x v="1"/>
  </r>
  <r>
    <x v="301"/>
    <d v="2020-01-27T00:00:00"/>
    <x v="2"/>
    <n v="862"/>
    <n v="-862"/>
    <x v="0"/>
    <n v="-862"/>
    <x v="1"/>
  </r>
  <r>
    <x v="301"/>
    <d v="2020-01-27T00:00:00"/>
    <x v="0"/>
    <n v="143"/>
    <n v="-719"/>
    <x v="0"/>
    <n v="143"/>
    <x v="1"/>
  </r>
  <r>
    <x v="301"/>
    <d v="2020-01-27T00:00:00"/>
    <x v="1"/>
    <n v="381"/>
    <n v="-1100"/>
    <x v="0"/>
    <n v="-381"/>
    <x v="1"/>
  </r>
  <r>
    <x v="301"/>
    <d v="2020-01-29T00:00:00"/>
    <x v="1"/>
    <n v="399"/>
    <n v="-1499"/>
    <x v="0"/>
    <n v="-399"/>
    <x v="1"/>
  </r>
  <r>
    <x v="301"/>
    <d v="2020-02-03T00:00:00"/>
    <x v="2"/>
    <n v="838"/>
    <n v="-2337"/>
    <x v="2"/>
    <n v="-838"/>
    <x v="1"/>
  </r>
  <r>
    <x v="301"/>
    <d v="2020-02-14T00:00:00"/>
    <x v="1"/>
    <n v="268"/>
    <n v="-2605"/>
    <x v="2"/>
    <n v="-268"/>
    <x v="1"/>
  </r>
  <r>
    <x v="301"/>
    <d v="2020-02-25T00:00:00"/>
    <x v="0"/>
    <n v="528"/>
    <n v="-2077"/>
    <x v="2"/>
    <n v="528"/>
    <x v="1"/>
  </r>
  <r>
    <x v="301"/>
    <d v="2020-03-01T00:00:00"/>
    <x v="2"/>
    <n v="860"/>
    <n v="-2937"/>
    <x v="1"/>
    <n v="-860"/>
    <x v="1"/>
  </r>
  <r>
    <x v="301"/>
    <d v="2020-03-07T00:00:00"/>
    <x v="0"/>
    <n v="652"/>
    <n v="-2285"/>
    <x v="1"/>
    <n v="652"/>
    <x v="1"/>
  </r>
  <r>
    <x v="301"/>
    <d v="2020-03-09T00:00:00"/>
    <x v="1"/>
    <n v="465"/>
    <n v="-2750"/>
    <x v="1"/>
    <n v="-465"/>
    <x v="1"/>
  </r>
  <r>
    <x v="301"/>
    <d v="2020-03-30T00:00:00"/>
    <x v="0"/>
    <n v="340"/>
    <n v="-2410"/>
    <x v="1"/>
    <n v="340"/>
    <x v="1"/>
  </r>
  <r>
    <x v="301"/>
    <d v="2020-04-20T00:00:00"/>
    <x v="0"/>
    <n v="615"/>
    <n v="-1795"/>
    <x v="3"/>
    <n v="615"/>
    <x v="1"/>
  </r>
  <r>
    <x v="302"/>
    <d v="2020-01-18T00:00:00"/>
    <x v="0"/>
    <n v="433"/>
    <n v="433"/>
    <x v="0"/>
    <n v="433"/>
    <x v="0"/>
  </r>
  <r>
    <x v="302"/>
    <d v="2020-01-31T00:00:00"/>
    <x v="2"/>
    <n v="101"/>
    <n v="332"/>
    <x v="0"/>
    <n v="-101"/>
    <x v="0"/>
  </r>
  <r>
    <x v="302"/>
    <d v="2020-02-01T00:00:00"/>
    <x v="0"/>
    <n v="515"/>
    <n v="847"/>
    <x v="2"/>
    <n v="515"/>
    <x v="0"/>
  </r>
  <r>
    <x v="302"/>
    <d v="2020-02-04T00:00:00"/>
    <x v="0"/>
    <n v="474"/>
    <n v="1321"/>
    <x v="2"/>
    <n v="474"/>
    <x v="0"/>
  </r>
  <r>
    <x v="302"/>
    <d v="2020-02-19T00:00:00"/>
    <x v="1"/>
    <n v="367"/>
    <n v="954"/>
    <x v="2"/>
    <n v="-367"/>
    <x v="0"/>
  </r>
  <r>
    <x v="302"/>
    <d v="2020-02-27T00:00:00"/>
    <x v="1"/>
    <n v="489"/>
    <n v="465"/>
    <x v="2"/>
    <n v="-489"/>
    <x v="0"/>
  </r>
  <r>
    <x v="302"/>
    <d v="2020-03-03T00:00:00"/>
    <x v="0"/>
    <n v="473"/>
    <n v="938"/>
    <x v="1"/>
    <n v="473"/>
    <x v="0"/>
  </r>
  <r>
    <x v="302"/>
    <d v="2020-03-07T00:00:00"/>
    <x v="1"/>
    <n v="878"/>
    <n v="60"/>
    <x v="1"/>
    <n v="-878"/>
    <x v="0"/>
  </r>
  <r>
    <x v="302"/>
    <d v="2020-03-14T00:00:00"/>
    <x v="0"/>
    <n v="557"/>
    <n v="617"/>
    <x v="1"/>
    <n v="557"/>
    <x v="0"/>
  </r>
  <r>
    <x v="302"/>
    <d v="2020-03-16T00:00:00"/>
    <x v="2"/>
    <n v="565"/>
    <n v="52"/>
    <x v="1"/>
    <n v="-565"/>
    <x v="0"/>
  </r>
  <r>
    <x v="302"/>
    <d v="2020-03-18T00:00:00"/>
    <x v="1"/>
    <n v="260"/>
    <n v="-208"/>
    <x v="1"/>
    <n v="-260"/>
    <x v="1"/>
  </r>
  <r>
    <x v="302"/>
    <d v="2020-03-19T00:00:00"/>
    <x v="1"/>
    <n v="421"/>
    <n v="-629"/>
    <x v="1"/>
    <n v="-421"/>
    <x v="1"/>
  </r>
  <r>
    <x v="302"/>
    <d v="2020-04-02T00:00:00"/>
    <x v="1"/>
    <n v="904"/>
    <n v="-1533"/>
    <x v="3"/>
    <n v="-904"/>
    <x v="1"/>
  </r>
  <r>
    <x v="302"/>
    <d v="2020-04-08T00:00:00"/>
    <x v="0"/>
    <n v="89"/>
    <n v="-1444"/>
    <x v="3"/>
    <n v="89"/>
    <x v="1"/>
  </r>
  <r>
    <x v="302"/>
    <d v="2020-04-10T00:00:00"/>
    <x v="0"/>
    <n v="784"/>
    <n v="-660"/>
    <x v="3"/>
    <n v="784"/>
    <x v="1"/>
  </r>
  <r>
    <x v="303"/>
    <d v="2020-01-16T00:00:00"/>
    <x v="0"/>
    <n v="848"/>
    <n v="848"/>
    <x v="0"/>
    <n v="848"/>
    <x v="0"/>
  </r>
  <r>
    <x v="303"/>
    <d v="2020-01-16T00:00:00"/>
    <x v="1"/>
    <n v="696"/>
    <n v="152"/>
    <x v="0"/>
    <n v="-696"/>
    <x v="0"/>
  </r>
  <r>
    <x v="303"/>
    <d v="2020-02-12T00:00:00"/>
    <x v="2"/>
    <n v="94"/>
    <n v="58"/>
    <x v="2"/>
    <n v="-94"/>
    <x v="0"/>
  </r>
  <r>
    <x v="303"/>
    <d v="2020-02-15T00:00:00"/>
    <x v="0"/>
    <n v="232"/>
    <n v="290"/>
    <x v="2"/>
    <n v="232"/>
    <x v="0"/>
  </r>
  <r>
    <x v="303"/>
    <d v="2020-02-18T00:00:00"/>
    <x v="2"/>
    <n v="594"/>
    <n v="-304"/>
    <x v="2"/>
    <n v="-594"/>
    <x v="1"/>
  </r>
  <r>
    <x v="303"/>
    <d v="2020-02-23T00:00:00"/>
    <x v="2"/>
    <n v="860"/>
    <n v="-1164"/>
    <x v="2"/>
    <n v="-860"/>
    <x v="1"/>
  </r>
  <r>
    <x v="303"/>
    <d v="2020-02-26T00:00:00"/>
    <x v="1"/>
    <n v="196"/>
    <n v="-1360"/>
    <x v="2"/>
    <n v="-196"/>
    <x v="1"/>
  </r>
  <r>
    <x v="303"/>
    <d v="2020-03-02T00:00:00"/>
    <x v="2"/>
    <n v="11"/>
    <n v="-1371"/>
    <x v="1"/>
    <n v="-11"/>
    <x v="1"/>
  </r>
  <r>
    <x v="303"/>
    <d v="2020-03-05T00:00:00"/>
    <x v="1"/>
    <n v="738"/>
    <n v="-2109"/>
    <x v="1"/>
    <n v="-738"/>
    <x v="1"/>
  </r>
  <r>
    <x v="303"/>
    <d v="2020-03-08T00:00:00"/>
    <x v="1"/>
    <n v="8"/>
    <n v="-2117"/>
    <x v="1"/>
    <n v="-8"/>
    <x v="1"/>
  </r>
  <r>
    <x v="303"/>
    <d v="2020-03-13T00:00:00"/>
    <x v="2"/>
    <n v="13"/>
    <n v="-2130"/>
    <x v="1"/>
    <n v="-13"/>
    <x v="1"/>
  </r>
  <r>
    <x v="303"/>
    <d v="2020-03-16T00:00:00"/>
    <x v="2"/>
    <n v="879"/>
    <n v="-3009"/>
    <x v="1"/>
    <n v="-879"/>
    <x v="1"/>
  </r>
  <r>
    <x v="303"/>
    <d v="2020-03-23T00:00:00"/>
    <x v="0"/>
    <n v="950"/>
    <n v="-2059"/>
    <x v="1"/>
    <n v="950"/>
    <x v="1"/>
  </r>
  <r>
    <x v="303"/>
    <d v="2020-03-24T00:00:00"/>
    <x v="2"/>
    <n v="361"/>
    <n v="-2420"/>
    <x v="1"/>
    <n v="-361"/>
    <x v="1"/>
  </r>
  <r>
    <x v="303"/>
    <d v="2020-04-06T00:00:00"/>
    <x v="2"/>
    <n v="381"/>
    <n v="-2801"/>
    <x v="3"/>
    <n v="-381"/>
    <x v="1"/>
  </r>
  <r>
    <x v="303"/>
    <d v="2020-04-07T00:00:00"/>
    <x v="0"/>
    <n v="533"/>
    <n v="-2268"/>
    <x v="3"/>
    <n v="533"/>
    <x v="1"/>
  </r>
  <r>
    <x v="303"/>
    <d v="2020-04-13T00:00:00"/>
    <x v="0"/>
    <n v="221"/>
    <n v="-2047"/>
    <x v="3"/>
    <n v="221"/>
    <x v="1"/>
  </r>
  <r>
    <x v="304"/>
    <d v="2020-01-09T00:00:00"/>
    <x v="0"/>
    <n v="36"/>
    <n v="36"/>
    <x v="0"/>
    <n v="36"/>
    <x v="0"/>
  </r>
  <r>
    <x v="304"/>
    <d v="2020-01-11T00:00:00"/>
    <x v="2"/>
    <n v="2"/>
    <n v="34"/>
    <x v="0"/>
    <n v="-2"/>
    <x v="0"/>
  </r>
  <r>
    <x v="304"/>
    <d v="2020-01-16T00:00:00"/>
    <x v="0"/>
    <n v="366"/>
    <n v="400"/>
    <x v="0"/>
    <n v="366"/>
    <x v="0"/>
  </r>
  <r>
    <x v="304"/>
    <d v="2020-01-17T00:00:00"/>
    <x v="2"/>
    <n v="380"/>
    <n v="20"/>
    <x v="0"/>
    <n v="-380"/>
    <x v="0"/>
  </r>
  <r>
    <x v="304"/>
    <d v="2020-02-04T00:00:00"/>
    <x v="0"/>
    <n v="517"/>
    <n v="537"/>
    <x v="2"/>
    <n v="517"/>
    <x v="0"/>
  </r>
  <r>
    <x v="304"/>
    <d v="2020-02-16T00:00:00"/>
    <x v="1"/>
    <n v="348"/>
    <n v="189"/>
    <x v="2"/>
    <n v="-348"/>
    <x v="0"/>
  </r>
  <r>
    <x v="304"/>
    <d v="2020-03-07T00:00:00"/>
    <x v="0"/>
    <n v="773"/>
    <n v="962"/>
    <x v="1"/>
    <n v="773"/>
    <x v="0"/>
  </r>
  <r>
    <x v="304"/>
    <d v="2020-03-07T00:00:00"/>
    <x v="2"/>
    <n v="405"/>
    <n v="557"/>
    <x v="1"/>
    <n v="-405"/>
    <x v="0"/>
  </r>
  <r>
    <x v="304"/>
    <d v="2020-03-22T00:00:00"/>
    <x v="2"/>
    <n v="613"/>
    <n v="-56"/>
    <x v="1"/>
    <n v="-613"/>
    <x v="1"/>
  </r>
  <r>
    <x v="305"/>
    <d v="2020-01-27T00:00:00"/>
    <x v="0"/>
    <n v="402"/>
    <n v="402"/>
    <x v="0"/>
    <n v="402"/>
    <x v="0"/>
  </r>
  <r>
    <x v="305"/>
    <d v="2020-03-08T00:00:00"/>
    <x v="0"/>
    <n v="630"/>
    <n v="1032"/>
    <x v="1"/>
    <n v="630"/>
    <x v="0"/>
  </r>
  <r>
    <x v="305"/>
    <d v="2020-03-15T00:00:00"/>
    <x v="1"/>
    <n v="874"/>
    <n v="158"/>
    <x v="1"/>
    <n v="-874"/>
    <x v="0"/>
  </r>
  <r>
    <x v="305"/>
    <d v="2020-03-18T00:00:00"/>
    <x v="2"/>
    <n v="968"/>
    <n v="-810"/>
    <x v="1"/>
    <n v="-968"/>
    <x v="1"/>
  </r>
  <r>
    <x v="305"/>
    <d v="2020-03-28T00:00:00"/>
    <x v="0"/>
    <n v="810"/>
    <n v="0"/>
    <x v="1"/>
    <n v="810"/>
    <x v="0"/>
  </r>
  <r>
    <x v="305"/>
    <d v="2020-04-05T00:00:00"/>
    <x v="2"/>
    <n v="847"/>
    <n v="-847"/>
    <x v="3"/>
    <n v="-847"/>
    <x v="1"/>
  </r>
  <r>
    <x v="305"/>
    <d v="2020-04-07T00:00:00"/>
    <x v="2"/>
    <n v="432"/>
    <n v="-1279"/>
    <x v="3"/>
    <n v="-432"/>
    <x v="1"/>
  </r>
  <r>
    <x v="305"/>
    <d v="2020-04-07T00:00:00"/>
    <x v="0"/>
    <n v="783"/>
    <n v="-496"/>
    <x v="3"/>
    <n v="783"/>
    <x v="1"/>
  </r>
  <r>
    <x v="305"/>
    <d v="2020-04-12T00:00:00"/>
    <x v="0"/>
    <n v="805"/>
    <n v="309"/>
    <x v="3"/>
    <n v="805"/>
    <x v="0"/>
  </r>
  <r>
    <x v="305"/>
    <d v="2020-04-12T00:00:00"/>
    <x v="0"/>
    <n v="403"/>
    <n v="712"/>
    <x v="3"/>
    <n v="403"/>
    <x v="0"/>
  </r>
  <r>
    <x v="305"/>
    <d v="2020-04-15T00:00:00"/>
    <x v="0"/>
    <n v="217"/>
    <n v="929"/>
    <x v="3"/>
    <n v="217"/>
    <x v="0"/>
  </r>
  <r>
    <x v="305"/>
    <d v="2020-04-16T00:00:00"/>
    <x v="0"/>
    <n v="582"/>
    <n v="1511"/>
    <x v="3"/>
    <n v="582"/>
    <x v="0"/>
  </r>
  <r>
    <x v="305"/>
    <d v="2020-04-18T00:00:00"/>
    <x v="1"/>
    <n v="362"/>
    <n v="1149"/>
    <x v="3"/>
    <n v="-362"/>
    <x v="0"/>
  </r>
  <r>
    <x v="305"/>
    <d v="2020-04-18T00:00:00"/>
    <x v="0"/>
    <n v="268"/>
    <n v="1417"/>
    <x v="3"/>
    <n v="268"/>
    <x v="0"/>
  </r>
  <r>
    <x v="305"/>
    <d v="2020-04-19T00:00:00"/>
    <x v="0"/>
    <n v="370"/>
    <n v="1787"/>
    <x v="3"/>
    <n v="370"/>
    <x v="0"/>
  </r>
  <r>
    <x v="305"/>
    <d v="2020-04-19T00:00:00"/>
    <x v="2"/>
    <n v="926"/>
    <n v="861"/>
    <x v="3"/>
    <n v="-926"/>
    <x v="0"/>
  </r>
  <r>
    <x v="305"/>
    <d v="2020-04-25T00:00:00"/>
    <x v="0"/>
    <n v="704"/>
    <n v="1565"/>
    <x v="3"/>
    <n v="704"/>
    <x v="0"/>
  </r>
  <r>
    <x v="306"/>
    <d v="2020-01-14T00:00:00"/>
    <x v="0"/>
    <n v="363"/>
    <n v="363"/>
    <x v="0"/>
    <n v="363"/>
    <x v="0"/>
  </r>
  <r>
    <x v="306"/>
    <d v="2020-01-19T00:00:00"/>
    <x v="1"/>
    <n v="99"/>
    <n v="264"/>
    <x v="0"/>
    <n v="-99"/>
    <x v="0"/>
  </r>
  <r>
    <x v="306"/>
    <d v="2020-01-24T00:00:00"/>
    <x v="1"/>
    <n v="652"/>
    <n v="-388"/>
    <x v="0"/>
    <n v="-652"/>
    <x v="1"/>
  </r>
  <r>
    <x v="306"/>
    <d v="2020-01-26T00:00:00"/>
    <x v="1"/>
    <n v="308"/>
    <n v="-696"/>
    <x v="0"/>
    <n v="-308"/>
    <x v="1"/>
  </r>
  <r>
    <x v="306"/>
    <d v="2020-02-18T00:00:00"/>
    <x v="0"/>
    <n v="970"/>
    <n v="274"/>
    <x v="2"/>
    <n v="970"/>
    <x v="0"/>
  </r>
  <r>
    <x v="306"/>
    <d v="2020-02-19T00:00:00"/>
    <x v="0"/>
    <n v="817"/>
    <n v="1091"/>
    <x v="2"/>
    <n v="817"/>
    <x v="0"/>
  </r>
  <r>
    <x v="306"/>
    <d v="2020-02-20T00:00:00"/>
    <x v="2"/>
    <n v="341"/>
    <n v="750"/>
    <x v="2"/>
    <n v="-341"/>
    <x v="0"/>
  </r>
  <r>
    <x v="306"/>
    <d v="2020-03-17T00:00:00"/>
    <x v="0"/>
    <n v="212"/>
    <n v="962"/>
    <x v="1"/>
    <n v="212"/>
    <x v="0"/>
  </r>
  <r>
    <x v="306"/>
    <d v="2020-03-23T00:00:00"/>
    <x v="2"/>
    <n v="867"/>
    <n v="95"/>
    <x v="1"/>
    <n v="-867"/>
    <x v="0"/>
  </r>
  <r>
    <x v="306"/>
    <d v="2020-03-27T00:00:00"/>
    <x v="0"/>
    <n v="430"/>
    <n v="525"/>
    <x v="1"/>
    <n v="430"/>
    <x v="0"/>
  </r>
  <r>
    <x v="306"/>
    <d v="2020-04-09T00:00:00"/>
    <x v="2"/>
    <n v="463"/>
    <n v="62"/>
    <x v="3"/>
    <n v="-463"/>
    <x v="0"/>
  </r>
  <r>
    <x v="307"/>
    <d v="2020-01-14T00:00:00"/>
    <x v="0"/>
    <n v="782"/>
    <n v="782"/>
    <x v="0"/>
    <n v="782"/>
    <x v="0"/>
  </r>
  <r>
    <x v="307"/>
    <d v="2020-01-21T00:00:00"/>
    <x v="1"/>
    <n v="962"/>
    <n v="-180"/>
    <x v="0"/>
    <n v="-962"/>
    <x v="1"/>
  </r>
  <r>
    <x v="307"/>
    <d v="2020-01-27T00:00:00"/>
    <x v="2"/>
    <n v="381"/>
    <n v="-561"/>
    <x v="0"/>
    <n v="-381"/>
    <x v="1"/>
  </r>
  <r>
    <x v="307"/>
    <d v="2020-02-29T00:00:00"/>
    <x v="0"/>
    <n v="877"/>
    <n v="316"/>
    <x v="2"/>
    <n v="877"/>
    <x v="0"/>
  </r>
  <r>
    <x v="307"/>
    <d v="2020-03-04T00:00:00"/>
    <x v="1"/>
    <n v="249"/>
    <n v="67"/>
    <x v="1"/>
    <n v="-249"/>
    <x v="0"/>
  </r>
  <r>
    <x v="307"/>
    <d v="2020-03-24T00:00:00"/>
    <x v="0"/>
    <n v="389"/>
    <n v="456"/>
    <x v="1"/>
    <n v="389"/>
    <x v="0"/>
  </r>
  <r>
    <x v="307"/>
    <d v="2020-03-25T00:00:00"/>
    <x v="0"/>
    <n v="183"/>
    <n v="639"/>
    <x v="1"/>
    <n v="183"/>
    <x v="0"/>
  </r>
  <r>
    <x v="307"/>
    <d v="2020-03-26T00:00:00"/>
    <x v="1"/>
    <n v="656"/>
    <n v="-17"/>
    <x v="1"/>
    <n v="-656"/>
    <x v="1"/>
  </r>
  <r>
    <x v="307"/>
    <d v="2020-03-27T00:00:00"/>
    <x v="0"/>
    <n v="727"/>
    <n v="710"/>
    <x v="1"/>
    <n v="727"/>
    <x v="0"/>
  </r>
  <r>
    <x v="307"/>
    <d v="2020-04-01T00:00:00"/>
    <x v="0"/>
    <n v="619"/>
    <n v="1329"/>
    <x v="3"/>
    <n v="619"/>
    <x v="0"/>
  </r>
  <r>
    <x v="307"/>
    <d v="2020-04-01T00:00:00"/>
    <x v="1"/>
    <n v="358"/>
    <n v="971"/>
    <x v="3"/>
    <n v="-358"/>
    <x v="0"/>
  </r>
  <r>
    <x v="308"/>
    <d v="2020-01-13T00:00:00"/>
    <x v="1"/>
    <n v="532"/>
    <n v="-532"/>
    <x v="0"/>
    <n v="-532"/>
    <x v="1"/>
  </r>
  <r>
    <x v="308"/>
    <d v="2020-01-13T00:00:00"/>
    <x v="0"/>
    <n v="995"/>
    <n v="463"/>
    <x v="0"/>
    <n v="995"/>
    <x v="0"/>
  </r>
  <r>
    <x v="308"/>
    <d v="2020-01-25T00:00:00"/>
    <x v="1"/>
    <n v="518"/>
    <n v="-55"/>
    <x v="0"/>
    <n v="-518"/>
    <x v="1"/>
  </r>
  <r>
    <x v="308"/>
    <d v="2020-01-27T00:00:00"/>
    <x v="2"/>
    <n v="308"/>
    <n v="-363"/>
    <x v="0"/>
    <n v="-308"/>
    <x v="1"/>
  </r>
  <r>
    <x v="308"/>
    <d v="2020-02-02T00:00:00"/>
    <x v="1"/>
    <n v="898"/>
    <n v="-1261"/>
    <x v="2"/>
    <n v="-898"/>
    <x v="1"/>
  </r>
  <r>
    <x v="308"/>
    <d v="2020-02-08T00:00:00"/>
    <x v="1"/>
    <n v="341"/>
    <n v="-1602"/>
    <x v="2"/>
    <n v="-341"/>
    <x v="1"/>
  </r>
  <r>
    <x v="308"/>
    <d v="2020-02-09T00:00:00"/>
    <x v="0"/>
    <n v="822"/>
    <n v="-780"/>
    <x v="2"/>
    <n v="822"/>
    <x v="1"/>
  </r>
  <r>
    <x v="308"/>
    <d v="2020-02-15T00:00:00"/>
    <x v="1"/>
    <n v="69"/>
    <n v="-849"/>
    <x v="2"/>
    <n v="-69"/>
    <x v="1"/>
  </r>
  <r>
    <x v="308"/>
    <d v="2020-02-17T00:00:00"/>
    <x v="1"/>
    <n v="812"/>
    <n v="-1661"/>
    <x v="2"/>
    <n v="-812"/>
    <x v="1"/>
  </r>
  <r>
    <x v="308"/>
    <d v="2020-02-19T00:00:00"/>
    <x v="0"/>
    <n v="96"/>
    <n v="-1565"/>
    <x v="2"/>
    <n v="96"/>
    <x v="1"/>
  </r>
  <r>
    <x v="308"/>
    <d v="2020-02-22T00:00:00"/>
    <x v="2"/>
    <n v="839"/>
    <n v="-2404"/>
    <x v="2"/>
    <n v="-839"/>
    <x v="1"/>
  </r>
  <r>
    <x v="308"/>
    <d v="2020-03-18T00:00:00"/>
    <x v="0"/>
    <n v="577"/>
    <n v="-1827"/>
    <x v="1"/>
    <n v="577"/>
    <x v="1"/>
  </r>
  <r>
    <x v="308"/>
    <d v="2020-03-20T00:00:00"/>
    <x v="0"/>
    <n v="663"/>
    <n v="-1164"/>
    <x v="1"/>
    <n v="663"/>
    <x v="1"/>
  </r>
  <r>
    <x v="308"/>
    <d v="2020-03-25T00:00:00"/>
    <x v="1"/>
    <n v="649"/>
    <n v="-1813"/>
    <x v="1"/>
    <n v="-649"/>
    <x v="1"/>
  </r>
  <r>
    <x v="308"/>
    <d v="2020-04-04T00:00:00"/>
    <x v="1"/>
    <n v="151"/>
    <n v="-1964"/>
    <x v="3"/>
    <n v="-151"/>
    <x v="1"/>
  </r>
  <r>
    <x v="308"/>
    <d v="2020-04-05T00:00:00"/>
    <x v="2"/>
    <n v="37"/>
    <n v="-2001"/>
    <x v="3"/>
    <n v="-37"/>
    <x v="1"/>
  </r>
  <r>
    <x v="308"/>
    <d v="2020-04-09T00:00:00"/>
    <x v="0"/>
    <n v="301"/>
    <n v="-1700"/>
    <x v="3"/>
    <n v="301"/>
    <x v="1"/>
  </r>
  <r>
    <x v="308"/>
    <d v="2020-04-09T00:00:00"/>
    <x v="0"/>
    <n v="740"/>
    <n v="-960"/>
    <x v="3"/>
    <n v="740"/>
    <x v="1"/>
  </r>
  <r>
    <x v="309"/>
    <d v="2020-01-20T00:00:00"/>
    <x v="0"/>
    <n v="331"/>
    <n v="331"/>
    <x v="0"/>
    <n v="331"/>
    <x v="0"/>
  </r>
  <r>
    <x v="309"/>
    <d v="2020-01-31T00:00:00"/>
    <x v="0"/>
    <n v="529"/>
    <n v="860"/>
    <x v="0"/>
    <n v="529"/>
    <x v="0"/>
  </r>
  <r>
    <x v="309"/>
    <d v="2020-02-01T00:00:00"/>
    <x v="2"/>
    <n v="432"/>
    <n v="428"/>
    <x v="2"/>
    <n v="-432"/>
    <x v="0"/>
  </r>
  <r>
    <x v="309"/>
    <d v="2020-02-15T00:00:00"/>
    <x v="2"/>
    <n v="272"/>
    <n v="156"/>
    <x v="2"/>
    <n v="-272"/>
    <x v="0"/>
  </r>
  <r>
    <x v="309"/>
    <d v="2020-03-02T00:00:00"/>
    <x v="0"/>
    <n v="850"/>
    <n v="1006"/>
    <x v="1"/>
    <n v="850"/>
    <x v="0"/>
  </r>
  <r>
    <x v="309"/>
    <d v="2020-03-20T00:00:00"/>
    <x v="0"/>
    <n v="560"/>
    <n v="1566"/>
    <x v="1"/>
    <n v="560"/>
    <x v="0"/>
  </r>
  <r>
    <x v="309"/>
    <d v="2020-03-25T00:00:00"/>
    <x v="0"/>
    <n v="770"/>
    <n v="2336"/>
    <x v="1"/>
    <n v="770"/>
    <x v="0"/>
  </r>
  <r>
    <x v="309"/>
    <d v="2020-03-29T00:00:00"/>
    <x v="0"/>
    <n v="730"/>
    <n v="3066"/>
    <x v="1"/>
    <n v="730"/>
    <x v="0"/>
  </r>
  <r>
    <x v="310"/>
    <d v="2020-01-17T00:00:00"/>
    <x v="0"/>
    <n v="918"/>
    <n v="918"/>
    <x v="0"/>
    <n v="918"/>
    <x v="0"/>
  </r>
  <r>
    <x v="310"/>
    <d v="2020-01-25T00:00:00"/>
    <x v="1"/>
    <n v="994"/>
    <n v="-76"/>
    <x v="0"/>
    <n v="-994"/>
    <x v="1"/>
  </r>
  <r>
    <x v="310"/>
    <d v="2020-01-28T00:00:00"/>
    <x v="0"/>
    <n v="386"/>
    <n v="310"/>
    <x v="0"/>
    <n v="386"/>
    <x v="0"/>
  </r>
  <r>
    <x v="310"/>
    <d v="2020-02-09T00:00:00"/>
    <x v="2"/>
    <n v="607"/>
    <n v="-297"/>
    <x v="2"/>
    <n v="-607"/>
    <x v="1"/>
  </r>
  <r>
    <x v="310"/>
    <d v="2020-02-11T00:00:00"/>
    <x v="0"/>
    <n v="476"/>
    <n v="179"/>
    <x v="2"/>
    <n v="476"/>
    <x v="0"/>
  </r>
  <r>
    <x v="310"/>
    <d v="2020-02-21T00:00:00"/>
    <x v="0"/>
    <n v="827"/>
    <n v="1006"/>
    <x v="2"/>
    <n v="827"/>
    <x v="0"/>
  </r>
  <r>
    <x v="310"/>
    <d v="2020-03-08T00:00:00"/>
    <x v="2"/>
    <n v="832"/>
    <n v="174"/>
    <x v="1"/>
    <n v="-832"/>
    <x v="0"/>
  </r>
  <r>
    <x v="310"/>
    <d v="2020-03-12T00:00:00"/>
    <x v="2"/>
    <n v="853"/>
    <n v="-679"/>
    <x v="1"/>
    <n v="-853"/>
    <x v="1"/>
  </r>
  <r>
    <x v="310"/>
    <d v="2020-03-15T00:00:00"/>
    <x v="1"/>
    <n v="276"/>
    <n v="-955"/>
    <x v="1"/>
    <n v="-276"/>
    <x v="1"/>
  </r>
  <r>
    <x v="310"/>
    <d v="2020-04-02T00:00:00"/>
    <x v="0"/>
    <n v="207"/>
    <n v="-748"/>
    <x v="3"/>
    <n v="207"/>
    <x v="1"/>
  </r>
  <r>
    <x v="310"/>
    <d v="2020-04-15T00:00:00"/>
    <x v="1"/>
    <n v="307"/>
    <n v="-1055"/>
    <x v="3"/>
    <n v="-307"/>
    <x v="1"/>
  </r>
  <r>
    <x v="311"/>
    <d v="2020-01-20T00:00:00"/>
    <x v="0"/>
    <n v="485"/>
    <n v="485"/>
    <x v="0"/>
    <n v="485"/>
    <x v="0"/>
  </r>
  <r>
    <x v="311"/>
    <d v="2020-02-05T00:00:00"/>
    <x v="1"/>
    <n v="942"/>
    <n v="-457"/>
    <x v="2"/>
    <n v="-942"/>
    <x v="1"/>
  </r>
  <r>
    <x v="311"/>
    <d v="2020-02-25T00:00:00"/>
    <x v="0"/>
    <n v="470"/>
    <n v="13"/>
    <x v="2"/>
    <n v="470"/>
    <x v="0"/>
  </r>
  <r>
    <x v="311"/>
    <d v="2020-02-26T00:00:00"/>
    <x v="0"/>
    <n v="643"/>
    <n v="656"/>
    <x v="2"/>
    <n v="643"/>
    <x v="0"/>
  </r>
  <r>
    <x v="311"/>
    <d v="2020-03-13T00:00:00"/>
    <x v="1"/>
    <n v="794"/>
    <n v="-138"/>
    <x v="1"/>
    <n v="-794"/>
    <x v="1"/>
  </r>
  <r>
    <x v="311"/>
    <d v="2020-03-15T00:00:00"/>
    <x v="2"/>
    <n v="994"/>
    <n v="-1132"/>
    <x v="1"/>
    <n v="-994"/>
    <x v="1"/>
  </r>
  <r>
    <x v="311"/>
    <d v="2020-03-28T00:00:00"/>
    <x v="0"/>
    <n v="67"/>
    <n v="-1065"/>
    <x v="1"/>
    <n v="67"/>
    <x v="1"/>
  </r>
  <r>
    <x v="311"/>
    <d v="2020-04-01T00:00:00"/>
    <x v="2"/>
    <n v="602"/>
    <n v="-1667"/>
    <x v="3"/>
    <n v="-602"/>
    <x v="1"/>
  </r>
  <r>
    <x v="311"/>
    <d v="2020-04-15T00:00:00"/>
    <x v="2"/>
    <n v="651"/>
    <n v="-2318"/>
    <x v="3"/>
    <n v="-651"/>
    <x v="1"/>
  </r>
  <r>
    <x v="312"/>
    <d v="2020-01-29T00:00:00"/>
    <x v="0"/>
    <n v="710"/>
    <n v="710"/>
    <x v="0"/>
    <n v="710"/>
    <x v="0"/>
  </r>
  <r>
    <x v="312"/>
    <d v="2020-01-30T00:00:00"/>
    <x v="0"/>
    <n v="191"/>
    <n v="901"/>
    <x v="0"/>
    <n v="191"/>
    <x v="0"/>
  </r>
  <r>
    <x v="312"/>
    <d v="2020-02-02T00:00:00"/>
    <x v="1"/>
    <n v="85"/>
    <n v="816"/>
    <x v="2"/>
    <n v="-85"/>
    <x v="0"/>
  </r>
  <r>
    <x v="312"/>
    <d v="2020-02-05T00:00:00"/>
    <x v="1"/>
    <n v="69"/>
    <n v="747"/>
    <x v="2"/>
    <n v="-69"/>
    <x v="0"/>
  </r>
  <r>
    <x v="312"/>
    <d v="2020-02-08T00:00:00"/>
    <x v="1"/>
    <n v="53"/>
    <n v="694"/>
    <x v="2"/>
    <n v="-53"/>
    <x v="0"/>
  </r>
  <r>
    <x v="312"/>
    <d v="2020-02-11T00:00:00"/>
    <x v="0"/>
    <n v="388"/>
    <n v="1082"/>
    <x v="2"/>
    <n v="388"/>
    <x v="0"/>
  </r>
  <r>
    <x v="312"/>
    <d v="2020-02-19T00:00:00"/>
    <x v="2"/>
    <n v="110"/>
    <n v="972"/>
    <x v="2"/>
    <n v="-110"/>
    <x v="0"/>
  </r>
  <r>
    <x v="312"/>
    <d v="2020-03-02T00:00:00"/>
    <x v="2"/>
    <n v="440"/>
    <n v="532"/>
    <x v="1"/>
    <n v="-440"/>
    <x v="0"/>
  </r>
  <r>
    <x v="312"/>
    <d v="2020-03-08T00:00:00"/>
    <x v="1"/>
    <n v="344"/>
    <n v="188"/>
    <x v="1"/>
    <n v="-344"/>
    <x v="0"/>
  </r>
  <r>
    <x v="312"/>
    <d v="2020-03-09T00:00:00"/>
    <x v="1"/>
    <n v="860"/>
    <n v="-672"/>
    <x v="1"/>
    <n v="-860"/>
    <x v="1"/>
  </r>
  <r>
    <x v="312"/>
    <d v="2020-03-30T00:00:00"/>
    <x v="1"/>
    <n v="639"/>
    <n v="-1311"/>
    <x v="1"/>
    <n v="-639"/>
    <x v="1"/>
  </r>
  <r>
    <x v="312"/>
    <d v="2020-04-01T00:00:00"/>
    <x v="0"/>
    <n v="634"/>
    <n v="-677"/>
    <x v="3"/>
    <n v="634"/>
    <x v="1"/>
  </r>
  <r>
    <x v="312"/>
    <d v="2020-04-13T00:00:00"/>
    <x v="0"/>
    <n v="840"/>
    <n v="163"/>
    <x v="3"/>
    <n v="840"/>
    <x v="0"/>
  </r>
  <r>
    <x v="312"/>
    <d v="2020-04-27T00:00:00"/>
    <x v="1"/>
    <n v="197"/>
    <n v="-34"/>
    <x v="3"/>
    <n v="-197"/>
    <x v="1"/>
  </r>
  <r>
    <x v="313"/>
    <d v="2020-01-26T00:00:00"/>
    <x v="0"/>
    <n v="448"/>
    <n v="448"/>
    <x v="0"/>
    <n v="448"/>
    <x v="0"/>
  </r>
  <r>
    <x v="313"/>
    <d v="2020-02-14T00:00:00"/>
    <x v="1"/>
    <n v="339"/>
    <n v="109"/>
    <x v="2"/>
    <n v="-339"/>
    <x v="0"/>
  </r>
  <r>
    <x v="313"/>
    <d v="2020-02-15T00:00:00"/>
    <x v="1"/>
    <n v="714"/>
    <n v="-605"/>
    <x v="2"/>
    <n v="-714"/>
    <x v="1"/>
  </r>
  <r>
    <x v="313"/>
    <d v="2020-02-27T00:00:00"/>
    <x v="1"/>
    <n v="28"/>
    <n v="-633"/>
    <x v="2"/>
    <n v="-28"/>
    <x v="1"/>
  </r>
  <r>
    <x v="313"/>
    <d v="2020-03-05T00:00:00"/>
    <x v="0"/>
    <n v="232"/>
    <n v="-401"/>
    <x v="1"/>
    <n v="232"/>
    <x v="1"/>
  </r>
  <r>
    <x v="313"/>
    <d v="2020-03-20T00:00:00"/>
    <x v="0"/>
    <n v="492"/>
    <n v="91"/>
    <x v="1"/>
    <n v="492"/>
    <x v="0"/>
  </r>
  <r>
    <x v="313"/>
    <d v="2020-04-05T00:00:00"/>
    <x v="2"/>
    <n v="60"/>
    <n v="31"/>
    <x v="3"/>
    <n v="-60"/>
    <x v="0"/>
  </r>
  <r>
    <x v="313"/>
    <d v="2020-04-06T00:00:00"/>
    <x v="0"/>
    <n v="463"/>
    <n v="494"/>
    <x v="3"/>
    <n v="463"/>
    <x v="0"/>
  </r>
  <r>
    <x v="313"/>
    <d v="2020-04-06T00:00:00"/>
    <x v="1"/>
    <n v="743"/>
    <n v="-249"/>
    <x v="3"/>
    <n v="-743"/>
    <x v="1"/>
  </r>
  <r>
    <x v="314"/>
    <d v="2020-01-22T00:00:00"/>
    <x v="0"/>
    <n v="911"/>
    <n v="911"/>
    <x v="0"/>
    <n v="911"/>
    <x v="0"/>
  </r>
  <r>
    <x v="314"/>
    <d v="2020-01-22T00:00:00"/>
    <x v="0"/>
    <n v="384"/>
    <n v="1295"/>
    <x v="0"/>
    <n v="384"/>
    <x v="0"/>
  </r>
  <r>
    <x v="314"/>
    <d v="2020-02-08T00:00:00"/>
    <x v="0"/>
    <n v="54"/>
    <n v="1349"/>
    <x v="2"/>
    <n v="54"/>
    <x v="0"/>
  </r>
  <r>
    <x v="314"/>
    <d v="2020-03-26T00:00:00"/>
    <x v="0"/>
    <n v="938"/>
    <n v="2287"/>
    <x v="1"/>
    <n v="938"/>
    <x v="0"/>
  </r>
  <r>
    <x v="315"/>
    <d v="2020-01-23T00:00:00"/>
    <x v="0"/>
    <n v="184"/>
    <n v="184"/>
    <x v="0"/>
    <n v="184"/>
    <x v="0"/>
  </r>
  <r>
    <x v="315"/>
    <d v="2020-02-06T00:00:00"/>
    <x v="1"/>
    <n v="663"/>
    <n v="-479"/>
    <x v="2"/>
    <n v="-663"/>
    <x v="1"/>
  </r>
  <r>
    <x v="315"/>
    <d v="2020-02-17T00:00:00"/>
    <x v="1"/>
    <n v="851"/>
    <n v="-1330"/>
    <x v="2"/>
    <n v="-851"/>
    <x v="1"/>
  </r>
  <r>
    <x v="315"/>
    <d v="2020-02-25T00:00:00"/>
    <x v="1"/>
    <n v="305"/>
    <n v="-1635"/>
    <x v="2"/>
    <n v="-305"/>
    <x v="1"/>
  </r>
  <r>
    <x v="315"/>
    <d v="2020-02-27T00:00:00"/>
    <x v="1"/>
    <n v="848"/>
    <n v="-2483"/>
    <x v="2"/>
    <n v="-848"/>
    <x v="1"/>
  </r>
  <r>
    <x v="315"/>
    <d v="2020-03-09T00:00:00"/>
    <x v="0"/>
    <n v="264"/>
    <n v="-2219"/>
    <x v="1"/>
    <n v="264"/>
    <x v="1"/>
  </r>
  <r>
    <x v="315"/>
    <d v="2020-03-12T00:00:00"/>
    <x v="1"/>
    <n v="208"/>
    <n v="-2427"/>
    <x v="1"/>
    <n v="-208"/>
    <x v="1"/>
  </r>
  <r>
    <x v="315"/>
    <d v="2020-03-31T00:00:00"/>
    <x v="1"/>
    <n v="872"/>
    <n v="-3299"/>
    <x v="1"/>
    <n v="-872"/>
    <x v="1"/>
  </r>
  <r>
    <x v="316"/>
    <d v="2020-01-11T00:00:00"/>
    <x v="0"/>
    <n v="869"/>
    <n v="869"/>
    <x v="0"/>
    <n v="869"/>
    <x v="0"/>
  </r>
  <r>
    <x v="316"/>
    <d v="2020-02-26T00:00:00"/>
    <x v="0"/>
    <n v="363"/>
    <n v="1232"/>
    <x v="2"/>
    <n v="363"/>
    <x v="0"/>
  </r>
  <r>
    <x v="316"/>
    <d v="2020-04-09T00:00:00"/>
    <x v="2"/>
    <n v="237"/>
    <n v="995"/>
    <x v="3"/>
    <n v="-237"/>
    <x v="0"/>
  </r>
  <r>
    <x v="317"/>
    <d v="2020-01-06T00:00:00"/>
    <x v="0"/>
    <n v="720"/>
    <n v="720"/>
    <x v="0"/>
    <n v="720"/>
    <x v="0"/>
  </r>
  <r>
    <x v="317"/>
    <d v="2020-01-27T00:00:00"/>
    <x v="2"/>
    <n v="399"/>
    <n v="321"/>
    <x v="0"/>
    <n v="-399"/>
    <x v="0"/>
  </r>
  <r>
    <x v="317"/>
    <d v="2020-02-21T00:00:00"/>
    <x v="2"/>
    <n v="663"/>
    <n v="-342"/>
    <x v="2"/>
    <n v="-663"/>
    <x v="1"/>
  </r>
  <r>
    <x v="317"/>
    <d v="2020-03-12T00:00:00"/>
    <x v="2"/>
    <n v="993"/>
    <n v="-1335"/>
    <x v="1"/>
    <n v="-993"/>
    <x v="1"/>
  </r>
  <r>
    <x v="317"/>
    <d v="2020-03-16T00:00:00"/>
    <x v="1"/>
    <n v="313"/>
    <n v="-1648"/>
    <x v="1"/>
    <n v="-313"/>
    <x v="1"/>
  </r>
  <r>
    <x v="318"/>
    <d v="2020-01-06T00:00:00"/>
    <x v="0"/>
    <n v="83"/>
    <n v="83"/>
    <x v="0"/>
    <n v="83"/>
    <x v="0"/>
  </r>
  <r>
    <x v="318"/>
    <d v="2020-02-20T00:00:00"/>
    <x v="2"/>
    <n v="786"/>
    <n v="-703"/>
    <x v="2"/>
    <n v="-786"/>
    <x v="1"/>
  </r>
  <r>
    <x v="318"/>
    <d v="2020-03-03T00:00:00"/>
    <x v="1"/>
    <n v="381"/>
    <n v="-1084"/>
    <x v="1"/>
    <n v="-381"/>
    <x v="1"/>
  </r>
  <r>
    <x v="318"/>
    <d v="2020-03-06T00:00:00"/>
    <x v="0"/>
    <n v="821"/>
    <n v="-263"/>
    <x v="1"/>
    <n v="821"/>
    <x v="1"/>
  </r>
  <r>
    <x v="318"/>
    <d v="2020-03-22T00:00:00"/>
    <x v="1"/>
    <n v="169"/>
    <n v="-432"/>
    <x v="1"/>
    <n v="-169"/>
    <x v="1"/>
  </r>
  <r>
    <x v="318"/>
    <d v="2020-03-27T00:00:00"/>
    <x v="1"/>
    <n v="56"/>
    <n v="-488"/>
    <x v="1"/>
    <n v="-56"/>
    <x v="1"/>
  </r>
  <r>
    <x v="319"/>
    <d v="2020-01-10T00:00:00"/>
    <x v="0"/>
    <n v="725"/>
    <n v="725"/>
    <x v="0"/>
    <n v="725"/>
    <x v="0"/>
  </r>
  <r>
    <x v="319"/>
    <d v="2020-01-11T00:00:00"/>
    <x v="0"/>
    <n v="2"/>
    <n v="727"/>
    <x v="0"/>
    <n v="2"/>
    <x v="0"/>
  </r>
  <r>
    <x v="319"/>
    <d v="2020-01-19T00:00:00"/>
    <x v="0"/>
    <n v="917"/>
    <n v="1644"/>
    <x v="0"/>
    <n v="917"/>
    <x v="0"/>
  </r>
  <r>
    <x v="319"/>
    <d v="2020-01-24T00:00:00"/>
    <x v="0"/>
    <n v="782"/>
    <n v="2426"/>
    <x v="0"/>
    <n v="782"/>
    <x v="0"/>
  </r>
  <r>
    <x v="319"/>
    <d v="2020-02-07T00:00:00"/>
    <x v="0"/>
    <n v="898"/>
    <n v="3324"/>
    <x v="2"/>
    <n v="898"/>
    <x v="0"/>
  </r>
  <r>
    <x v="319"/>
    <d v="2020-02-10T00:00:00"/>
    <x v="0"/>
    <n v="224"/>
    <n v="3548"/>
    <x v="2"/>
    <n v="224"/>
    <x v="0"/>
  </r>
  <r>
    <x v="319"/>
    <d v="2020-02-23T00:00:00"/>
    <x v="1"/>
    <n v="440"/>
    <n v="3108"/>
    <x v="2"/>
    <n v="-440"/>
    <x v="0"/>
  </r>
  <r>
    <x v="319"/>
    <d v="2020-02-23T00:00:00"/>
    <x v="1"/>
    <n v="216"/>
    <n v="2892"/>
    <x v="2"/>
    <n v="-216"/>
    <x v="0"/>
  </r>
  <r>
    <x v="319"/>
    <d v="2020-02-24T00:00:00"/>
    <x v="1"/>
    <n v="575"/>
    <n v="2317"/>
    <x v="2"/>
    <n v="-575"/>
    <x v="0"/>
  </r>
  <r>
    <x v="319"/>
    <d v="2020-02-25T00:00:00"/>
    <x v="2"/>
    <n v="408"/>
    <n v="1909"/>
    <x v="2"/>
    <n v="-408"/>
    <x v="0"/>
  </r>
  <r>
    <x v="319"/>
    <d v="2020-03-08T00:00:00"/>
    <x v="0"/>
    <n v="538"/>
    <n v="2447"/>
    <x v="1"/>
    <n v="538"/>
    <x v="0"/>
  </r>
  <r>
    <x v="319"/>
    <d v="2020-03-27T00:00:00"/>
    <x v="1"/>
    <n v="208"/>
    <n v="2239"/>
    <x v="1"/>
    <n v="-208"/>
    <x v="0"/>
  </r>
  <r>
    <x v="319"/>
    <d v="2020-04-03T00:00:00"/>
    <x v="0"/>
    <n v="267"/>
    <n v="2506"/>
    <x v="3"/>
    <n v="267"/>
    <x v="0"/>
  </r>
  <r>
    <x v="319"/>
    <d v="2020-04-07T00:00:00"/>
    <x v="0"/>
    <n v="345"/>
    <n v="2851"/>
    <x v="3"/>
    <n v="345"/>
    <x v="0"/>
  </r>
  <r>
    <x v="320"/>
    <d v="2020-01-24T00:00:00"/>
    <x v="0"/>
    <n v="243"/>
    <n v="243"/>
    <x v="0"/>
    <n v="243"/>
    <x v="0"/>
  </r>
  <r>
    <x v="320"/>
    <d v="2020-02-17T00:00:00"/>
    <x v="1"/>
    <n v="403"/>
    <n v="-160"/>
    <x v="2"/>
    <n v="-403"/>
    <x v="1"/>
  </r>
  <r>
    <x v="320"/>
    <d v="2020-02-21T00:00:00"/>
    <x v="0"/>
    <n v="193"/>
    <n v="33"/>
    <x v="2"/>
    <n v="193"/>
    <x v="0"/>
  </r>
  <r>
    <x v="320"/>
    <d v="2020-02-28T00:00:00"/>
    <x v="2"/>
    <n v="246"/>
    <n v="-213"/>
    <x v="2"/>
    <n v="-246"/>
    <x v="1"/>
  </r>
  <r>
    <x v="320"/>
    <d v="2020-04-04T00:00:00"/>
    <x v="0"/>
    <n v="785"/>
    <n v="572"/>
    <x v="3"/>
    <n v="785"/>
    <x v="0"/>
  </r>
  <r>
    <x v="321"/>
    <d v="2020-01-05T00:00:00"/>
    <x v="0"/>
    <n v="965"/>
    <n v="965"/>
    <x v="0"/>
    <n v="965"/>
    <x v="0"/>
  </r>
  <r>
    <x v="321"/>
    <d v="2020-01-29T00:00:00"/>
    <x v="0"/>
    <n v="984"/>
    <n v="1949"/>
    <x v="0"/>
    <n v="984"/>
    <x v="0"/>
  </r>
  <r>
    <x v="321"/>
    <d v="2020-02-01T00:00:00"/>
    <x v="0"/>
    <n v="328"/>
    <n v="2277"/>
    <x v="2"/>
    <n v="328"/>
    <x v="0"/>
  </r>
  <r>
    <x v="321"/>
    <d v="2020-02-02T00:00:00"/>
    <x v="0"/>
    <n v="337"/>
    <n v="2614"/>
    <x v="2"/>
    <n v="337"/>
    <x v="0"/>
  </r>
  <r>
    <x v="321"/>
    <d v="2020-02-15T00:00:00"/>
    <x v="0"/>
    <n v="838"/>
    <n v="3452"/>
    <x v="2"/>
    <n v="838"/>
    <x v="0"/>
  </r>
  <r>
    <x v="321"/>
    <d v="2020-02-20T00:00:00"/>
    <x v="2"/>
    <n v="51"/>
    <n v="3401"/>
    <x v="2"/>
    <n v="-51"/>
    <x v="0"/>
  </r>
  <r>
    <x v="321"/>
    <d v="2020-02-20T00:00:00"/>
    <x v="2"/>
    <n v="285"/>
    <n v="3116"/>
    <x v="2"/>
    <n v="-285"/>
    <x v="0"/>
  </r>
  <r>
    <x v="321"/>
    <d v="2020-02-26T00:00:00"/>
    <x v="2"/>
    <n v="645"/>
    <n v="2471"/>
    <x v="2"/>
    <n v="-645"/>
    <x v="0"/>
  </r>
  <r>
    <x v="321"/>
    <d v="2020-03-09T00:00:00"/>
    <x v="0"/>
    <n v="371"/>
    <n v="2842"/>
    <x v="1"/>
    <n v="371"/>
    <x v="0"/>
  </r>
  <r>
    <x v="321"/>
    <d v="2020-03-12T00:00:00"/>
    <x v="1"/>
    <n v="492"/>
    <n v="2350"/>
    <x v="1"/>
    <n v="-492"/>
    <x v="0"/>
  </r>
  <r>
    <x v="321"/>
    <d v="2020-03-18T00:00:00"/>
    <x v="2"/>
    <n v="539"/>
    <n v="1811"/>
    <x v="1"/>
    <n v="-539"/>
    <x v="0"/>
  </r>
  <r>
    <x v="322"/>
    <d v="2020-01-21T00:00:00"/>
    <x v="0"/>
    <n v="603"/>
    <n v="603"/>
    <x v="0"/>
    <n v="603"/>
    <x v="0"/>
  </r>
  <r>
    <x v="322"/>
    <d v="2020-01-23T00:00:00"/>
    <x v="0"/>
    <n v="720"/>
    <n v="1323"/>
    <x v="0"/>
    <n v="720"/>
    <x v="0"/>
  </r>
  <r>
    <x v="322"/>
    <d v="2020-02-13T00:00:00"/>
    <x v="2"/>
    <n v="311"/>
    <n v="1012"/>
    <x v="2"/>
    <n v="-311"/>
    <x v="0"/>
  </r>
  <r>
    <x v="322"/>
    <d v="2020-02-20T00:00:00"/>
    <x v="2"/>
    <n v="928"/>
    <n v="84"/>
    <x v="2"/>
    <n v="-928"/>
    <x v="0"/>
  </r>
  <r>
    <x v="322"/>
    <d v="2020-02-21T00:00:00"/>
    <x v="2"/>
    <n v="931"/>
    <n v="-847"/>
    <x v="2"/>
    <n v="-931"/>
    <x v="1"/>
  </r>
  <r>
    <x v="322"/>
    <d v="2020-02-24T00:00:00"/>
    <x v="2"/>
    <n v="729"/>
    <n v="-1576"/>
    <x v="2"/>
    <n v="-729"/>
    <x v="1"/>
  </r>
  <r>
    <x v="322"/>
    <d v="2020-02-25T00:00:00"/>
    <x v="2"/>
    <n v="304"/>
    <n v="-1880"/>
    <x v="2"/>
    <n v="-304"/>
    <x v="1"/>
  </r>
  <r>
    <x v="322"/>
    <d v="2020-03-10T00:00:00"/>
    <x v="1"/>
    <n v="959"/>
    <n v="-2839"/>
    <x v="1"/>
    <n v="-959"/>
    <x v="1"/>
  </r>
  <r>
    <x v="322"/>
    <d v="2020-03-13T00:00:00"/>
    <x v="1"/>
    <n v="166"/>
    <n v="-3005"/>
    <x v="1"/>
    <n v="-166"/>
    <x v="1"/>
  </r>
  <r>
    <x v="322"/>
    <d v="2020-03-16T00:00:00"/>
    <x v="2"/>
    <n v="301"/>
    <n v="-3306"/>
    <x v="1"/>
    <n v="-301"/>
    <x v="1"/>
  </r>
  <r>
    <x v="322"/>
    <d v="2020-03-18T00:00:00"/>
    <x v="2"/>
    <n v="980"/>
    <n v="-4286"/>
    <x v="1"/>
    <n v="-980"/>
    <x v="1"/>
  </r>
  <r>
    <x v="322"/>
    <d v="2020-03-21T00:00:00"/>
    <x v="0"/>
    <n v="90"/>
    <n v="-4196"/>
    <x v="1"/>
    <n v="90"/>
    <x v="1"/>
  </r>
  <r>
    <x v="322"/>
    <d v="2020-04-01T00:00:00"/>
    <x v="1"/>
    <n v="825"/>
    <n v="-5021"/>
    <x v="3"/>
    <n v="-825"/>
    <x v="1"/>
  </r>
  <r>
    <x v="322"/>
    <d v="2020-04-09T00:00:00"/>
    <x v="0"/>
    <n v="102"/>
    <n v="-4919"/>
    <x v="3"/>
    <n v="102"/>
    <x v="1"/>
  </r>
  <r>
    <x v="322"/>
    <d v="2020-04-11T00:00:00"/>
    <x v="1"/>
    <n v="558"/>
    <n v="-5477"/>
    <x v="3"/>
    <n v="-558"/>
    <x v="1"/>
  </r>
  <r>
    <x v="322"/>
    <d v="2020-04-16T00:00:00"/>
    <x v="0"/>
    <n v="256"/>
    <n v="-5221"/>
    <x v="3"/>
    <n v="256"/>
    <x v="1"/>
  </r>
  <r>
    <x v="323"/>
    <d v="2020-01-04T00:00:00"/>
    <x v="0"/>
    <n v="538"/>
    <n v="538"/>
    <x v="0"/>
    <n v="538"/>
    <x v="0"/>
  </r>
  <r>
    <x v="323"/>
    <d v="2020-01-04T00:00:00"/>
    <x v="0"/>
    <n v="483"/>
    <n v="1021"/>
    <x v="0"/>
    <n v="483"/>
    <x v="0"/>
  </r>
  <r>
    <x v="323"/>
    <d v="2020-01-28T00:00:00"/>
    <x v="1"/>
    <n v="818"/>
    <n v="203"/>
    <x v="0"/>
    <n v="-818"/>
    <x v="0"/>
  </r>
  <r>
    <x v="323"/>
    <d v="2020-02-09T00:00:00"/>
    <x v="0"/>
    <n v="764"/>
    <n v="967"/>
    <x v="2"/>
    <n v="764"/>
    <x v="0"/>
  </r>
  <r>
    <x v="323"/>
    <d v="2020-03-22T00:00:00"/>
    <x v="0"/>
    <n v="185"/>
    <n v="1152"/>
    <x v="1"/>
    <n v="185"/>
    <x v="0"/>
  </r>
  <r>
    <x v="323"/>
    <d v="2020-03-29T00:00:00"/>
    <x v="0"/>
    <n v="987"/>
    <n v="2139"/>
    <x v="1"/>
    <n v="987"/>
    <x v="0"/>
  </r>
  <r>
    <x v="323"/>
    <d v="2020-03-29T00:00:00"/>
    <x v="2"/>
    <n v="669"/>
    <n v="1470"/>
    <x v="1"/>
    <n v="-669"/>
    <x v="0"/>
  </r>
  <r>
    <x v="324"/>
    <d v="2020-01-27T00:00:00"/>
    <x v="0"/>
    <n v="60"/>
    <n v="60"/>
    <x v="0"/>
    <n v="60"/>
    <x v="0"/>
  </r>
  <r>
    <x v="324"/>
    <d v="2020-02-06T00:00:00"/>
    <x v="2"/>
    <n v="274"/>
    <n v="-214"/>
    <x v="2"/>
    <n v="-274"/>
    <x v="1"/>
  </r>
  <r>
    <x v="324"/>
    <d v="2020-02-16T00:00:00"/>
    <x v="2"/>
    <n v="725"/>
    <n v="-939"/>
    <x v="2"/>
    <n v="-725"/>
    <x v="1"/>
  </r>
  <r>
    <x v="324"/>
    <d v="2020-02-21T00:00:00"/>
    <x v="2"/>
    <n v="939"/>
    <n v="-1878"/>
    <x v="2"/>
    <n v="-939"/>
    <x v="1"/>
  </r>
  <r>
    <x v="324"/>
    <d v="2020-03-01T00:00:00"/>
    <x v="0"/>
    <n v="959"/>
    <n v="-919"/>
    <x v="1"/>
    <n v="959"/>
    <x v="1"/>
  </r>
  <r>
    <x v="324"/>
    <d v="2020-03-10T00:00:00"/>
    <x v="1"/>
    <n v="114"/>
    <n v="-1033"/>
    <x v="1"/>
    <n v="-114"/>
    <x v="1"/>
  </r>
  <r>
    <x v="324"/>
    <d v="2020-03-11T00:00:00"/>
    <x v="1"/>
    <n v="499"/>
    <n v="-1532"/>
    <x v="1"/>
    <n v="-499"/>
    <x v="1"/>
  </r>
  <r>
    <x v="324"/>
    <d v="2020-03-23T00:00:00"/>
    <x v="0"/>
    <n v="384"/>
    <n v="-1148"/>
    <x v="1"/>
    <n v="384"/>
    <x v="1"/>
  </r>
  <r>
    <x v="324"/>
    <d v="2020-03-28T00:00:00"/>
    <x v="1"/>
    <n v="714"/>
    <n v="-1862"/>
    <x v="1"/>
    <n v="-714"/>
    <x v="1"/>
  </r>
  <r>
    <x v="325"/>
    <d v="2020-01-12T00:00:00"/>
    <x v="0"/>
    <n v="478"/>
    <n v="478"/>
    <x v="0"/>
    <n v="478"/>
    <x v="0"/>
  </r>
  <r>
    <x v="325"/>
    <d v="2020-01-18T00:00:00"/>
    <x v="1"/>
    <n v="689"/>
    <n v="-211"/>
    <x v="0"/>
    <n v="-689"/>
    <x v="1"/>
  </r>
  <r>
    <x v="325"/>
    <d v="2020-02-09T00:00:00"/>
    <x v="0"/>
    <n v="628"/>
    <n v="417"/>
    <x v="2"/>
    <n v="628"/>
    <x v="0"/>
  </r>
  <r>
    <x v="326"/>
    <d v="2020-01-14T00:00:00"/>
    <x v="0"/>
    <n v="299"/>
    <n v="299"/>
    <x v="0"/>
    <n v="299"/>
    <x v="0"/>
  </r>
  <r>
    <x v="326"/>
    <d v="2020-01-22T00:00:00"/>
    <x v="0"/>
    <n v="620"/>
    <n v="919"/>
    <x v="0"/>
    <n v="620"/>
    <x v="0"/>
  </r>
  <r>
    <x v="326"/>
    <d v="2020-03-14T00:00:00"/>
    <x v="1"/>
    <n v="680"/>
    <n v="239"/>
    <x v="1"/>
    <n v="-680"/>
    <x v="0"/>
  </r>
  <r>
    <x v="326"/>
    <d v="2020-03-22T00:00:00"/>
    <x v="1"/>
    <n v="562"/>
    <n v="-323"/>
    <x v="1"/>
    <n v="-562"/>
    <x v="1"/>
  </r>
  <r>
    <x v="326"/>
    <d v="2020-03-27T00:00:00"/>
    <x v="0"/>
    <n v="624"/>
    <n v="301"/>
    <x v="1"/>
    <n v="624"/>
    <x v="0"/>
  </r>
  <r>
    <x v="326"/>
    <d v="2020-03-27T00:00:00"/>
    <x v="1"/>
    <n v="465"/>
    <n v="-164"/>
    <x v="1"/>
    <n v="-465"/>
    <x v="1"/>
  </r>
  <r>
    <x v="327"/>
    <d v="2020-01-22T00:00:00"/>
    <x v="0"/>
    <n v="393"/>
    <n v="393"/>
    <x v="0"/>
    <n v="393"/>
    <x v="0"/>
  </r>
  <r>
    <x v="327"/>
    <d v="2020-01-22T00:00:00"/>
    <x v="2"/>
    <n v="697"/>
    <n v="-304"/>
    <x v="0"/>
    <n v="-697"/>
    <x v="1"/>
  </r>
  <r>
    <x v="327"/>
    <d v="2020-01-28T00:00:00"/>
    <x v="1"/>
    <n v="409"/>
    <n v="-713"/>
    <x v="0"/>
    <n v="-409"/>
    <x v="1"/>
  </r>
  <r>
    <x v="327"/>
    <d v="2020-01-30T00:00:00"/>
    <x v="1"/>
    <n v="519"/>
    <n v="-1232"/>
    <x v="0"/>
    <n v="-519"/>
    <x v="1"/>
  </r>
  <r>
    <x v="327"/>
    <d v="2020-02-03T00:00:00"/>
    <x v="1"/>
    <n v="639"/>
    <n v="-1871"/>
    <x v="2"/>
    <n v="-639"/>
    <x v="1"/>
  </r>
  <r>
    <x v="327"/>
    <d v="2020-02-10T00:00:00"/>
    <x v="2"/>
    <n v="443"/>
    <n v="-2314"/>
    <x v="2"/>
    <n v="-443"/>
    <x v="1"/>
  </r>
  <r>
    <x v="327"/>
    <d v="2020-02-20T00:00:00"/>
    <x v="1"/>
    <n v="931"/>
    <n v="-3245"/>
    <x v="2"/>
    <n v="-931"/>
    <x v="1"/>
  </r>
  <r>
    <x v="327"/>
    <d v="2020-02-22T00:00:00"/>
    <x v="2"/>
    <n v="181"/>
    <n v="-3426"/>
    <x v="2"/>
    <n v="-181"/>
    <x v="1"/>
  </r>
  <r>
    <x v="327"/>
    <d v="2020-03-01T00:00:00"/>
    <x v="0"/>
    <n v="721"/>
    <n v="-2705"/>
    <x v="1"/>
    <n v="721"/>
    <x v="1"/>
  </r>
  <r>
    <x v="327"/>
    <d v="2020-03-04T00:00:00"/>
    <x v="1"/>
    <n v="585"/>
    <n v="-3290"/>
    <x v="1"/>
    <n v="-585"/>
    <x v="1"/>
  </r>
  <r>
    <x v="327"/>
    <d v="2020-03-04T00:00:00"/>
    <x v="2"/>
    <n v="688"/>
    <n v="-3978"/>
    <x v="1"/>
    <n v="-688"/>
    <x v="1"/>
  </r>
  <r>
    <x v="327"/>
    <d v="2020-03-05T00:00:00"/>
    <x v="0"/>
    <n v="106"/>
    <n v="-3872"/>
    <x v="1"/>
    <n v="106"/>
    <x v="1"/>
  </r>
  <r>
    <x v="327"/>
    <d v="2020-03-10T00:00:00"/>
    <x v="1"/>
    <n v="499"/>
    <n v="-4371"/>
    <x v="1"/>
    <n v="-499"/>
    <x v="1"/>
  </r>
  <r>
    <x v="327"/>
    <d v="2020-03-14T00:00:00"/>
    <x v="2"/>
    <n v="819"/>
    <n v="-5190"/>
    <x v="1"/>
    <n v="-819"/>
    <x v="1"/>
  </r>
  <r>
    <x v="327"/>
    <d v="2020-03-18T00:00:00"/>
    <x v="0"/>
    <n v="418"/>
    <n v="-4772"/>
    <x v="1"/>
    <n v="418"/>
    <x v="1"/>
  </r>
  <r>
    <x v="327"/>
    <d v="2020-03-19T00:00:00"/>
    <x v="0"/>
    <n v="493"/>
    <n v="-4279"/>
    <x v="1"/>
    <n v="493"/>
    <x v="1"/>
  </r>
  <r>
    <x v="327"/>
    <d v="2020-03-31T00:00:00"/>
    <x v="1"/>
    <n v="424"/>
    <n v="-4703"/>
    <x v="1"/>
    <n v="-424"/>
    <x v="1"/>
  </r>
  <r>
    <x v="327"/>
    <d v="2020-04-03T00:00:00"/>
    <x v="0"/>
    <n v="726"/>
    <n v="-3977"/>
    <x v="3"/>
    <n v="726"/>
    <x v="1"/>
  </r>
  <r>
    <x v="327"/>
    <d v="2020-04-10T00:00:00"/>
    <x v="1"/>
    <n v="582"/>
    <n v="-4559"/>
    <x v="3"/>
    <n v="-582"/>
    <x v="1"/>
  </r>
  <r>
    <x v="328"/>
    <d v="2020-01-07T00:00:00"/>
    <x v="0"/>
    <n v="723"/>
    <n v="723"/>
    <x v="0"/>
    <n v="723"/>
    <x v="0"/>
  </r>
  <r>
    <x v="328"/>
    <d v="2020-01-22T00:00:00"/>
    <x v="0"/>
    <n v="108"/>
    <n v="831"/>
    <x v="0"/>
    <n v="108"/>
    <x v="0"/>
  </r>
  <r>
    <x v="328"/>
    <d v="2020-02-04T00:00:00"/>
    <x v="0"/>
    <n v="571"/>
    <n v="1402"/>
    <x v="2"/>
    <n v="571"/>
    <x v="0"/>
  </r>
  <r>
    <x v="328"/>
    <d v="2020-02-14T00:00:00"/>
    <x v="2"/>
    <n v="662"/>
    <n v="740"/>
    <x v="2"/>
    <n v="-662"/>
    <x v="0"/>
  </r>
  <r>
    <x v="328"/>
    <d v="2020-02-15T00:00:00"/>
    <x v="2"/>
    <n v="144"/>
    <n v="596"/>
    <x v="2"/>
    <n v="-144"/>
    <x v="0"/>
  </r>
  <r>
    <x v="328"/>
    <d v="2020-02-22T00:00:00"/>
    <x v="1"/>
    <n v="594"/>
    <n v="2"/>
    <x v="2"/>
    <n v="-594"/>
    <x v="0"/>
  </r>
  <r>
    <x v="328"/>
    <d v="2020-03-12T00:00:00"/>
    <x v="2"/>
    <n v="253"/>
    <n v="-251"/>
    <x v="1"/>
    <n v="-253"/>
    <x v="1"/>
  </r>
  <r>
    <x v="328"/>
    <d v="2020-03-22T00:00:00"/>
    <x v="2"/>
    <n v="375"/>
    <n v="-626"/>
    <x v="1"/>
    <n v="-375"/>
    <x v="1"/>
  </r>
  <r>
    <x v="328"/>
    <d v="2020-04-01T00:00:00"/>
    <x v="0"/>
    <n v="932"/>
    <n v="306"/>
    <x v="3"/>
    <n v="932"/>
    <x v="0"/>
  </r>
  <r>
    <x v="328"/>
    <d v="2020-04-03T00:00:00"/>
    <x v="0"/>
    <n v="103"/>
    <n v="409"/>
    <x v="3"/>
    <n v="103"/>
    <x v="0"/>
  </r>
  <r>
    <x v="328"/>
    <d v="2020-04-03T00:00:00"/>
    <x v="0"/>
    <n v="598"/>
    <n v="1007"/>
    <x v="3"/>
    <n v="598"/>
    <x v="0"/>
  </r>
  <r>
    <x v="328"/>
    <d v="2020-04-04T00:00:00"/>
    <x v="1"/>
    <n v="271"/>
    <n v="736"/>
    <x v="3"/>
    <n v="-271"/>
    <x v="0"/>
  </r>
  <r>
    <x v="329"/>
    <d v="2020-01-26T00:00:00"/>
    <x v="0"/>
    <n v="540"/>
    <n v="540"/>
    <x v="0"/>
    <n v="540"/>
    <x v="0"/>
  </r>
  <r>
    <x v="329"/>
    <d v="2020-01-28T00:00:00"/>
    <x v="0"/>
    <n v="286"/>
    <n v="826"/>
    <x v="0"/>
    <n v="286"/>
    <x v="0"/>
  </r>
  <r>
    <x v="329"/>
    <d v="2020-02-09T00:00:00"/>
    <x v="0"/>
    <n v="771"/>
    <n v="1597"/>
    <x v="2"/>
    <n v="771"/>
    <x v="0"/>
  </r>
  <r>
    <x v="329"/>
    <d v="2020-02-18T00:00:00"/>
    <x v="2"/>
    <n v="856"/>
    <n v="741"/>
    <x v="2"/>
    <n v="-856"/>
    <x v="0"/>
  </r>
  <r>
    <x v="329"/>
    <d v="2020-02-19T00:00:00"/>
    <x v="0"/>
    <n v="498"/>
    <n v="1239"/>
    <x v="2"/>
    <n v="498"/>
    <x v="0"/>
  </r>
  <r>
    <x v="329"/>
    <d v="2020-02-28T00:00:00"/>
    <x v="1"/>
    <n v="140"/>
    <n v="1099"/>
    <x v="2"/>
    <n v="-140"/>
    <x v="0"/>
  </r>
  <r>
    <x v="329"/>
    <d v="2020-03-01T00:00:00"/>
    <x v="1"/>
    <n v="640"/>
    <n v="459"/>
    <x v="1"/>
    <n v="-640"/>
    <x v="0"/>
  </r>
  <r>
    <x v="329"/>
    <d v="2020-03-05T00:00:00"/>
    <x v="0"/>
    <n v="871"/>
    <n v="1330"/>
    <x v="1"/>
    <n v="871"/>
    <x v="0"/>
  </r>
  <r>
    <x v="329"/>
    <d v="2020-03-08T00:00:00"/>
    <x v="0"/>
    <n v="356"/>
    <n v="1686"/>
    <x v="1"/>
    <n v="356"/>
    <x v="0"/>
  </r>
  <r>
    <x v="329"/>
    <d v="2020-03-11T00:00:00"/>
    <x v="1"/>
    <n v="43"/>
    <n v="1643"/>
    <x v="1"/>
    <n v="-43"/>
    <x v="0"/>
  </r>
  <r>
    <x v="329"/>
    <d v="2020-03-13T00:00:00"/>
    <x v="0"/>
    <n v="40"/>
    <n v="1683"/>
    <x v="1"/>
    <n v="40"/>
    <x v="0"/>
  </r>
  <r>
    <x v="329"/>
    <d v="2020-03-24T00:00:00"/>
    <x v="1"/>
    <n v="784"/>
    <n v="899"/>
    <x v="1"/>
    <n v="-784"/>
    <x v="0"/>
  </r>
  <r>
    <x v="329"/>
    <d v="2020-03-25T00:00:00"/>
    <x v="1"/>
    <n v="943"/>
    <n v="-44"/>
    <x v="1"/>
    <n v="-943"/>
    <x v="1"/>
  </r>
  <r>
    <x v="329"/>
    <d v="2020-03-31T00:00:00"/>
    <x v="2"/>
    <n v="622"/>
    <n v="-666"/>
    <x v="1"/>
    <n v="-622"/>
    <x v="1"/>
  </r>
  <r>
    <x v="329"/>
    <d v="2020-04-04T00:00:00"/>
    <x v="1"/>
    <n v="808"/>
    <n v="-1474"/>
    <x v="3"/>
    <n v="-808"/>
    <x v="1"/>
  </r>
  <r>
    <x v="330"/>
    <d v="2020-01-17T00:00:00"/>
    <x v="0"/>
    <n v="951"/>
    <n v="951"/>
    <x v="0"/>
    <n v="951"/>
    <x v="0"/>
  </r>
  <r>
    <x v="330"/>
    <d v="2020-01-19T00:00:00"/>
    <x v="2"/>
    <n v="385"/>
    <n v="566"/>
    <x v="0"/>
    <n v="-385"/>
    <x v="0"/>
  </r>
  <r>
    <x v="330"/>
    <d v="2020-01-24T00:00:00"/>
    <x v="0"/>
    <n v="443"/>
    <n v="1009"/>
    <x v="0"/>
    <n v="443"/>
    <x v="0"/>
  </r>
  <r>
    <x v="330"/>
    <d v="2020-01-27T00:00:00"/>
    <x v="1"/>
    <n v="427"/>
    <n v="582"/>
    <x v="0"/>
    <n v="-427"/>
    <x v="0"/>
  </r>
  <r>
    <x v="330"/>
    <d v="2020-01-29T00:00:00"/>
    <x v="2"/>
    <n v="636"/>
    <n v="-54"/>
    <x v="0"/>
    <n v="-636"/>
    <x v="1"/>
  </r>
  <r>
    <x v="330"/>
    <d v="2020-02-06T00:00:00"/>
    <x v="0"/>
    <n v="321"/>
    <n v="267"/>
    <x v="2"/>
    <n v="321"/>
    <x v="0"/>
  </r>
  <r>
    <x v="330"/>
    <d v="2020-02-11T00:00:00"/>
    <x v="2"/>
    <n v="561"/>
    <n v="-294"/>
    <x v="2"/>
    <n v="-561"/>
    <x v="1"/>
  </r>
  <r>
    <x v="330"/>
    <d v="2020-02-12T00:00:00"/>
    <x v="1"/>
    <n v="232"/>
    <n v="-526"/>
    <x v="2"/>
    <n v="-232"/>
    <x v="1"/>
  </r>
  <r>
    <x v="330"/>
    <d v="2020-02-15T00:00:00"/>
    <x v="2"/>
    <n v="15"/>
    <n v="-541"/>
    <x v="2"/>
    <n v="-15"/>
    <x v="1"/>
  </r>
  <r>
    <x v="330"/>
    <d v="2020-02-18T00:00:00"/>
    <x v="2"/>
    <n v="588"/>
    <n v="-1129"/>
    <x v="2"/>
    <n v="-588"/>
    <x v="1"/>
  </r>
  <r>
    <x v="330"/>
    <d v="2020-02-19T00:00:00"/>
    <x v="0"/>
    <n v="956"/>
    <n v="-173"/>
    <x v="2"/>
    <n v="956"/>
    <x v="1"/>
  </r>
  <r>
    <x v="330"/>
    <d v="2020-03-02T00:00:00"/>
    <x v="2"/>
    <n v="17"/>
    <n v="-190"/>
    <x v="1"/>
    <n v="-17"/>
    <x v="1"/>
  </r>
  <r>
    <x v="330"/>
    <d v="2020-03-07T00:00:00"/>
    <x v="0"/>
    <n v="488"/>
    <n v="298"/>
    <x v="1"/>
    <n v="488"/>
    <x v="0"/>
  </r>
  <r>
    <x v="330"/>
    <d v="2020-03-09T00:00:00"/>
    <x v="1"/>
    <n v="895"/>
    <n v="-597"/>
    <x v="1"/>
    <n v="-895"/>
    <x v="1"/>
  </r>
  <r>
    <x v="330"/>
    <d v="2020-03-24T00:00:00"/>
    <x v="1"/>
    <n v="330"/>
    <n v="-927"/>
    <x v="1"/>
    <n v="-330"/>
    <x v="1"/>
  </r>
  <r>
    <x v="330"/>
    <d v="2020-03-29T00:00:00"/>
    <x v="2"/>
    <n v="22"/>
    <n v="-949"/>
    <x v="1"/>
    <n v="-22"/>
    <x v="1"/>
  </r>
  <r>
    <x v="331"/>
    <d v="2020-01-27T00:00:00"/>
    <x v="0"/>
    <n v="594"/>
    <n v="594"/>
    <x v="0"/>
    <n v="594"/>
    <x v="0"/>
  </r>
  <r>
    <x v="331"/>
    <d v="2020-01-29T00:00:00"/>
    <x v="2"/>
    <n v="392"/>
    <n v="202"/>
    <x v="0"/>
    <n v="-392"/>
    <x v="0"/>
  </r>
  <r>
    <x v="331"/>
    <d v="2020-02-10T00:00:00"/>
    <x v="1"/>
    <n v="165"/>
    <n v="37"/>
    <x v="2"/>
    <n v="-165"/>
    <x v="0"/>
  </r>
  <r>
    <x v="331"/>
    <d v="2020-02-15T00:00:00"/>
    <x v="1"/>
    <n v="467"/>
    <n v="-430"/>
    <x v="2"/>
    <n v="-467"/>
    <x v="1"/>
  </r>
  <r>
    <x v="331"/>
    <d v="2020-02-19T00:00:00"/>
    <x v="1"/>
    <n v="172"/>
    <n v="-602"/>
    <x v="2"/>
    <n v="-172"/>
    <x v="1"/>
  </r>
  <r>
    <x v="331"/>
    <d v="2020-02-19T00:00:00"/>
    <x v="0"/>
    <n v="745"/>
    <n v="143"/>
    <x v="2"/>
    <n v="745"/>
    <x v="0"/>
  </r>
  <r>
    <x v="331"/>
    <d v="2020-02-21T00:00:00"/>
    <x v="1"/>
    <n v="715"/>
    <n v="-572"/>
    <x v="2"/>
    <n v="-715"/>
    <x v="1"/>
  </r>
  <r>
    <x v="331"/>
    <d v="2020-02-21T00:00:00"/>
    <x v="1"/>
    <n v="316"/>
    <n v="-888"/>
    <x v="2"/>
    <n v="-316"/>
    <x v="1"/>
  </r>
  <r>
    <x v="331"/>
    <d v="2020-02-23T00:00:00"/>
    <x v="0"/>
    <n v="726"/>
    <n v="-162"/>
    <x v="2"/>
    <n v="726"/>
    <x v="1"/>
  </r>
  <r>
    <x v="331"/>
    <d v="2020-02-25T00:00:00"/>
    <x v="0"/>
    <n v="721"/>
    <n v="559"/>
    <x v="2"/>
    <n v="721"/>
    <x v="0"/>
  </r>
  <r>
    <x v="331"/>
    <d v="2020-03-12T00:00:00"/>
    <x v="0"/>
    <n v="909"/>
    <n v="1468"/>
    <x v="1"/>
    <n v="909"/>
    <x v="0"/>
  </r>
  <r>
    <x v="331"/>
    <d v="2020-03-15T00:00:00"/>
    <x v="2"/>
    <n v="132"/>
    <n v="1336"/>
    <x v="1"/>
    <n v="-132"/>
    <x v="0"/>
  </r>
  <r>
    <x v="331"/>
    <d v="2020-03-24T00:00:00"/>
    <x v="2"/>
    <n v="842"/>
    <n v="494"/>
    <x v="1"/>
    <n v="-842"/>
    <x v="0"/>
  </r>
  <r>
    <x v="331"/>
    <d v="2020-04-05T00:00:00"/>
    <x v="1"/>
    <n v="221"/>
    <n v="273"/>
    <x v="3"/>
    <n v="-221"/>
    <x v="0"/>
  </r>
  <r>
    <x v="331"/>
    <d v="2020-04-09T00:00:00"/>
    <x v="2"/>
    <n v="360"/>
    <n v="-87"/>
    <x v="3"/>
    <n v="-360"/>
    <x v="1"/>
  </r>
  <r>
    <x v="331"/>
    <d v="2020-04-19T00:00:00"/>
    <x v="0"/>
    <n v="841"/>
    <n v="754"/>
    <x v="3"/>
    <n v="841"/>
    <x v="0"/>
  </r>
  <r>
    <x v="331"/>
    <d v="2020-04-19T00:00:00"/>
    <x v="1"/>
    <n v="38"/>
    <n v="716"/>
    <x v="3"/>
    <n v="-38"/>
    <x v="0"/>
  </r>
  <r>
    <x v="331"/>
    <d v="2020-04-20T00:00:00"/>
    <x v="0"/>
    <n v="14"/>
    <n v="730"/>
    <x v="3"/>
    <n v="14"/>
    <x v="0"/>
  </r>
  <r>
    <x v="331"/>
    <d v="2020-04-22T00:00:00"/>
    <x v="2"/>
    <n v="60"/>
    <n v="670"/>
    <x v="3"/>
    <n v="-60"/>
    <x v="0"/>
  </r>
  <r>
    <x v="332"/>
    <d v="2020-01-08T00:00:00"/>
    <x v="1"/>
    <n v="481"/>
    <n v="-481"/>
    <x v="0"/>
    <n v="-481"/>
    <x v="1"/>
  </r>
  <r>
    <x v="332"/>
    <d v="2020-01-08T00:00:00"/>
    <x v="0"/>
    <n v="537"/>
    <n v="56"/>
    <x v="0"/>
    <n v="537"/>
    <x v="0"/>
  </r>
  <r>
    <x v="332"/>
    <d v="2020-01-13T00:00:00"/>
    <x v="1"/>
    <n v="140"/>
    <n v="-84"/>
    <x v="0"/>
    <n v="-140"/>
    <x v="1"/>
  </r>
  <r>
    <x v="332"/>
    <d v="2020-01-16T00:00:00"/>
    <x v="0"/>
    <n v="830"/>
    <n v="746"/>
    <x v="0"/>
    <n v="830"/>
    <x v="0"/>
  </r>
  <r>
    <x v="332"/>
    <d v="2020-01-28T00:00:00"/>
    <x v="1"/>
    <n v="975"/>
    <n v="-229"/>
    <x v="0"/>
    <n v="-975"/>
    <x v="1"/>
  </r>
  <r>
    <x v="332"/>
    <d v="2020-02-16T00:00:00"/>
    <x v="0"/>
    <n v="501"/>
    <n v="272"/>
    <x v="2"/>
    <n v="501"/>
    <x v="0"/>
  </r>
  <r>
    <x v="332"/>
    <d v="2020-02-17T00:00:00"/>
    <x v="0"/>
    <n v="295"/>
    <n v="567"/>
    <x v="2"/>
    <n v="295"/>
    <x v="0"/>
  </r>
  <r>
    <x v="332"/>
    <d v="2020-02-21T00:00:00"/>
    <x v="2"/>
    <n v="499"/>
    <n v="68"/>
    <x v="2"/>
    <n v="-499"/>
    <x v="0"/>
  </r>
  <r>
    <x v="332"/>
    <d v="2020-02-25T00:00:00"/>
    <x v="1"/>
    <n v="195"/>
    <n v="-127"/>
    <x v="2"/>
    <n v="-195"/>
    <x v="1"/>
  </r>
  <r>
    <x v="332"/>
    <d v="2020-03-12T00:00:00"/>
    <x v="0"/>
    <n v="968"/>
    <n v="841"/>
    <x v="1"/>
    <n v="968"/>
    <x v="0"/>
  </r>
  <r>
    <x v="332"/>
    <d v="2020-03-24T00:00:00"/>
    <x v="0"/>
    <n v="587"/>
    <n v="1428"/>
    <x v="1"/>
    <n v="587"/>
    <x v="0"/>
  </r>
  <r>
    <x v="332"/>
    <d v="2020-03-24T00:00:00"/>
    <x v="0"/>
    <n v="25"/>
    <n v="1453"/>
    <x v="1"/>
    <n v="25"/>
    <x v="0"/>
  </r>
  <r>
    <x v="332"/>
    <d v="2020-03-25T00:00:00"/>
    <x v="1"/>
    <n v="886"/>
    <n v="567"/>
    <x v="1"/>
    <n v="-886"/>
    <x v="0"/>
  </r>
  <r>
    <x v="332"/>
    <d v="2020-04-04T00:00:00"/>
    <x v="0"/>
    <n v="353"/>
    <n v="920"/>
    <x v="3"/>
    <n v="353"/>
    <x v="0"/>
  </r>
  <r>
    <x v="333"/>
    <d v="2020-01-15T00:00:00"/>
    <x v="0"/>
    <n v="933"/>
    <n v="933"/>
    <x v="0"/>
    <n v="933"/>
    <x v="0"/>
  </r>
  <r>
    <x v="333"/>
    <d v="2020-01-25T00:00:00"/>
    <x v="0"/>
    <n v="244"/>
    <n v="1177"/>
    <x v="0"/>
    <n v="244"/>
    <x v="0"/>
  </r>
  <r>
    <x v="333"/>
    <d v="2020-02-07T00:00:00"/>
    <x v="0"/>
    <n v="706"/>
    <n v="1883"/>
    <x v="2"/>
    <n v="706"/>
    <x v="0"/>
  </r>
  <r>
    <x v="333"/>
    <d v="2020-02-12T00:00:00"/>
    <x v="0"/>
    <n v="280"/>
    <n v="2163"/>
    <x v="2"/>
    <n v="280"/>
    <x v="0"/>
  </r>
  <r>
    <x v="333"/>
    <d v="2020-02-23T00:00:00"/>
    <x v="0"/>
    <n v="561"/>
    <n v="2724"/>
    <x v="2"/>
    <n v="561"/>
    <x v="0"/>
  </r>
  <r>
    <x v="333"/>
    <d v="2020-03-03T00:00:00"/>
    <x v="0"/>
    <n v="248"/>
    <n v="2972"/>
    <x v="1"/>
    <n v="248"/>
    <x v="0"/>
  </r>
  <r>
    <x v="333"/>
    <d v="2020-03-19T00:00:00"/>
    <x v="2"/>
    <n v="547"/>
    <n v="2425"/>
    <x v="1"/>
    <n v="-547"/>
    <x v="0"/>
  </r>
  <r>
    <x v="333"/>
    <d v="2020-04-10T00:00:00"/>
    <x v="2"/>
    <n v="811"/>
    <n v="1614"/>
    <x v="3"/>
    <n v="-811"/>
    <x v="0"/>
  </r>
  <r>
    <x v="334"/>
    <d v="2020-01-14T00:00:00"/>
    <x v="0"/>
    <n v="663"/>
    <n v="663"/>
    <x v="0"/>
    <n v="663"/>
    <x v="0"/>
  </r>
  <r>
    <x v="334"/>
    <d v="2020-01-27T00:00:00"/>
    <x v="1"/>
    <n v="93"/>
    <n v="570"/>
    <x v="0"/>
    <n v="-93"/>
    <x v="0"/>
  </r>
  <r>
    <x v="334"/>
    <d v="2020-02-07T00:00:00"/>
    <x v="0"/>
    <n v="217"/>
    <n v="787"/>
    <x v="2"/>
    <n v="217"/>
    <x v="0"/>
  </r>
  <r>
    <x v="334"/>
    <d v="2020-02-07T00:00:00"/>
    <x v="1"/>
    <n v="78"/>
    <n v="709"/>
    <x v="2"/>
    <n v="-78"/>
    <x v="0"/>
  </r>
  <r>
    <x v="334"/>
    <d v="2020-02-12T00:00:00"/>
    <x v="1"/>
    <n v="816"/>
    <n v="-107"/>
    <x v="2"/>
    <n v="-816"/>
    <x v="1"/>
  </r>
  <r>
    <x v="334"/>
    <d v="2020-02-27T00:00:00"/>
    <x v="2"/>
    <n v="247"/>
    <n v="-354"/>
    <x v="2"/>
    <n v="-247"/>
    <x v="1"/>
  </r>
  <r>
    <x v="334"/>
    <d v="2020-03-03T00:00:00"/>
    <x v="2"/>
    <n v="641"/>
    <n v="-995"/>
    <x v="1"/>
    <n v="-641"/>
    <x v="1"/>
  </r>
  <r>
    <x v="334"/>
    <d v="2020-03-10T00:00:00"/>
    <x v="0"/>
    <n v="586"/>
    <n v="-409"/>
    <x v="1"/>
    <n v="586"/>
    <x v="1"/>
  </r>
  <r>
    <x v="334"/>
    <d v="2020-03-24T00:00:00"/>
    <x v="0"/>
    <n v="227"/>
    <n v="-182"/>
    <x v="1"/>
    <n v="227"/>
    <x v="1"/>
  </r>
  <r>
    <x v="334"/>
    <d v="2020-03-30T00:00:00"/>
    <x v="0"/>
    <n v="605"/>
    <n v="423"/>
    <x v="1"/>
    <n v="605"/>
    <x v="0"/>
  </r>
  <r>
    <x v="335"/>
    <d v="2020-01-16T00:00:00"/>
    <x v="0"/>
    <n v="543"/>
    <n v="543"/>
    <x v="0"/>
    <n v="543"/>
    <x v="0"/>
  </r>
  <r>
    <x v="335"/>
    <d v="2020-02-08T00:00:00"/>
    <x v="1"/>
    <n v="457"/>
    <n v="86"/>
    <x v="2"/>
    <n v="-457"/>
    <x v="0"/>
  </r>
  <r>
    <x v="335"/>
    <d v="2020-02-15T00:00:00"/>
    <x v="2"/>
    <n v="681"/>
    <n v="-595"/>
    <x v="2"/>
    <n v="-681"/>
    <x v="1"/>
  </r>
  <r>
    <x v="335"/>
    <d v="2020-03-02T00:00:00"/>
    <x v="0"/>
    <n v="730"/>
    <n v="135"/>
    <x v="1"/>
    <n v="730"/>
    <x v="0"/>
  </r>
  <r>
    <x v="335"/>
    <d v="2020-04-06T00:00:00"/>
    <x v="0"/>
    <n v="464"/>
    <n v="599"/>
    <x v="3"/>
    <n v="464"/>
    <x v="0"/>
  </r>
  <r>
    <x v="336"/>
    <d v="2020-01-12T00:00:00"/>
    <x v="0"/>
    <n v="581"/>
    <n v="581"/>
    <x v="0"/>
    <n v="581"/>
    <x v="0"/>
  </r>
  <r>
    <x v="336"/>
    <d v="2020-01-31T00:00:00"/>
    <x v="2"/>
    <n v="845"/>
    <n v="-264"/>
    <x v="0"/>
    <n v="-845"/>
    <x v="1"/>
  </r>
  <r>
    <x v="336"/>
    <d v="2020-02-10T00:00:00"/>
    <x v="0"/>
    <n v="658"/>
    <n v="394"/>
    <x v="2"/>
    <n v="658"/>
    <x v="0"/>
  </r>
  <r>
    <x v="336"/>
    <d v="2020-02-21T00:00:00"/>
    <x v="2"/>
    <n v="224"/>
    <n v="170"/>
    <x v="2"/>
    <n v="-224"/>
    <x v="0"/>
  </r>
  <r>
    <x v="336"/>
    <d v="2020-03-09T00:00:00"/>
    <x v="0"/>
    <n v="549"/>
    <n v="719"/>
    <x v="1"/>
    <n v="549"/>
    <x v="0"/>
  </r>
  <r>
    <x v="336"/>
    <d v="2020-03-21T00:00:00"/>
    <x v="2"/>
    <n v="159"/>
    <n v="560"/>
    <x v="1"/>
    <n v="-159"/>
    <x v="0"/>
  </r>
  <r>
    <x v="336"/>
    <d v="2020-03-25T00:00:00"/>
    <x v="0"/>
    <n v="890"/>
    <n v="1450"/>
    <x v="1"/>
    <n v="890"/>
    <x v="0"/>
  </r>
  <r>
    <x v="336"/>
    <d v="2020-04-04T00:00:00"/>
    <x v="0"/>
    <n v="154"/>
    <n v="1604"/>
    <x v="3"/>
    <n v="154"/>
    <x v="0"/>
  </r>
  <r>
    <x v="336"/>
    <d v="2020-04-06T00:00:00"/>
    <x v="0"/>
    <n v="7"/>
    <n v="1611"/>
    <x v="3"/>
    <n v="7"/>
    <x v="0"/>
  </r>
  <r>
    <x v="336"/>
    <d v="2020-04-06T00:00:00"/>
    <x v="1"/>
    <n v="297"/>
    <n v="1314"/>
    <x v="3"/>
    <n v="-297"/>
    <x v="0"/>
  </r>
  <r>
    <x v="337"/>
    <d v="2020-01-17T00:00:00"/>
    <x v="0"/>
    <n v="628"/>
    <n v="628"/>
    <x v="0"/>
    <n v="628"/>
    <x v="0"/>
  </r>
  <r>
    <x v="337"/>
    <d v="2020-01-17T00:00:00"/>
    <x v="0"/>
    <n v="252"/>
    <n v="880"/>
    <x v="0"/>
    <n v="252"/>
    <x v="0"/>
  </r>
  <r>
    <x v="337"/>
    <d v="2020-01-26T00:00:00"/>
    <x v="1"/>
    <n v="618"/>
    <n v="262"/>
    <x v="0"/>
    <n v="-618"/>
    <x v="0"/>
  </r>
  <r>
    <x v="337"/>
    <d v="2020-02-04T00:00:00"/>
    <x v="1"/>
    <n v="681"/>
    <n v="-419"/>
    <x v="2"/>
    <n v="-681"/>
    <x v="1"/>
  </r>
  <r>
    <x v="337"/>
    <d v="2020-02-08T00:00:00"/>
    <x v="0"/>
    <n v="859"/>
    <n v="440"/>
    <x v="2"/>
    <n v="859"/>
    <x v="0"/>
  </r>
  <r>
    <x v="337"/>
    <d v="2020-02-19T00:00:00"/>
    <x v="0"/>
    <n v="529"/>
    <n v="969"/>
    <x v="2"/>
    <n v="529"/>
    <x v="0"/>
  </r>
  <r>
    <x v="337"/>
    <d v="2020-02-25T00:00:00"/>
    <x v="2"/>
    <n v="436"/>
    <n v="533"/>
    <x v="2"/>
    <n v="-436"/>
    <x v="0"/>
  </r>
  <r>
    <x v="337"/>
    <d v="2020-03-09T00:00:00"/>
    <x v="0"/>
    <n v="859"/>
    <n v="1392"/>
    <x v="1"/>
    <n v="859"/>
    <x v="0"/>
  </r>
  <r>
    <x v="337"/>
    <d v="2020-03-12T00:00:00"/>
    <x v="0"/>
    <n v="793"/>
    <n v="2185"/>
    <x v="1"/>
    <n v="793"/>
    <x v="0"/>
  </r>
  <r>
    <x v="337"/>
    <d v="2020-03-13T00:00:00"/>
    <x v="2"/>
    <n v="116"/>
    <n v="2069"/>
    <x v="1"/>
    <n v="-116"/>
    <x v="0"/>
  </r>
  <r>
    <x v="337"/>
    <d v="2020-03-25T00:00:00"/>
    <x v="0"/>
    <n v="698"/>
    <n v="2767"/>
    <x v="1"/>
    <n v="698"/>
    <x v="0"/>
  </r>
  <r>
    <x v="337"/>
    <d v="2020-04-03T00:00:00"/>
    <x v="1"/>
    <n v="808"/>
    <n v="1959"/>
    <x v="3"/>
    <n v="-808"/>
    <x v="0"/>
  </r>
  <r>
    <x v="337"/>
    <d v="2020-04-03T00:00:00"/>
    <x v="1"/>
    <n v="695"/>
    <n v="1264"/>
    <x v="3"/>
    <n v="-695"/>
    <x v="0"/>
  </r>
  <r>
    <x v="338"/>
    <d v="2020-01-10T00:00:00"/>
    <x v="0"/>
    <n v="167"/>
    <n v="167"/>
    <x v="0"/>
    <n v="167"/>
    <x v="0"/>
  </r>
  <r>
    <x v="338"/>
    <d v="2020-01-14T00:00:00"/>
    <x v="1"/>
    <n v="173"/>
    <n v="-6"/>
    <x v="0"/>
    <n v="-173"/>
    <x v="1"/>
  </r>
  <r>
    <x v="338"/>
    <d v="2020-01-17T00:00:00"/>
    <x v="1"/>
    <n v="7"/>
    <n v="-13"/>
    <x v="0"/>
    <n v="-7"/>
    <x v="1"/>
  </r>
  <r>
    <x v="338"/>
    <d v="2020-01-24T00:00:00"/>
    <x v="0"/>
    <n v="136"/>
    <n v="123"/>
    <x v="0"/>
    <n v="136"/>
    <x v="0"/>
  </r>
  <r>
    <x v="338"/>
    <d v="2020-01-31T00:00:00"/>
    <x v="1"/>
    <n v="903"/>
    <n v="-780"/>
    <x v="0"/>
    <n v="-903"/>
    <x v="1"/>
  </r>
  <r>
    <x v="338"/>
    <d v="2020-02-02T00:00:00"/>
    <x v="0"/>
    <n v="994"/>
    <n v="214"/>
    <x v="2"/>
    <n v="994"/>
    <x v="0"/>
  </r>
  <r>
    <x v="338"/>
    <d v="2020-02-06T00:00:00"/>
    <x v="2"/>
    <n v="717"/>
    <n v="-503"/>
    <x v="2"/>
    <n v="-717"/>
    <x v="1"/>
  </r>
  <r>
    <x v="338"/>
    <d v="2020-02-15T00:00:00"/>
    <x v="0"/>
    <n v="811"/>
    <n v="308"/>
    <x v="2"/>
    <n v="811"/>
    <x v="0"/>
  </r>
  <r>
    <x v="338"/>
    <d v="2020-02-16T00:00:00"/>
    <x v="0"/>
    <n v="251"/>
    <n v="559"/>
    <x v="2"/>
    <n v="251"/>
    <x v="0"/>
  </r>
  <r>
    <x v="338"/>
    <d v="2020-02-24T00:00:00"/>
    <x v="1"/>
    <n v="231"/>
    <n v="328"/>
    <x v="2"/>
    <n v="-231"/>
    <x v="0"/>
  </r>
  <r>
    <x v="338"/>
    <d v="2020-02-24T00:00:00"/>
    <x v="0"/>
    <n v="222"/>
    <n v="550"/>
    <x v="2"/>
    <n v="222"/>
    <x v="0"/>
  </r>
  <r>
    <x v="338"/>
    <d v="2020-02-24T00:00:00"/>
    <x v="0"/>
    <n v="538"/>
    <n v="1088"/>
    <x v="2"/>
    <n v="538"/>
    <x v="0"/>
  </r>
  <r>
    <x v="338"/>
    <d v="2020-03-06T00:00:00"/>
    <x v="1"/>
    <n v="68"/>
    <n v="1020"/>
    <x v="1"/>
    <n v="-68"/>
    <x v="0"/>
  </r>
  <r>
    <x v="338"/>
    <d v="2020-03-07T00:00:00"/>
    <x v="0"/>
    <n v="548"/>
    <n v="1568"/>
    <x v="1"/>
    <n v="548"/>
    <x v="0"/>
  </r>
  <r>
    <x v="338"/>
    <d v="2020-03-09T00:00:00"/>
    <x v="1"/>
    <n v="85"/>
    <n v="1483"/>
    <x v="1"/>
    <n v="-85"/>
    <x v="0"/>
  </r>
  <r>
    <x v="338"/>
    <d v="2020-03-15T00:00:00"/>
    <x v="2"/>
    <n v="45"/>
    <n v="1438"/>
    <x v="1"/>
    <n v="-45"/>
    <x v="0"/>
  </r>
  <r>
    <x v="338"/>
    <d v="2020-03-23T00:00:00"/>
    <x v="2"/>
    <n v="813"/>
    <n v="625"/>
    <x v="1"/>
    <n v="-813"/>
    <x v="0"/>
  </r>
  <r>
    <x v="339"/>
    <d v="2020-01-06T00:00:00"/>
    <x v="0"/>
    <n v="56"/>
    <n v="56"/>
    <x v="0"/>
    <n v="56"/>
    <x v="0"/>
  </r>
  <r>
    <x v="339"/>
    <d v="2020-01-18T00:00:00"/>
    <x v="2"/>
    <n v="699"/>
    <n v="-643"/>
    <x v="0"/>
    <n v="-699"/>
    <x v="1"/>
  </r>
  <r>
    <x v="339"/>
    <d v="2020-01-18T00:00:00"/>
    <x v="1"/>
    <n v="443"/>
    <n v="-1086"/>
    <x v="0"/>
    <n v="-443"/>
    <x v="1"/>
  </r>
  <r>
    <x v="339"/>
    <d v="2020-02-04T00:00:00"/>
    <x v="1"/>
    <n v="17"/>
    <n v="-1103"/>
    <x v="2"/>
    <n v="-17"/>
    <x v="1"/>
  </r>
  <r>
    <x v="339"/>
    <d v="2020-02-06T00:00:00"/>
    <x v="0"/>
    <n v="644"/>
    <n v="-459"/>
    <x v="2"/>
    <n v="644"/>
    <x v="1"/>
  </r>
  <r>
    <x v="339"/>
    <d v="2020-02-13T00:00:00"/>
    <x v="0"/>
    <n v="880"/>
    <n v="421"/>
    <x v="2"/>
    <n v="880"/>
    <x v="0"/>
  </r>
  <r>
    <x v="339"/>
    <d v="2020-02-14T00:00:00"/>
    <x v="1"/>
    <n v="529"/>
    <n v="-108"/>
    <x v="2"/>
    <n v="-529"/>
    <x v="1"/>
  </r>
  <r>
    <x v="339"/>
    <d v="2020-02-18T00:00:00"/>
    <x v="1"/>
    <n v="546"/>
    <n v="-654"/>
    <x v="2"/>
    <n v="-546"/>
    <x v="1"/>
  </r>
  <r>
    <x v="339"/>
    <d v="2020-02-19T00:00:00"/>
    <x v="0"/>
    <n v="930"/>
    <n v="276"/>
    <x v="2"/>
    <n v="930"/>
    <x v="0"/>
  </r>
  <r>
    <x v="339"/>
    <d v="2020-03-02T00:00:00"/>
    <x v="0"/>
    <n v="154"/>
    <n v="430"/>
    <x v="1"/>
    <n v="154"/>
    <x v="0"/>
  </r>
  <r>
    <x v="339"/>
    <d v="2020-03-13T00:00:00"/>
    <x v="2"/>
    <n v="874"/>
    <n v="-444"/>
    <x v="1"/>
    <n v="-874"/>
    <x v="1"/>
  </r>
  <r>
    <x v="339"/>
    <d v="2020-03-15T00:00:00"/>
    <x v="0"/>
    <n v="665"/>
    <n v="221"/>
    <x v="1"/>
    <n v="665"/>
    <x v="0"/>
  </r>
  <r>
    <x v="339"/>
    <d v="2020-03-17T00:00:00"/>
    <x v="0"/>
    <n v="203"/>
    <n v="424"/>
    <x v="1"/>
    <n v="203"/>
    <x v="0"/>
  </r>
  <r>
    <x v="339"/>
    <d v="2020-03-18T00:00:00"/>
    <x v="2"/>
    <n v="756"/>
    <n v="-332"/>
    <x v="1"/>
    <n v="-756"/>
    <x v="1"/>
  </r>
  <r>
    <x v="339"/>
    <d v="2020-03-18T00:00:00"/>
    <x v="0"/>
    <n v="356"/>
    <n v="24"/>
    <x v="1"/>
    <n v="356"/>
    <x v="0"/>
  </r>
  <r>
    <x v="339"/>
    <d v="2020-03-21T00:00:00"/>
    <x v="0"/>
    <n v="619"/>
    <n v="643"/>
    <x v="1"/>
    <n v="619"/>
    <x v="0"/>
  </r>
  <r>
    <x v="339"/>
    <d v="2020-03-24T00:00:00"/>
    <x v="0"/>
    <n v="547"/>
    <n v="1190"/>
    <x v="1"/>
    <n v="547"/>
    <x v="0"/>
  </r>
  <r>
    <x v="339"/>
    <d v="2020-03-30T00:00:00"/>
    <x v="1"/>
    <n v="631"/>
    <n v="559"/>
    <x v="1"/>
    <n v="-631"/>
    <x v="0"/>
  </r>
  <r>
    <x v="339"/>
    <d v="2020-04-01T00:00:00"/>
    <x v="0"/>
    <n v="831"/>
    <n v="1390"/>
    <x v="3"/>
    <n v="831"/>
    <x v="0"/>
  </r>
  <r>
    <x v="340"/>
    <d v="2020-01-26T00:00:00"/>
    <x v="0"/>
    <n v="345"/>
    <n v="345"/>
    <x v="0"/>
    <n v="345"/>
    <x v="0"/>
  </r>
  <r>
    <x v="340"/>
    <d v="2020-02-12T00:00:00"/>
    <x v="0"/>
    <n v="77"/>
    <n v="422"/>
    <x v="2"/>
    <n v="77"/>
    <x v="0"/>
  </r>
  <r>
    <x v="340"/>
    <d v="2020-02-26T00:00:00"/>
    <x v="2"/>
    <n v="576"/>
    <n v="-154"/>
    <x v="2"/>
    <n v="-576"/>
    <x v="1"/>
  </r>
  <r>
    <x v="340"/>
    <d v="2020-02-27T00:00:00"/>
    <x v="1"/>
    <n v="719"/>
    <n v="-873"/>
    <x v="2"/>
    <n v="-719"/>
    <x v="1"/>
  </r>
  <r>
    <x v="340"/>
    <d v="2020-03-10T00:00:00"/>
    <x v="2"/>
    <n v="310"/>
    <n v="-1183"/>
    <x v="1"/>
    <n v="-310"/>
    <x v="1"/>
  </r>
  <r>
    <x v="340"/>
    <d v="2020-03-19T00:00:00"/>
    <x v="2"/>
    <n v="958"/>
    <n v="-2141"/>
    <x v="1"/>
    <n v="-958"/>
    <x v="1"/>
  </r>
  <r>
    <x v="340"/>
    <d v="2020-03-30T00:00:00"/>
    <x v="0"/>
    <n v="8"/>
    <n v="-2133"/>
    <x v="1"/>
    <n v="8"/>
    <x v="1"/>
  </r>
  <r>
    <x v="340"/>
    <d v="2020-04-18T00:00:00"/>
    <x v="2"/>
    <n v="168"/>
    <n v="-2301"/>
    <x v="3"/>
    <n v="-168"/>
    <x v="1"/>
  </r>
  <r>
    <x v="340"/>
    <d v="2020-04-24T00:00:00"/>
    <x v="0"/>
    <n v="207"/>
    <n v="-2094"/>
    <x v="3"/>
    <n v="207"/>
    <x v="1"/>
  </r>
  <r>
    <x v="341"/>
    <d v="2020-01-25T00:00:00"/>
    <x v="0"/>
    <n v="347"/>
    <n v="347"/>
    <x v="0"/>
    <n v="347"/>
    <x v="0"/>
  </r>
  <r>
    <x v="341"/>
    <d v="2020-02-12T00:00:00"/>
    <x v="0"/>
    <n v="910"/>
    <n v="1257"/>
    <x v="2"/>
    <n v="910"/>
    <x v="0"/>
  </r>
  <r>
    <x v="341"/>
    <d v="2020-02-17T00:00:00"/>
    <x v="1"/>
    <n v="715"/>
    <n v="542"/>
    <x v="2"/>
    <n v="-715"/>
    <x v="0"/>
  </r>
  <r>
    <x v="341"/>
    <d v="2020-02-24T00:00:00"/>
    <x v="1"/>
    <n v="887"/>
    <n v="-345"/>
    <x v="2"/>
    <n v="-887"/>
    <x v="1"/>
  </r>
  <r>
    <x v="341"/>
    <d v="2020-02-27T00:00:00"/>
    <x v="0"/>
    <n v="60"/>
    <n v="-285"/>
    <x v="2"/>
    <n v="60"/>
    <x v="1"/>
  </r>
  <r>
    <x v="341"/>
    <d v="2020-03-08T00:00:00"/>
    <x v="2"/>
    <n v="947"/>
    <n v="-1232"/>
    <x v="1"/>
    <n v="-947"/>
    <x v="1"/>
  </r>
  <r>
    <x v="341"/>
    <d v="2020-03-25T00:00:00"/>
    <x v="0"/>
    <n v="990"/>
    <n v="-242"/>
    <x v="1"/>
    <n v="990"/>
    <x v="1"/>
  </r>
  <r>
    <x v="341"/>
    <d v="2020-03-26T00:00:00"/>
    <x v="0"/>
    <n v="745"/>
    <n v="503"/>
    <x v="1"/>
    <n v="745"/>
    <x v="0"/>
  </r>
  <r>
    <x v="341"/>
    <d v="2020-04-07T00:00:00"/>
    <x v="1"/>
    <n v="688"/>
    <n v="-185"/>
    <x v="3"/>
    <n v="-688"/>
    <x v="1"/>
  </r>
  <r>
    <x v="341"/>
    <d v="2020-04-20T00:00:00"/>
    <x v="0"/>
    <n v="624"/>
    <n v="439"/>
    <x v="3"/>
    <n v="624"/>
    <x v="0"/>
  </r>
  <r>
    <x v="341"/>
    <d v="2020-04-22T00:00:00"/>
    <x v="2"/>
    <n v="574"/>
    <n v="-135"/>
    <x v="3"/>
    <n v="-574"/>
    <x v="1"/>
  </r>
  <r>
    <x v="342"/>
    <d v="2020-01-01T00:00:00"/>
    <x v="0"/>
    <n v="859"/>
    <n v="859"/>
    <x v="0"/>
    <n v="859"/>
    <x v="0"/>
  </r>
  <r>
    <x v="342"/>
    <d v="2020-01-09T00:00:00"/>
    <x v="2"/>
    <n v="426"/>
    <n v="433"/>
    <x v="0"/>
    <n v="-426"/>
    <x v="0"/>
  </r>
  <r>
    <x v="342"/>
    <d v="2020-01-14T00:00:00"/>
    <x v="2"/>
    <n v="30"/>
    <n v="403"/>
    <x v="0"/>
    <n v="-30"/>
    <x v="0"/>
  </r>
  <r>
    <x v="342"/>
    <d v="2020-01-20T00:00:00"/>
    <x v="0"/>
    <n v="936"/>
    <n v="1339"/>
    <x v="0"/>
    <n v="936"/>
    <x v="0"/>
  </r>
  <r>
    <x v="342"/>
    <d v="2020-02-01T00:00:00"/>
    <x v="0"/>
    <n v="214"/>
    <n v="1553"/>
    <x v="2"/>
    <n v="214"/>
    <x v="0"/>
  </r>
  <r>
    <x v="342"/>
    <d v="2020-02-01T00:00:00"/>
    <x v="0"/>
    <n v="411"/>
    <n v="1964"/>
    <x v="2"/>
    <n v="411"/>
    <x v="0"/>
  </r>
  <r>
    <x v="342"/>
    <d v="2020-02-05T00:00:00"/>
    <x v="0"/>
    <n v="150"/>
    <n v="2114"/>
    <x v="2"/>
    <n v="150"/>
    <x v="0"/>
  </r>
  <r>
    <x v="342"/>
    <d v="2020-02-13T00:00:00"/>
    <x v="2"/>
    <n v="286"/>
    <n v="1828"/>
    <x v="2"/>
    <n v="-286"/>
    <x v="0"/>
  </r>
  <r>
    <x v="342"/>
    <d v="2020-02-24T00:00:00"/>
    <x v="1"/>
    <n v="303"/>
    <n v="1525"/>
    <x v="2"/>
    <n v="-303"/>
    <x v="0"/>
  </r>
  <r>
    <x v="342"/>
    <d v="2020-02-26T00:00:00"/>
    <x v="0"/>
    <n v="128"/>
    <n v="1653"/>
    <x v="2"/>
    <n v="128"/>
    <x v="0"/>
  </r>
  <r>
    <x v="342"/>
    <d v="2020-03-01T00:00:00"/>
    <x v="0"/>
    <n v="267"/>
    <n v="1920"/>
    <x v="1"/>
    <n v="267"/>
    <x v="0"/>
  </r>
  <r>
    <x v="342"/>
    <d v="2020-03-09T00:00:00"/>
    <x v="2"/>
    <n v="832"/>
    <n v="1088"/>
    <x v="1"/>
    <n v="-832"/>
    <x v="0"/>
  </r>
  <r>
    <x v="342"/>
    <d v="2020-03-23T00:00:00"/>
    <x v="0"/>
    <n v="753"/>
    <n v="1841"/>
    <x v="1"/>
    <n v="753"/>
    <x v="0"/>
  </r>
  <r>
    <x v="343"/>
    <d v="2020-01-07T00:00:00"/>
    <x v="0"/>
    <n v="816"/>
    <n v="816"/>
    <x v="0"/>
    <n v="816"/>
    <x v="0"/>
  </r>
  <r>
    <x v="343"/>
    <d v="2020-01-11T00:00:00"/>
    <x v="2"/>
    <n v="148"/>
    <n v="668"/>
    <x v="0"/>
    <n v="-148"/>
    <x v="0"/>
  </r>
  <r>
    <x v="343"/>
    <d v="2020-01-15T00:00:00"/>
    <x v="0"/>
    <n v="368"/>
    <n v="1036"/>
    <x v="0"/>
    <n v="368"/>
    <x v="0"/>
  </r>
  <r>
    <x v="343"/>
    <d v="2020-01-16T00:00:00"/>
    <x v="2"/>
    <n v="282"/>
    <n v="754"/>
    <x v="0"/>
    <n v="-282"/>
    <x v="0"/>
  </r>
  <r>
    <x v="343"/>
    <d v="2020-01-20T00:00:00"/>
    <x v="2"/>
    <n v="855"/>
    <n v="-101"/>
    <x v="0"/>
    <n v="-855"/>
    <x v="1"/>
  </r>
  <r>
    <x v="343"/>
    <d v="2020-01-26T00:00:00"/>
    <x v="2"/>
    <n v="831"/>
    <n v="-932"/>
    <x v="0"/>
    <n v="-831"/>
    <x v="1"/>
  </r>
  <r>
    <x v="343"/>
    <d v="2020-02-05T00:00:00"/>
    <x v="2"/>
    <n v="459"/>
    <n v="-1391"/>
    <x v="2"/>
    <n v="-459"/>
    <x v="1"/>
  </r>
  <r>
    <x v="343"/>
    <d v="2020-02-07T00:00:00"/>
    <x v="0"/>
    <n v="937"/>
    <n v="-454"/>
    <x v="2"/>
    <n v="937"/>
    <x v="1"/>
  </r>
  <r>
    <x v="343"/>
    <d v="2020-02-09T00:00:00"/>
    <x v="0"/>
    <n v="553"/>
    <n v="99"/>
    <x v="2"/>
    <n v="553"/>
    <x v="0"/>
  </r>
  <r>
    <x v="343"/>
    <d v="2020-02-13T00:00:00"/>
    <x v="1"/>
    <n v="596"/>
    <n v="-497"/>
    <x v="2"/>
    <n v="-596"/>
    <x v="1"/>
  </r>
  <r>
    <x v="343"/>
    <d v="2020-02-19T00:00:00"/>
    <x v="1"/>
    <n v="591"/>
    <n v="-1088"/>
    <x v="2"/>
    <n v="-591"/>
    <x v="1"/>
  </r>
  <r>
    <x v="343"/>
    <d v="2020-02-21T00:00:00"/>
    <x v="0"/>
    <n v="945"/>
    <n v="-143"/>
    <x v="2"/>
    <n v="945"/>
    <x v="1"/>
  </r>
  <r>
    <x v="343"/>
    <d v="2020-02-23T00:00:00"/>
    <x v="0"/>
    <n v="558"/>
    <n v="415"/>
    <x v="2"/>
    <n v="558"/>
    <x v="0"/>
  </r>
  <r>
    <x v="343"/>
    <d v="2020-02-29T00:00:00"/>
    <x v="0"/>
    <n v="90"/>
    <n v="505"/>
    <x v="2"/>
    <n v="90"/>
    <x v="0"/>
  </r>
  <r>
    <x v="343"/>
    <d v="2020-03-03T00:00:00"/>
    <x v="2"/>
    <n v="981"/>
    <n v="-476"/>
    <x v="1"/>
    <n v="-981"/>
    <x v="1"/>
  </r>
  <r>
    <x v="343"/>
    <d v="2020-03-07T00:00:00"/>
    <x v="1"/>
    <n v="3"/>
    <n v="-479"/>
    <x v="1"/>
    <n v="-3"/>
    <x v="1"/>
  </r>
  <r>
    <x v="343"/>
    <d v="2020-03-12T00:00:00"/>
    <x v="0"/>
    <n v="416"/>
    <n v="-63"/>
    <x v="1"/>
    <n v="416"/>
    <x v="1"/>
  </r>
  <r>
    <x v="343"/>
    <d v="2020-03-13T00:00:00"/>
    <x v="0"/>
    <n v="629"/>
    <n v="566"/>
    <x v="1"/>
    <n v="629"/>
    <x v="0"/>
  </r>
  <r>
    <x v="343"/>
    <d v="2020-03-19T00:00:00"/>
    <x v="0"/>
    <n v="704"/>
    <n v="1270"/>
    <x v="1"/>
    <n v="704"/>
    <x v="0"/>
  </r>
  <r>
    <x v="343"/>
    <d v="2020-03-27T00:00:00"/>
    <x v="0"/>
    <n v="308"/>
    <n v="1578"/>
    <x v="1"/>
    <n v="308"/>
    <x v="0"/>
  </r>
  <r>
    <x v="343"/>
    <d v="2020-03-27T00:00:00"/>
    <x v="2"/>
    <n v="103"/>
    <n v="1475"/>
    <x v="1"/>
    <n v="-103"/>
    <x v="0"/>
  </r>
  <r>
    <x v="344"/>
    <d v="2020-01-01T00:00:00"/>
    <x v="1"/>
    <n v="964"/>
    <n v="-964"/>
    <x v="0"/>
    <n v="-964"/>
    <x v="1"/>
  </r>
  <r>
    <x v="344"/>
    <d v="2020-01-01T00:00:00"/>
    <x v="0"/>
    <n v="555"/>
    <n v="-409"/>
    <x v="0"/>
    <n v="555"/>
    <x v="1"/>
  </r>
  <r>
    <x v="344"/>
    <d v="2020-01-08T00:00:00"/>
    <x v="1"/>
    <n v="289"/>
    <n v="-698"/>
    <x v="0"/>
    <n v="-289"/>
    <x v="1"/>
  </r>
  <r>
    <x v="344"/>
    <d v="2020-01-25T00:00:00"/>
    <x v="0"/>
    <n v="598"/>
    <n v="-100"/>
    <x v="0"/>
    <n v="598"/>
    <x v="1"/>
  </r>
  <r>
    <x v="344"/>
    <d v="2020-02-04T00:00:00"/>
    <x v="1"/>
    <n v="550"/>
    <n v="-650"/>
    <x v="2"/>
    <n v="-550"/>
    <x v="1"/>
  </r>
  <r>
    <x v="344"/>
    <d v="2020-03-05T00:00:00"/>
    <x v="1"/>
    <n v="936"/>
    <n v="-1586"/>
    <x v="1"/>
    <n v="-936"/>
    <x v="1"/>
  </r>
  <r>
    <x v="344"/>
    <d v="2020-03-28T00:00:00"/>
    <x v="1"/>
    <n v="702"/>
    <n v="-2288"/>
    <x v="1"/>
    <n v="-702"/>
    <x v="1"/>
  </r>
  <r>
    <x v="345"/>
    <d v="2020-01-21T00:00:00"/>
    <x v="0"/>
    <n v="916"/>
    <n v="916"/>
    <x v="0"/>
    <n v="916"/>
    <x v="0"/>
  </r>
  <r>
    <x v="345"/>
    <d v="2020-02-12T00:00:00"/>
    <x v="2"/>
    <n v="805"/>
    <n v="111"/>
    <x v="2"/>
    <n v="-805"/>
    <x v="0"/>
  </r>
  <r>
    <x v="345"/>
    <d v="2020-02-14T00:00:00"/>
    <x v="2"/>
    <n v="563"/>
    <n v="-452"/>
    <x v="2"/>
    <n v="-563"/>
    <x v="1"/>
  </r>
  <r>
    <x v="345"/>
    <d v="2020-02-23T00:00:00"/>
    <x v="2"/>
    <n v="600"/>
    <n v="-1052"/>
    <x v="2"/>
    <n v="-600"/>
    <x v="1"/>
  </r>
  <r>
    <x v="345"/>
    <d v="2020-04-01T00:00:00"/>
    <x v="2"/>
    <n v="790"/>
    <n v="-1842"/>
    <x v="3"/>
    <n v="-790"/>
    <x v="1"/>
  </r>
  <r>
    <x v="345"/>
    <d v="2020-04-02T00:00:00"/>
    <x v="2"/>
    <n v="124"/>
    <n v="-1966"/>
    <x v="3"/>
    <n v="-124"/>
    <x v="1"/>
  </r>
  <r>
    <x v="345"/>
    <d v="2020-04-02T00:00:00"/>
    <x v="0"/>
    <n v="538"/>
    <n v="-1428"/>
    <x v="3"/>
    <n v="538"/>
    <x v="1"/>
  </r>
  <r>
    <x v="345"/>
    <d v="2020-04-03T00:00:00"/>
    <x v="0"/>
    <n v="605"/>
    <n v="-823"/>
    <x v="3"/>
    <n v="605"/>
    <x v="1"/>
  </r>
  <r>
    <x v="345"/>
    <d v="2020-04-03T00:00:00"/>
    <x v="1"/>
    <n v="993"/>
    <n v="-1816"/>
    <x v="3"/>
    <n v="-993"/>
    <x v="1"/>
  </r>
  <r>
    <x v="345"/>
    <d v="2020-04-04T00:00:00"/>
    <x v="0"/>
    <n v="91"/>
    <n v="-1725"/>
    <x v="3"/>
    <n v="91"/>
    <x v="1"/>
  </r>
  <r>
    <x v="345"/>
    <d v="2020-04-04T00:00:00"/>
    <x v="2"/>
    <n v="440"/>
    <n v="-2165"/>
    <x v="3"/>
    <n v="-440"/>
    <x v="1"/>
  </r>
  <r>
    <x v="345"/>
    <d v="2020-04-09T00:00:00"/>
    <x v="2"/>
    <n v="505"/>
    <n v="-2670"/>
    <x v="3"/>
    <n v="-505"/>
    <x v="1"/>
  </r>
  <r>
    <x v="345"/>
    <d v="2020-04-15T00:00:00"/>
    <x v="2"/>
    <n v="850"/>
    <n v="-3520"/>
    <x v="3"/>
    <n v="-850"/>
    <x v="1"/>
  </r>
  <r>
    <x v="345"/>
    <d v="2020-04-18T00:00:00"/>
    <x v="1"/>
    <n v="282"/>
    <n v="-3802"/>
    <x v="3"/>
    <n v="-282"/>
    <x v="1"/>
  </r>
  <r>
    <x v="346"/>
    <d v="2020-01-04T00:00:00"/>
    <x v="0"/>
    <n v="626"/>
    <n v="626"/>
    <x v="0"/>
    <n v="626"/>
    <x v="0"/>
  </r>
  <r>
    <x v="346"/>
    <d v="2020-01-13T00:00:00"/>
    <x v="1"/>
    <n v="232"/>
    <n v="394"/>
    <x v="0"/>
    <n v="-232"/>
    <x v="0"/>
  </r>
  <r>
    <x v="346"/>
    <d v="2020-02-23T00:00:00"/>
    <x v="2"/>
    <n v="942"/>
    <n v="-548"/>
    <x v="2"/>
    <n v="-942"/>
    <x v="1"/>
  </r>
  <r>
    <x v="346"/>
    <d v="2020-02-29T00:00:00"/>
    <x v="2"/>
    <n v="227"/>
    <n v="-775"/>
    <x v="2"/>
    <n v="-227"/>
    <x v="1"/>
  </r>
  <r>
    <x v="346"/>
    <d v="2020-03-06T00:00:00"/>
    <x v="2"/>
    <n v="194"/>
    <n v="-969"/>
    <x v="1"/>
    <n v="-194"/>
    <x v="1"/>
  </r>
  <r>
    <x v="346"/>
    <d v="2020-03-16T00:00:00"/>
    <x v="0"/>
    <n v="68"/>
    <n v="-901"/>
    <x v="1"/>
    <n v="68"/>
    <x v="1"/>
  </r>
  <r>
    <x v="346"/>
    <d v="2020-03-20T00:00:00"/>
    <x v="1"/>
    <n v="737"/>
    <n v="-1638"/>
    <x v="1"/>
    <n v="-737"/>
    <x v="1"/>
  </r>
  <r>
    <x v="346"/>
    <d v="2020-03-24T00:00:00"/>
    <x v="1"/>
    <n v="705"/>
    <n v="-2343"/>
    <x v="1"/>
    <n v="-705"/>
    <x v="1"/>
  </r>
  <r>
    <x v="346"/>
    <d v="2020-03-24T00:00:00"/>
    <x v="0"/>
    <n v="970"/>
    <n v="-1373"/>
    <x v="1"/>
    <n v="970"/>
    <x v="1"/>
  </r>
  <r>
    <x v="346"/>
    <d v="2020-03-31T00:00:00"/>
    <x v="1"/>
    <n v="395"/>
    <n v="-1768"/>
    <x v="1"/>
    <n v="-395"/>
    <x v="1"/>
  </r>
  <r>
    <x v="347"/>
    <d v="2020-01-22T00:00:00"/>
    <x v="0"/>
    <n v="26"/>
    <n v="26"/>
    <x v="0"/>
    <n v="26"/>
    <x v="0"/>
  </r>
  <r>
    <x v="347"/>
    <d v="2020-01-30T00:00:00"/>
    <x v="1"/>
    <n v="797"/>
    <n v="-771"/>
    <x v="0"/>
    <n v="-797"/>
    <x v="1"/>
  </r>
  <r>
    <x v="347"/>
    <d v="2020-02-06T00:00:00"/>
    <x v="0"/>
    <n v="885"/>
    <n v="114"/>
    <x v="2"/>
    <n v="885"/>
    <x v="0"/>
  </r>
  <r>
    <x v="347"/>
    <d v="2020-03-12T00:00:00"/>
    <x v="0"/>
    <n v="454"/>
    <n v="568"/>
    <x v="1"/>
    <n v="454"/>
    <x v="0"/>
  </r>
  <r>
    <x v="347"/>
    <d v="2020-03-13T00:00:00"/>
    <x v="2"/>
    <n v="468"/>
    <n v="100"/>
    <x v="1"/>
    <n v="-468"/>
    <x v="0"/>
  </r>
  <r>
    <x v="347"/>
    <d v="2020-03-16T00:00:00"/>
    <x v="1"/>
    <n v="255"/>
    <n v="-155"/>
    <x v="1"/>
    <n v="-255"/>
    <x v="1"/>
  </r>
  <r>
    <x v="347"/>
    <d v="2020-04-14T00:00:00"/>
    <x v="0"/>
    <n v="329"/>
    <n v="174"/>
    <x v="3"/>
    <n v="329"/>
    <x v="0"/>
  </r>
  <r>
    <x v="347"/>
    <d v="2020-04-15T00:00:00"/>
    <x v="0"/>
    <n v="719"/>
    <n v="893"/>
    <x v="3"/>
    <n v="719"/>
    <x v="0"/>
  </r>
  <r>
    <x v="347"/>
    <d v="2020-04-16T00:00:00"/>
    <x v="1"/>
    <n v="845"/>
    <n v="48"/>
    <x v="3"/>
    <n v="-845"/>
    <x v="0"/>
  </r>
  <r>
    <x v="348"/>
    <d v="2020-01-17T00:00:00"/>
    <x v="0"/>
    <n v="573"/>
    <n v="573"/>
    <x v="0"/>
    <n v="573"/>
    <x v="0"/>
  </r>
  <r>
    <x v="348"/>
    <d v="2020-01-18T00:00:00"/>
    <x v="1"/>
    <n v="981"/>
    <n v="-408"/>
    <x v="0"/>
    <n v="-981"/>
    <x v="1"/>
  </r>
  <r>
    <x v="348"/>
    <d v="2020-01-31T00:00:00"/>
    <x v="2"/>
    <n v="436"/>
    <n v="-844"/>
    <x v="0"/>
    <n v="-436"/>
    <x v="1"/>
  </r>
  <r>
    <x v="348"/>
    <d v="2020-02-01T00:00:00"/>
    <x v="0"/>
    <n v="498"/>
    <n v="-346"/>
    <x v="2"/>
    <n v="498"/>
    <x v="1"/>
  </r>
  <r>
    <x v="348"/>
    <d v="2020-02-08T00:00:00"/>
    <x v="0"/>
    <n v="362"/>
    <n v="16"/>
    <x v="2"/>
    <n v="362"/>
    <x v="0"/>
  </r>
  <r>
    <x v="348"/>
    <d v="2020-02-15T00:00:00"/>
    <x v="1"/>
    <n v="171"/>
    <n v="-155"/>
    <x v="2"/>
    <n v="-171"/>
    <x v="1"/>
  </r>
  <r>
    <x v="348"/>
    <d v="2020-02-26T00:00:00"/>
    <x v="2"/>
    <n v="885"/>
    <n v="-1040"/>
    <x v="2"/>
    <n v="-885"/>
    <x v="1"/>
  </r>
  <r>
    <x v="348"/>
    <d v="2020-03-02T00:00:00"/>
    <x v="0"/>
    <n v="49"/>
    <n v="-991"/>
    <x v="1"/>
    <n v="49"/>
    <x v="1"/>
  </r>
  <r>
    <x v="348"/>
    <d v="2020-03-03T00:00:00"/>
    <x v="0"/>
    <n v="747"/>
    <n v="-244"/>
    <x v="1"/>
    <n v="747"/>
    <x v="1"/>
  </r>
  <r>
    <x v="348"/>
    <d v="2020-03-10T00:00:00"/>
    <x v="2"/>
    <n v="818"/>
    <n v="-1062"/>
    <x v="1"/>
    <n v="-818"/>
    <x v="1"/>
  </r>
  <r>
    <x v="348"/>
    <d v="2020-03-20T00:00:00"/>
    <x v="0"/>
    <n v="934"/>
    <n v="-128"/>
    <x v="1"/>
    <n v="934"/>
    <x v="1"/>
  </r>
  <r>
    <x v="348"/>
    <d v="2020-03-27T00:00:00"/>
    <x v="2"/>
    <n v="109"/>
    <n v="-237"/>
    <x v="1"/>
    <n v="-109"/>
    <x v="1"/>
  </r>
  <r>
    <x v="348"/>
    <d v="2020-03-27T00:00:00"/>
    <x v="0"/>
    <n v="881"/>
    <n v="644"/>
    <x v="1"/>
    <n v="881"/>
    <x v="0"/>
  </r>
  <r>
    <x v="348"/>
    <d v="2020-03-28T00:00:00"/>
    <x v="0"/>
    <n v="665"/>
    <n v="1309"/>
    <x v="1"/>
    <n v="665"/>
    <x v="0"/>
  </r>
  <r>
    <x v="348"/>
    <d v="2020-04-03T00:00:00"/>
    <x v="0"/>
    <n v="110"/>
    <n v="1419"/>
    <x v="3"/>
    <n v="110"/>
    <x v="0"/>
  </r>
  <r>
    <x v="348"/>
    <d v="2020-04-14T00:00:00"/>
    <x v="0"/>
    <n v="545"/>
    <n v="1964"/>
    <x v="3"/>
    <n v="545"/>
    <x v="0"/>
  </r>
  <r>
    <x v="349"/>
    <d v="2020-01-13T00:00:00"/>
    <x v="0"/>
    <n v="167"/>
    <n v="167"/>
    <x v="0"/>
    <n v="167"/>
    <x v="0"/>
  </r>
  <r>
    <x v="349"/>
    <d v="2020-01-18T00:00:00"/>
    <x v="0"/>
    <n v="726"/>
    <n v="893"/>
    <x v="0"/>
    <n v="726"/>
    <x v="0"/>
  </r>
  <r>
    <x v="349"/>
    <d v="2020-01-23T00:00:00"/>
    <x v="0"/>
    <n v="924"/>
    <n v="1817"/>
    <x v="0"/>
    <n v="924"/>
    <x v="0"/>
  </r>
  <r>
    <x v="349"/>
    <d v="2020-01-27T00:00:00"/>
    <x v="0"/>
    <n v="383"/>
    <n v="2200"/>
    <x v="0"/>
    <n v="383"/>
    <x v="0"/>
  </r>
  <r>
    <x v="349"/>
    <d v="2020-02-02T00:00:00"/>
    <x v="1"/>
    <n v="440"/>
    <n v="1760"/>
    <x v="2"/>
    <n v="-440"/>
    <x v="0"/>
  </r>
  <r>
    <x v="349"/>
    <d v="2020-02-12T00:00:00"/>
    <x v="0"/>
    <n v="261"/>
    <n v="2021"/>
    <x v="2"/>
    <n v="261"/>
    <x v="0"/>
  </r>
  <r>
    <x v="349"/>
    <d v="2020-02-13T00:00:00"/>
    <x v="2"/>
    <n v="165"/>
    <n v="1856"/>
    <x v="2"/>
    <n v="-165"/>
    <x v="0"/>
  </r>
  <r>
    <x v="349"/>
    <d v="2020-02-13T00:00:00"/>
    <x v="2"/>
    <n v="149"/>
    <n v="1707"/>
    <x v="2"/>
    <n v="-149"/>
    <x v="0"/>
  </r>
  <r>
    <x v="349"/>
    <d v="2020-02-16T00:00:00"/>
    <x v="1"/>
    <n v="144"/>
    <n v="1563"/>
    <x v="2"/>
    <n v="-144"/>
    <x v="0"/>
  </r>
  <r>
    <x v="349"/>
    <d v="2020-02-28T00:00:00"/>
    <x v="2"/>
    <n v="483"/>
    <n v="1080"/>
    <x v="2"/>
    <n v="-483"/>
    <x v="0"/>
  </r>
  <r>
    <x v="349"/>
    <d v="2020-03-02T00:00:00"/>
    <x v="2"/>
    <n v="352"/>
    <n v="728"/>
    <x v="1"/>
    <n v="-352"/>
    <x v="0"/>
  </r>
  <r>
    <x v="349"/>
    <d v="2020-03-05T00:00:00"/>
    <x v="1"/>
    <n v="171"/>
    <n v="557"/>
    <x v="1"/>
    <n v="-171"/>
    <x v="0"/>
  </r>
  <r>
    <x v="349"/>
    <d v="2020-03-16T00:00:00"/>
    <x v="0"/>
    <n v="154"/>
    <n v="711"/>
    <x v="1"/>
    <n v="154"/>
    <x v="0"/>
  </r>
  <r>
    <x v="349"/>
    <d v="2020-03-23T00:00:00"/>
    <x v="1"/>
    <n v="947"/>
    <n v="-236"/>
    <x v="1"/>
    <n v="-947"/>
    <x v="1"/>
  </r>
  <r>
    <x v="349"/>
    <d v="2020-03-23T00:00:00"/>
    <x v="0"/>
    <n v="724"/>
    <n v="488"/>
    <x v="1"/>
    <n v="724"/>
    <x v="0"/>
  </r>
  <r>
    <x v="349"/>
    <d v="2020-03-27T00:00:00"/>
    <x v="1"/>
    <n v="662"/>
    <n v="-174"/>
    <x v="1"/>
    <n v="-662"/>
    <x v="1"/>
  </r>
  <r>
    <x v="349"/>
    <d v="2020-04-05T00:00:00"/>
    <x v="1"/>
    <n v="345"/>
    <n v="-519"/>
    <x v="3"/>
    <n v="-345"/>
    <x v="1"/>
  </r>
  <r>
    <x v="349"/>
    <d v="2020-04-07T00:00:00"/>
    <x v="2"/>
    <n v="714"/>
    <n v="-1233"/>
    <x v="3"/>
    <n v="-714"/>
    <x v="1"/>
  </r>
  <r>
    <x v="350"/>
    <d v="2020-01-03T00:00:00"/>
    <x v="0"/>
    <n v="371"/>
    <n v="371"/>
    <x v="0"/>
    <n v="371"/>
    <x v="0"/>
  </r>
  <r>
    <x v="350"/>
    <d v="2020-01-03T00:00:00"/>
    <x v="0"/>
    <n v="951"/>
    <n v="1322"/>
    <x v="0"/>
    <n v="951"/>
    <x v="0"/>
  </r>
  <r>
    <x v="350"/>
    <d v="2020-01-12T00:00:00"/>
    <x v="1"/>
    <n v="583"/>
    <n v="739"/>
    <x v="0"/>
    <n v="-583"/>
    <x v="0"/>
  </r>
  <r>
    <x v="350"/>
    <d v="2020-01-31T00:00:00"/>
    <x v="2"/>
    <n v="649"/>
    <n v="90"/>
    <x v="0"/>
    <n v="-649"/>
    <x v="0"/>
  </r>
  <r>
    <x v="350"/>
    <d v="2020-02-13T00:00:00"/>
    <x v="2"/>
    <n v="729"/>
    <n v="-639"/>
    <x v="2"/>
    <n v="-729"/>
    <x v="1"/>
  </r>
  <r>
    <x v="350"/>
    <d v="2020-02-18T00:00:00"/>
    <x v="0"/>
    <n v="228"/>
    <n v="-411"/>
    <x v="2"/>
    <n v="228"/>
    <x v="1"/>
  </r>
  <r>
    <x v="350"/>
    <d v="2020-02-19T00:00:00"/>
    <x v="1"/>
    <n v="578"/>
    <n v="-989"/>
    <x v="2"/>
    <n v="-578"/>
    <x v="1"/>
  </r>
  <r>
    <x v="350"/>
    <d v="2020-02-25T00:00:00"/>
    <x v="2"/>
    <n v="544"/>
    <n v="-1533"/>
    <x v="2"/>
    <n v="-544"/>
    <x v="1"/>
  </r>
  <r>
    <x v="350"/>
    <d v="2020-03-27T00:00:00"/>
    <x v="2"/>
    <n v="327"/>
    <n v="-1860"/>
    <x v="1"/>
    <n v="-327"/>
    <x v="1"/>
  </r>
  <r>
    <x v="351"/>
    <d v="2020-01-21T00:00:00"/>
    <x v="0"/>
    <n v="416"/>
    <n v="416"/>
    <x v="0"/>
    <n v="416"/>
    <x v="0"/>
  </r>
  <r>
    <x v="351"/>
    <d v="2020-02-07T00:00:00"/>
    <x v="2"/>
    <n v="989"/>
    <n v="-573"/>
    <x v="2"/>
    <n v="-989"/>
    <x v="1"/>
  </r>
  <r>
    <x v="351"/>
    <d v="2020-02-13T00:00:00"/>
    <x v="1"/>
    <n v="579"/>
    <n v="-1152"/>
    <x v="2"/>
    <n v="-579"/>
    <x v="1"/>
  </r>
  <r>
    <x v="351"/>
    <d v="2020-02-20T00:00:00"/>
    <x v="1"/>
    <n v="460"/>
    <n v="-1612"/>
    <x v="2"/>
    <n v="-460"/>
    <x v="1"/>
  </r>
  <r>
    <x v="351"/>
    <d v="2020-03-12T00:00:00"/>
    <x v="2"/>
    <n v="699"/>
    <n v="-2311"/>
    <x v="1"/>
    <n v="-699"/>
    <x v="1"/>
  </r>
  <r>
    <x v="351"/>
    <d v="2020-03-14T00:00:00"/>
    <x v="1"/>
    <n v="250"/>
    <n v="-2561"/>
    <x v="1"/>
    <n v="-250"/>
    <x v="1"/>
  </r>
  <r>
    <x v="351"/>
    <d v="2020-03-20T00:00:00"/>
    <x v="0"/>
    <n v="787"/>
    <n v="-1774"/>
    <x v="1"/>
    <n v="787"/>
    <x v="1"/>
  </r>
  <r>
    <x v="351"/>
    <d v="2020-04-11T00:00:00"/>
    <x v="1"/>
    <n v="874"/>
    <n v="-2648"/>
    <x v="3"/>
    <n v="-874"/>
    <x v="1"/>
  </r>
  <r>
    <x v="351"/>
    <d v="2020-04-14T00:00:00"/>
    <x v="0"/>
    <n v="379"/>
    <n v="-2269"/>
    <x v="3"/>
    <n v="379"/>
    <x v="1"/>
  </r>
  <r>
    <x v="352"/>
    <d v="2020-01-01T00:00:00"/>
    <x v="0"/>
    <n v="57"/>
    <n v="57"/>
    <x v="0"/>
    <n v="57"/>
    <x v="0"/>
  </r>
  <r>
    <x v="352"/>
    <d v="2020-01-13T00:00:00"/>
    <x v="1"/>
    <n v="935"/>
    <n v="-878"/>
    <x v="0"/>
    <n v="-935"/>
    <x v="1"/>
  </r>
  <r>
    <x v="352"/>
    <d v="2020-01-19T00:00:00"/>
    <x v="0"/>
    <n v="898"/>
    <n v="20"/>
    <x v="0"/>
    <n v="898"/>
    <x v="0"/>
  </r>
  <r>
    <x v="352"/>
    <d v="2020-01-26T00:00:00"/>
    <x v="2"/>
    <n v="575"/>
    <n v="-555"/>
    <x v="0"/>
    <n v="-575"/>
    <x v="1"/>
  </r>
  <r>
    <x v="352"/>
    <d v="2020-02-04T00:00:00"/>
    <x v="1"/>
    <n v="523"/>
    <n v="-1078"/>
    <x v="2"/>
    <n v="-523"/>
    <x v="1"/>
  </r>
  <r>
    <x v="352"/>
    <d v="2020-02-21T00:00:00"/>
    <x v="1"/>
    <n v="741"/>
    <n v="-1819"/>
    <x v="2"/>
    <n v="-741"/>
    <x v="1"/>
  </r>
  <r>
    <x v="352"/>
    <d v="2020-03-11T00:00:00"/>
    <x v="2"/>
    <n v="738"/>
    <n v="-2557"/>
    <x v="1"/>
    <n v="-738"/>
    <x v="1"/>
  </r>
  <r>
    <x v="352"/>
    <d v="2020-03-12T00:00:00"/>
    <x v="0"/>
    <n v="846"/>
    <n v="-1711"/>
    <x v="1"/>
    <n v="846"/>
    <x v="1"/>
  </r>
  <r>
    <x v="352"/>
    <d v="2020-03-12T00:00:00"/>
    <x v="0"/>
    <n v="760"/>
    <n v="-951"/>
    <x v="1"/>
    <n v="760"/>
    <x v="1"/>
  </r>
  <r>
    <x v="352"/>
    <d v="2020-03-21T00:00:00"/>
    <x v="0"/>
    <n v="435"/>
    <n v="-516"/>
    <x v="1"/>
    <n v="435"/>
    <x v="1"/>
  </r>
  <r>
    <x v="353"/>
    <d v="2020-01-23T00:00:00"/>
    <x v="0"/>
    <n v="822"/>
    <n v="822"/>
    <x v="0"/>
    <n v="822"/>
    <x v="0"/>
  </r>
  <r>
    <x v="353"/>
    <d v="2020-03-17T00:00:00"/>
    <x v="1"/>
    <n v="664"/>
    <n v="158"/>
    <x v="1"/>
    <n v="-664"/>
    <x v="0"/>
  </r>
  <r>
    <x v="354"/>
    <d v="2020-01-21T00:00:00"/>
    <x v="0"/>
    <n v="367"/>
    <n v="367"/>
    <x v="0"/>
    <n v="367"/>
    <x v="0"/>
  </r>
  <r>
    <x v="354"/>
    <d v="2020-01-24T00:00:00"/>
    <x v="1"/>
    <n v="612"/>
    <n v="-245"/>
    <x v="0"/>
    <n v="-612"/>
    <x v="1"/>
  </r>
  <r>
    <x v="354"/>
    <d v="2020-02-09T00:00:00"/>
    <x v="0"/>
    <n v="767"/>
    <n v="522"/>
    <x v="2"/>
    <n v="767"/>
    <x v="0"/>
  </r>
  <r>
    <x v="354"/>
    <d v="2020-02-18T00:00:00"/>
    <x v="1"/>
    <n v="716"/>
    <n v="-194"/>
    <x v="2"/>
    <n v="-716"/>
    <x v="1"/>
  </r>
  <r>
    <x v="354"/>
    <d v="2020-03-24T00:00:00"/>
    <x v="1"/>
    <n v="943"/>
    <n v="-1137"/>
    <x v="1"/>
    <n v="-943"/>
    <x v="1"/>
  </r>
  <r>
    <x v="354"/>
    <d v="2020-04-08T00:00:00"/>
    <x v="2"/>
    <n v="630"/>
    <n v="-1767"/>
    <x v="3"/>
    <n v="-630"/>
    <x v="1"/>
  </r>
  <r>
    <x v="354"/>
    <d v="2020-04-19T00:00:00"/>
    <x v="0"/>
    <n v="915"/>
    <n v="-852"/>
    <x v="3"/>
    <n v="915"/>
    <x v="1"/>
  </r>
  <r>
    <x v="355"/>
    <d v="2020-01-11T00:00:00"/>
    <x v="0"/>
    <n v="568"/>
    <n v="568"/>
    <x v="0"/>
    <n v="568"/>
    <x v="0"/>
  </r>
  <r>
    <x v="355"/>
    <d v="2020-01-13T00:00:00"/>
    <x v="2"/>
    <n v="532"/>
    <n v="36"/>
    <x v="0"/>
    <n v="-532"/>
    <x v="0"/>
  </r>
  <r>
    <x v="355"/>
    <d v="2020-01-17T00:00:00"/>
    <x v="1"/>
    <n v="733"/>
    <n v="-697"/>
    <x v="0"/>
    <n v="-733"/>
    <x v="1"/>
  </r>
  <r>
    <x v="355"/>
    <d v="2020-01-19T00:00:00"/>
    <x v="2"/>
    <n v="553"/>
    <n v="-1250"/>
    <x v="0"/>
    <n v="-553"/>
    <x v="1"/>
  </r>
  <r>
    <x v="355"/>
    <d v="2020-01-22T00:00:00"/>
    <x v="0"/>
    <n v="607"/>
    <n v="-643"/>
    <x v="0"/>
    <n v="607"/>
    <x v="1"/>
  </r>
  <r>
    <x v="355"/>
    <d v="2020-01-29T00:00:00"/>
    <x v="2"/>
    <n v="783"/>
    <n v="-1426"/>
    <x v="0"/>
    <n v="-783"/>
    <x v="1"/>
  </r>
  <r>
    <x v="355"/>
    <d v="2020-01-31T00:00:00"/>
    <x v="1"/>
    <n v="444"/>
    <n v="-1870"/>
    <x v="0"/>
    <n v="-444"/>
    <x v="1"/>
  </r>
  <r>
    <x v="355"/>
    <d v="2020-02-01T00:00:00"/>
    <x v="2"/>
    <n v="752"/>
    <n v="-2622"/>
    <x v="2"/>
    <n v="-752"/>
    <x v="1"/>
  </r>
  <r>
    <x v="355"/>
    <d v="2020-02-11T00:00:00"/>
    <x v="1"/>
    <n v="349"/>
    <n v="-2971"/>
    <x v="2"/>
    <n v="-349"/>
    <x v="1"/>
  </r>
  <r>
    <x v="355"/>
    <d v="2020-02-15T00:00:00"/>
    <x v="1"/>
    <n v="681"/>
    <n v="-3652"/>
    <x v="2"/>
    <n v="-681"/>
    <x v="1"/>
  </r>
  <r>
    <x v="355"/>
    <d v="2020-02-22T00:00:00"/>
    <x v="2"/>
    <n v="277"/>
    <n v="-3929"/>
    <x v="2"/>
    <n v="-277"/>
    <x v="1"/>
  </r>
  <r>
    <x v="355"/>
    <d v="2020-03-13T00:00:00"/>
    <x v="2"/>
    <n v="828"/>
    <n v="-4757"/>
    <x v="1"/>
    <n v="-828"/>
    <x v="1"/>
  </r>
  <r>
    <x v="355"/>
    <d v="2020-03-22T00:00:00"/>
    <x v="1"/>
    <n v="654"/>
    <n v="-5411"/>
    <x v="1"/>
    <n v="-654"/>
    <x v="1"/>
  </r>
  <r>
    <x v="355"/>
    <d v="2020-03-25T00:00:00"/>
    <x v="2"/>
    <n v="568"/>
    <n v="-5979"/>
    <x v="1"/>
    <n v="-568"/>
    <x v="1"/>
  </r>
  <r>
    <x v="355"/>
    <d v="2020-03-26T00:00:00"/>
    <x v="1"/>
    <n v="539"/>
    <n v="-6518"/>
    <x v="1"/>
    <n v="-539"/>
    <x v="1"/>
  </r>
  <r>
    <x v="355"/>
    <d v="2020-04-06T00:00:00"/>
    <x v="0"/>
    <n v="953"/>
    <n v="-5565"/>
    <x v="3"/>
    <n v="953"/>
    <x v="1"/>
  </r>
  <r>
    <x v="355"/>
    <d v="2020-04-09T00:00:00"/>
    <x v="2"/>
    <n v="673"/>
    <n v="-6238"/>
    <x v="3"/>
    <n v="-673"/>
    <x v="1"/>
  </r>
  <r>
    <x v="355"/>
    <d v="2020-04-09T00:00:00"/>
    <x v="2"/>
    <n v="644"/>
    <n v="-6882"/>
    <x v="3"/>
    <n v="-644"/>
    <x v="1"/>
  </r>
  <r>
    <x v="356"/>
    <d v="2020-01-20T00:00:00"/>
    <x v="0"/>
    <n v="780"/>
    <n v="780"/>
    <x v="0"/>
    <n v="780"/>
    <x v="0"/>
  </r>
  <r>
    <x v="356"/>
    <d v="2020-02-05T00:00:00"/>
    <x v="2"/>
    <n v="136"/>
    <n v="644"/>
    <x v="2"/>
    <n v="-136"/>
    <x v="0"/>
  </r>
  <r>
    <x v="356"/>
    <d v="2020-02-19T00:00:00"/>
    <x v="0"/>
    <n v="138"/>
    <n v="782"/>
    <x v="2"/>
    <n v="138"/>
    <x v="0"/>
  </r>
  <r>
    <x v="356"/>
    <d v="2020-02-27T00:00:00"/>
    <x v="0"/>
    <n v="96"/>
    <n v="878"/>
    <x v="2"/>
    <n v="96"/>
    <x v="0"/>
  </r>
  <r>
    <x v="356"/>
    <d v="2020-03-28T00:00:00"/>
    <x v="2"/>
    <n v="382"/>
    <n v="496"/>
    <x v="1"/>
    <n v="-382"/>
    <x v="0"/>
  </r>
  <r>
    <x v="356"/>
    <d v="2020-04-16T00:00:00"/>
    <x v="2"/>
    <n v="684"/>
    <n v="-188"/>
    <x v="3"/>
    <n v="-684"/>
    <x v="1"/>
  </r>
  <r>
    <x v="357"/>
    <d v="2020-01-15T00:00:00"/>
    <x v="0"/>
    <n v="129"/>
    <n v="129"/>
    <x v="0"/>
    <n v="129"/>
    <x v="0"/>
  </r>
  <r>
    <x v="357"/>
    <d v="2020-01-16T00:00:00"/>
    <x v="1"/>
    <n v="582"/>
    <n v="-453"/>
    <x v="0"/>
    <n v="-582"/>
    <x v="1"/>
  </r>
  <r>
    <x v="357"/>
    <d v="2020-01-25T00:00:00"/>
    <x v="2"/>
    <n v="992"/>
    <n v="-1445"/>
    <x v="0"/>
    <n v="-992"/>
    <x v="1"/>
  </r>
  <r>
    <x v="357"/>
    <d v="2020-01-29T00:00:00"/>
    <x v="0"/>
    <n v="383"/>
    <n v="-1062"/>
    <x v="0"/>
    <n v="383"/>
    <x v="1"/>
  </r>
  <r>
    <x v="357"/>
    <d v="2020-02-02T00:00:00"/>
    <x v="0"/>
    <n v="443"/>
    <n v="-619"/>
    <x v="2"/>
    <n v="443"/>
    <x v="1"/>
  </r>
  <r>
    <x v="357"/>
    <d v="2020-03-02T00:00:00"/>
    <x v="1"/>
    <n v="340"/>
    <n v="-959"/>
    <x v="1"/>
    <n v="-340"/>
    <x v="1"/>
  </r>
  <r>
    <x v="357"/>
    <d v="2020-03-07T00:00:00"/>
    <x v="0"/>
    <n v="906"/>
    <n v="-53"/>
    <x v="1"/>
    <n v="906"/>
    <x v="1"/>
  </r>
  <r>
    <x v="357"/>
    <d v="2020-03-30T00:00:00"/>
    <x v="1"/>
    <n v="830"/>
    <n v="-883"/>
    <x v="1"/>
    <n v="-830"/>
    <x v="1"/>
  </r>
  <r>
    <x v="357"/>
    <d v="2020-04-02T00:00:00"/>
    <x v="0"/>
    <n v="175"/>
    <n v="-708"/>
    <x v="3"/>
    <n v="175"/>
    <x v="1"/>
  </r>
  <r>
    <x v="358"/>
    <d v="2020-01-09T00:00:00"/>
    <x v="0"/>
    <n v="10"/>
    <n v="10"/>
    <x v="0"/>
    <n v="10"/>
    <x v="0"/>
  </r>
  <r>
    <x v="358"/>
    <d v="2020-01-10T00:00:00"/>
    <x v="0"/>
    <n v="915"/>
    <n v="925"/>
    <x v="0"/>
    <n v="915"/>
    <x v="0"/>
  </r>
  <r>
    <x v="358"/>
    <d v="2020-01-20T00:00:00"/>
    <x v="0"/>
    <n v="136"/>
    <n v="1061"/>
    <x v="0"/>
    <n v="136"/>
    <x v="0"/>
  </r>
  <r>
    <x v="358"/>
    <d v="2020-01-29T00:00:00"/>
    <x v="1"/>
    <n v="171"/>
    <n v="890"/>
    <x v="0"/>
    <n v="-171"/>
    <x v="0"/>
  </r>
  <r>
    <x v="358"/>
    <d v="2020-02-09T00:00:00"/>
    <x v="0"/>
    <n v="434"/>
    <n v="1324"/>
    <x v="2"/>
    <n v="434"/>
    <x v="0"/>
  </r>
  <r>
    <x v="358"/>
    <d v="2020-02-27T00:00:00"/>
    <x v="2"/>
    <n v="40"/>
    <n v="1284"/>
    <x v="2"/>
    <n v="-40"/>
    <x v="0"/>
  </r>
  <r>
    <x v="358"/>
    <d v="2020-03-04T00:00:00"/>
    <x v="0"/>
    <n v="991"/>
    <n v="2275"/>
    <x v="1"/>
    <n v="991"/>
    <x v="0"/>
  </r>
  <r>
    <x v="358"/>
    <d v="2020-03-05T00:00:00"/>
    <x v="0"/>
    <n v="845"/>
    <n v="3120"/>
    <x v="1"/>
    <n v="845"/>
    <x v="0"/>
  </r>
  <r>
    <x v="358"/>
    <d v="2020-03-18T00:00:00"/>
    <x v="0"/>
    <n v="374"/>
    <n v="3494"/>
    <x v="1"/>
    <n v="374"/>
    <x v="0"/>
  </r>
  <r>
    <x v="358"/>
    <d v="2020-03-24T00:00:00"/>
    <x v="2"/>
    <n v="335"/>
    <n v="3159"/>
    <x v="1"/>
    <n v="-335"/>
    <x v="0"/>
  </r>
  <r>
    <x v="358"/>
    <d v="2020-04-07T00:00:00"/>
    <x v="1"/>
    <n v="281"/>
    <n v="2878"/>
    <x v="3"/>
    <n v="-281"/>
    <x v="0"/>
  </r>
  <r>
    <x v="359"/>
    <d v="2020-01-16T00:00:00"/>
    <x v="0"/>
    <n v="385"/>
    <n v="385"/>
    <x v="0"/>
    <n v="385"/>
    <x v="0"/>
  </r>
  <r>
    <x v="359"/>
    <d v="2020-01-19T00:00:00"/>
    <x v="2"/>
    <n v="77"/>
    <n v="308"/>
    <x v="0"/>
    <n v="-77"/>
    <x v="0"/>
  </r>
  <r>
    <x v="359"/>
    <d v="2020-01-20T00:00:00"/>
    <x v="0"/>
    <n v="549"/>
    <n v="857"/>
    <x v="0"/>
    <n v="549"/>
    <x v="0"/>
  </r>
  <r>
    <x v="359"/>
    <d v="2020-01-25T00:00:00"/>
    <x v="2"/>
    <n v="915"/>
    <n v="-58"/>
    <x v="0"/>
    <n v="-915"/>
    <x v="1"/>
  </r>
  <r>
    <x v="359"/>
    <d v="2020-01-26T00:00:00"/>
    <x v="1"/>
    <n v="159"/>
    <n v="-217"/>
    <x v="0"/>
    <n v="-159"/>
    <x v="1"/>
  </r>
  <r>
    <x v="359"/>
    <d v="2020-01-27T00:00:00"/>
    <x v="2"/>
    <n v="628"/>
    <n v="-845"/>
    <x v="0"/>
    <n v="-628"/>
    <x v="1"/>
  </r>
  <r>
    <x v="359"/>
    <d v="2020-01-31T00:00:00"/>
    <x v="2"/>
    <n v="461"/>
    <n v="-1306"/>
    <x v="0"/>
    <n v="-461"/>
    <x v="1"/>
  </r>
  <r>
    <x v="359"/>
    <d v="2020-02-10T00:00:00"/>
    <x v="0"/>
    <n v="912"/>
    <n v="-394"/>
    <x v="2"/>
    <n v="912"/>
    <x v="1"/>
  </r>
  <r>
    <x v="359"/>
    <d v="2020-02-21T00:00:00"/>
    <x v="1"/>
    <n v="21"/>
    <n v="-415"/>
    <x v="2"/>
    <n v="-21"/>
    <x v="1"/>
  </r>
  <r>
    <x v="359"/>
    <d v="2020-02-23T00:00:00"/>
    <x v="2"/>
    <n v="337"/>
    <n v="-752"/>
    <x v="2"/>
    <n v="-337"/>
    <x v="1"/>
  </r>
  <r>
    <x v="359"/>
    <d v="2020-02-27T00:00:00"/>
    <x v="2"/>
    <n v="654"/>
    <n v="-1406"/>
    <x v="2"/>
    <n v="-654"/>
    <x v="1"/>
  </r>
  <r>
    <x v="359"/>
    <d v="2020-02-27T00:00:00"/>
    <x v="0"/>
    <n v="979"/>
    <n v="-427"/>
    <x v="2"/>
    <n v="979"/>
    <x v="1"/>
  </r>
  <r>
    <x v="359"/>
    <d v="2020-03-12T00:00:00"/>
    <x v="1"/>
    <n v="951"/>
    <n v="-1378"/>
    <x v="1"/>
    <n v="-951"/>
    <x v="1"/>
  </r>
  <r>
    <x v="359"/>
    <d v="2020-03-17T00:00:00"/>
    <x v="2"/>
    <n v="408"/>
    <n v="-1786"/>
    <x v="1"/>
    <n v="-408"/>
    <x v="1"/>
  </r>
  <r>
    <x v="359"/>
    <d v="2020-03-28T00:00:00"/>
    <x v="0"/>
    <n v="531"/>
    <n v="-1255"/>
    <x v="1"/>
    <n v="531"/>
    <x v="1"/>
  </r>
  <r>
    <x v="359"/>
    <d v="2020-04-04T00:00:00"/>
    <x v="0"/>
    <n v="977"/>
    <n v="-278"/>
    <x v="3"/>
    <n v="977"/>
    <x v="1"/>
  </r>
  <r>
    <x v="359"/>
    <d v="2020-04-06T00:00:00"/>
    <x v="1"/>
    <n v="954"/>
    <n v="-1232"/>
    <x v="3"/>
    <n v="-954"/>
    <x v="1"/>
  </r>
  <r>
    <x v="359"/>
    <d v="2020-04-11T00:00:00"/>
    <x v="0"/>
    <n v="908"/>
    <n v="-324"/>
    <x v="3"/>
    <n v="908"/>
    <x v="1"/>
  </r>
  <r>
    <x v="360"/>
    <d v="2020-01-12T00:00:00"/>
    <x v="2"/>
    <n v="457"/>
    <n v="-457"/>
    <x v="0"/>
    <n v="-457"/>
    <x v="1"/>
  </r>
  <r>
    <x v="360"/>
    <d v="2020-01-12T00:00:00"/>
    <x v="0"/>
    <n v="797"/>
    <n v="340"/>
    <x v="0"/>
    <n v="797"/>
    <x v="0"/>
  </r>
  <r>
    <x v="360"/>
    <d v="2020-02-12T00:00:00"/>
    <x v="0"/>
    <n v="109"/>
    <n v="449"/>
    <x v="2"/>
    <n v="109"/>
    <x v="0"/>
  </r>
  <r>
    <x v="360"/>
    <d v="2020-02-21T00:00:00"/>
    <x v="0"/>
    <n v="323"/>
    <n v="772"/>
    <x v="2"/>
    <n v="323"/>
    <x v="0"/>
  </r>
  <r>
    <x v="361"/>
    <d v="2020-01-28T00:00:00"/>
    <x v="0"/>
    <n v="416"/>
    <n v="416"/>
    <x v="0"/>
    <n v="416"/>
    <x v="0"/>
  </r>
  <r>
    <x v="361"/>
    <d v="2020-02-13T00:00:00"/>
    <x v="0"/>
    <n v="65"/>
    <n v="481"/>
    <x v="2"/>
    <n v="65"/>
    <x v="0"/>
  </r>
  <r>
    <x v="361"/>
    <d v="2020-03-26T00:00:00"/>
    <x v="2"/>
    <n v="74"/>
    <n v="407"/>
    <x v="1"/>
    <n v="-74"/>
    <x v="0"/>
  </r>
  <r>
    <x v="361"/>
    <d v="2020-03-27T00:00:00"/>
    <x v="1"/>
    <n v="971"/>
    <n v="-564"/>
    <x v="1"/>
    <n v="-971"/>
    <x v="1"/>
  </r>
  <r>
    <x v="361"/>
    <d v="2020-04-10T00:00:00"/>
    <x v="0"/>
    <n v="463"/>
    <n v="-101"/>
    <x v="3"/>
    <n v="463"/>
    <x v="1"/>
  </r>
  <r>
    <x v="361"/>
    <d v="2020-04-22T00:00:00"/>
    <x v="0"/>
    <n v="716"/>
    <n v="615"/>
    <x v="3"/>
    <n v="716"/>
    <x v="0"/>
  </r>
  <r>
    <x v="362"/>
    <d v="2020-01-06T00:00:00"/>
    <x v="0"/>
    <n v="99"/>
    <n v="99"/>
    <x v="0"/>
    <n v="99"/>
    <x v="0"/>
  </r>
  <r>
    <x v="362"/>
    <d v="2020-01-06T00:00:00"/>
    <x v="0"/>
    <n v="622"/>
    <n v="721"/>
    <x v="0"/>
    <n v="622"/>
    <x v="0"/>
  </r>
  <r>
    <x v="362"/>
    <d v="2020-01-29T00:00:00"/>
    <x v="0"/>
    <n v="256"/>
    <n v="977"/>
    <x v="0"/>
    <n v="256"/>
    <x v="0"/>
  </r>
  <r>
    <x v="362"/>
    <d v="2020-02-06T00:00:00"/>
    <x v="1"/>
    <n v="551"/>
    <n v="426"/>
    <x v="2"/>
    <n v="-551"/>
    <x v="0"/>
  </r>
  <r>
    <x v="362"/>
    <d v="2020-02-10T00:00:00"/>
    <x v="2"/>
    <n v="533"/>
    <n v="-107"/>
    <x v="2"/>
    <n v="-533"/>
    <x v="1"/>
  </r>
  <r>
    <x v="362"/>
    <d v="2020-02-14T00:00:00"/>
    <x v="0"/>
    <n v="301"/>
    <n v="194"/>
    <x v="2"/>
    <n v="301"/>
    <x v="0"/>
  </r>
  <r>
    <x v="362"/>
    <d v="2020-02-23T00:00:00"/>
    <x v="1"/>
    <n v="812"/>
    <n v="-618"/>
    <x v="2"/>
    <n v="-812"/>
    <x v="1"/>
  </r>
  <r>
    <x v="362"/>
    <d v="2020-03-01T00:00:00"/>
    <x v="2"/>
    <n v="966"/>
    <n v="-1584"/>
    <x v="1"/>
    <n v="-966"/>
    <x v="1"/>
  </r>
  <r>
    <x v="362"/>
    <d v="2020-03-04T00:00:00"/>
    <x v="1"/>
    <n v="563"/>
    <n v="-2147"/>
    <x v="1"/>
    <n v="-563"/>
    <x v="1"/>
  </r>
  <r>
    <x v="362"/>
    <d v="2020-03-06T00:00:00"/>
    <x v="0"/>
    <n v="266"/>
    <n v="-1881"/>
    <x v="1"/>
    <n v="266"/>
    <x v="1"/>
  </r>
  <r>
    <x v="362"/>
    <d v="2020-03-26T00:00:00"/>
    <x v="2"/>
    <n v="462"/>
    <n v="-2343"/>
    <x v="1"/>
    <n v="-462"/>
    <x v="1"/>
  </r>
  <r>
    <x v="362"/>
    <d v="2020-03-28T00:00:00"/>
    <x v="2"/>
    <n v="722"/>
    <n v="-3065"/>
    <x v="1"/>
    <n v="-722"/>
    <x v="1"/>
  </r>
  <r>
    <x v="362"/>
    <d v="2020-04-01T00:00:00"/>
    <x v="0"/>
    <n v="179"/>
    <n v="-2886"/>
    <x v="3"/>
    <n v="179"/>
    <x v="1"/>
  </r>
  <r>
    <x v="363"/>
    <d v="2020-01-10T00:00:00"/>
    <x v="0"/>
    <n v="563"/>
    <n v="563"/>
    <x v="0"/>
    <n v="563"/>
    <x v="0"/>
  </r>
  <r>
    <x v="363"/>
    <d v="2020-01-22T00:00:00"/>
    <x v="2"/>
    <n v="365"/>
    <n v="198"/>
    <x v="0"/>
    <n v="-365"/>
    <x v="0"/>
  </r>
  <r>
    <x v="363"/>
    <d v="2020-01-25T00:00:00"/>
    <x v="1"/>
    <n v="255"/>
    <n v="-57"/>
    <x v="0"/>
    <n v="-255"/>
    <x v="1"/>
  </r>
  <r>
    <x v="363"/>
    <d v="2020-02-11T00:00:00"/>
    <x v="2"/>
    <n v="469"/>
    <n v="-526"/>
    <x v="2"/>
    <n v="-469"/>
    <x v="1"/>
  </r>
  <r>
    <x v="363"/>
    <d v="2020-02-13T00:00:00"/>
    <x v="0"/>
    <n v="87"/>
    <n v="-439"/>
    <x v="2"/>
    <n v="87"/>
    <x v="1"/>
  </r>
  <r>
    <x v="363"/>
    <d v="2020-02-15T00:00:00"/>
    <x v="0"/>
    <n v="846"/>
    <n v="407"/>
    <x v="2"/>
    <n v="846"/>
    <x v="0"/>
  </r>
  <r>
    <x v="363"/>
    <d v="2020-02-15T00:00:00"/>
    <x v="2"/>
    <n v="211"/>
    <n v="196"/>
    <x v="2"/>
    <n v="-211"/>
    <x v="0"/>
  </r>
  <r>
    <x v="363"/>
    <d v="2020-02-16T00:00:00"/>
    <x v="0"/>
    <n v="127"/>
    <n v="323"/>
    <x v="2"/>
    <n v="127"/>
    <x v="0"/>
  </r>
  <r>
    <x v="363"/>
    <d v="2020-02-21T00:00:00"/>
    <x v="1"/>
    <n v="704"/>
    <n v="-381"/>
    <x v="2"/>
    <n v="-704"/>
    <x v="1"/>
  </r>
  <r>
    <x v="363"/>
    <d v="2020-02-25T00:00:00"/>
    <x v="2"/>
    <n v="75"/>
    <n v="-456"/>
    <x v="2"/>
    <n v="-75"/>
    <x v="1"/>
  </r>
  <r>
    <x v="363"/>
    <d v="2020-03-02T00:00:00"/>
    <x v="2"/>
    <n v="543"/>
    <n v="-999"/>
    <x v="1"/>
    <n v="-543"/>
    <x v="1"/>
  </r>
  <r>
    <x v="363"/>
    <d v="2020-03-04T00:00:00"/>
    <x v="0"/>
    <n v="615"/>
    <n v="-384"/>
    <x v="1"/>
    <n v="615"/>
    <x v="1"/>
  </r>
  <r>
    <x v="363"/>
    <d v="2020-03-04T00:00:00"/>
    <x v="0"/>
    <n v="512"/>
    <n v="128"/>
    <x v="1"/>
    <n v="512"/>
    <x v="0"/>
  </r>
  <r>
    <x v="363"/>
    <d v="2020-03-13T00:00:00"/>
    <x v="2"/>
    <n v="241"/>
    <n v="-113"/>
    <x v="1"/>
    <n v="-241"/>
    <x v="1"/>
  </r>
  <r>
    <x v="363"/>
    <d v="2020-03-14T00:00:00"/>
    <x v="0"/>
    <n v="736"/>
    <n v="623"/>
    <x v="1"/>
    <n v="736"/>
    <x v="0"/>
  </r>
  <r>
    <x v="363"/>
    <d v="2020-03-17T00:00:00"/>
    <x v="0"/>
    <n v="550"/>
    <n v="1173"/>
    <x v="1"/>
    <n v="550"/>
    <x v="0"/>
  </r>
  <r>
    <x v="363"/>
    <d v="2020-04-06T00:00:00"/>
    <x v="0"/>
    <n v="537"/>
    <n v="1710"/>
    <x v="3"/>
    <n v="537"/>
    <x v="0"/>
  </r>
  <r>
    <x v="363"/>
    <d v="2020-04-06T00:00:00"/>
    <x v="2"/>
    <n v="899"/>
    <n v="811"/>
    <x v="3"/>
    <n v="-899"/>
    <x v="0"/>
  </r>
  <r>
    <x v="364"/>
    <d v="2020-01-25T00:00:00"/>
    <x v="0"/>
    <n v="595"/>
    <n v="595"/>
    <x v="0"/>
    <n v="595"/>
    <x v="0"/>
  </r>
  <r>
    <x v="364"/>
    <d v="2020-01-26T00:00:00"/>
    <x v="2"/>
    <n v="412"/>
    <n v="183"/>
    <x v="0"/>
    <n v="-412"/>
    <x v="0"/>
  </r>
  <r>
    <x v="364"/>
    <d v="2020-01-28T00:00:00"/>
    <x v="2"/>
    <n v="251"/>
    <n v="-68"/>
    <x v="0"/>
    <n v="-251"/>
    <x v="1"/>
  </r>
  <r>
    <x v="364"/>
    <d v="2020-02-04T00:00:00"/>
    <x v="0"/>
    <n v="355"/>
    <n v="287"/>
    <x v="2"/>
    <n v="355"/>
    <x v="0"/>
  </r>
  <r>
    <x v="364"/>
    <d v="2020-02-21T00:00:00"/>
    <x v="0"/>
    <n v="715"/>
    <n v="1002"/>
    <x v="2"/>
    <n v="715"/>
    <x v="0"/>
  </r>
  <r>
    <x v="364"/>
    <d v="2020-02-25T00:00:00"/>
    <x v="1"/>
    <n v="462"/>
    <n v="540"/>
    <x v="2"/>
    <n v="-462"/>
    <x v="0"/>
  </r>
  <r>
    <x v="364"/>
    <d v="2020-02-27T00:00:00"/>
    <x v="2"/>
    <n v="296"/>
    <n v="244"/>
    <x v="2"/>
    <n v="-296"/>
    <x v="0"/>
  </r>
  <r>
    <x v="364"/>
    <d v="2020-03-12T00:00:00"/>
    <x v="2"/>
    <n v="750"/>
    <n v="-506"/>
    <x v="1"/>
    <n v="-750"/>
    <x v="1"/>
  </r>
  <r>
    <x v="364"/>
    <d v="2020-03-21T00:00:00"/>
    <x v="0"/>
    <n v="689"/>
    <n v="183"/>
    <x v="1"/>
    <n v="689"/>
    <x v="0"/>
  </r>
  <r>
    <x v="364"/>
    <d v="2020-03-25T00:00:00"/>
    <x v="1"/>
    <n v="152"/>
    <n v="31"/>
    <x v="1"/>
    <n v="-152"/>
    <x v="0"/>
  </r>
  <r>
    <x v="364"/>
    <d v="2020-03-30T00:00:00"/>
    <x v="1"/>
    <n v="106"/>
    <n v="-75"/>
    <x v="1"/>
    <n v="-106"/>
    <x v="1"/>
  </r>
  <r>
    <x v="364"/>
    <d v="2020-04-08T00:00:00"/>
    <x v="0"/>
    <n v="469"/>
    <n v="394"/>
    <x v="3"/>
    <n v="469"/>
    <x v="0"/>
  </r>
  <r>
    <x v="364"/>
    <d v="2020-04-15T00:00:00"/>
    <x v="2"/>
    <n v="229"/>
    <n v="165"/>
    <x v="3"/>
    <n v="-229"/>
    <x v="0"/>
  </r>
  <r>
    <x v="364"/>
    <d v="2020-04-23T00:00:00"/>
    <x v="1"/>
    <n v="925"/>
    <n v="-760"/>
    <x v="3"/>
    <n v="-925"/>
    <x v="1"/>
  </r>
  <r>
    <x v="365"/>
    <d v="2020-01-21T00:00:00"/>
    <x v="0"/>
    <n v="965"/>
    <n v="965"/>
    <x v="0"/>
    <n v="965"/>
    <x v="0"/>
  </r>
  <r>
    <x v="365"/>
    <d v="2020-01-25T00:00:00"/>
    <x v="1"/>
    <n v="708"/>
    <n v="257"/>
    <x v="0"/>
    <n v="-708"/>
    <x v="0"/>
  </r>
  <r>
    <x v="365"/>
    <d v="2020-01-26T00:00:00"/>
    <x v="2"/>
    <n v="308"/>
    <n v="-51"/>
    <x v="0"/>
    <n v="-308"/>
    <x v="1"/>
  </r>
  <r>
    <x v="365"/>
    <d v="2020-02-03T00:00:00"/>
    <x v="0"/>
    <n v="444"/>
    <n v="393"/>
    <x v="2"/>
    <n v="444"/>
    <x v="0"/>
  </r>
  <r>
    <x v="365"/>
    <d v="2020-02-04T00:00:00"/>
    <x v="0"/>
    <n v="9"/>
    <n v="402"/>
    <x v="2"/>
    <n v="9"/>
    <x v="0"/>
  </r>
  <r>
    <x v="365"/>
    <d v="2020-02-05T00:00:00"/>
    <x v="0"/>
    <n v="707"/>
    <n v="1109"/>
    <x v="2"/>
    <n v="707"/>
    <x v="0"/>
  </r>
  <r>
    <x v="365"/>
    <d v="2020-02-12T00:00:00"/>
    <x v="0"/>
    <n v="944"/>
    <n v="2053"/>
    <x v="2"/>
    <n v="944"/>
    <x v="0"/>
  </r>
  <r>
    <x v="365"/>
    <d v="2020-02-12T00:00:00"/>
    <x v="2"/>
    <n v="530"/>
    <n v="1523"/>
    <x v="2"/>
    <n v="-530"/>
    <x v="0"/>
  </r>
  <r>
    <x v="365"/>
    <d v="2020-02-21T00:00:00"/>
    <x v="0"/>
    <n v="569"/>
    <n v="2092"/>
    <x v="2"/>
    <n v="569"/>
    <x v="0"/>
  </r>
  <r>
    <x v="365"/>
    <d v="2020-02-22T00:00:00"/>
    <x v="2"/>
    <n v="756"/>
    <n v="1336"/>
    <x v="2"/>
    <n v="-756"/>
    <x v="0"/>
  </r>
  <r>
    <x v="365"/>
    <d v="2020-02-22T00:00:00"/>
    <x v="0"/>
    <n v="297"/>
    <n v="1633"/>
    <x v="2"/>
    <n v="297"/>
    <x v="0"/>
  </r>
  <r>
    <x v="365"/>
    <d v="2020-02-23T00:00:00"/>
    <x v="1"/>
    <n v="760"/>
    <n v="873"/>
    <x v="2"/>
    <n v="-760"/>
    <x v="0"/>
  </r>
  <r>
    <x v="365"/>
    <d v="2020-02-23T00:00:00"/>
    <x v="2"/>
    <n v="819"/>
    <n v="54"/>
    <x v="2"/>
    <n v="-819"/>
    <x v="0"/>
  </r>
  <r>
    <x v="365"/>
    <d v="2020-02-24T00:00:00"/>
    <x v="2"/>
    <n v="147"/>
    <n v="-93"/>
    <x v="2"/>
    <n v="-147"/>
    <x v="1"/>
  </r>
  <r>
    <x v="365"/>
    <d v="2020-03-03T00:00:00"/>
    <x v="2"/>
    <n v="401"/>
    <n v="-494"/>
    <x v="1"/>
    <n v="-401"/>
    <x v="1"/>
  </r>
  <r>
    <x v="365"/>
    <d v="2020-03-05T00:00:00"/>
    <x v="1"/>
    <n v="19"/>
    <n v="-513"/>
    <x v="1"/>
    <n v="-19"/>
    <x v="1"/>
  </r>
  <r>
    <x v="365"/>
    <d v="2020-03-07T00:00:00"/>
    <x v="1"/>
    <n v="270"/>
    <n v="-783"/>
    <x v="1"/>
    <n v="-270"/>
    <x v="1"/>
  </r>
  <r>
    <x v="365"/>
    <d v="2020-03-14T00:00:00"/>
    <x v="2"/>
    <n v="291"/>
    <n v="-1074"/>
    <x v="1"/>
    <n v="-291"/>
    <x v="1"/>
  </r>
  <r>
    <x v="365"/>
    <d v="2020-03-27T00:00:00"/>
    <x v="1"/>
    <n v="174"/>
    <n v="-1248"/>
    <x v="1"/>
    <n v="-174"/>
    <x v="1"/>
  </r>
  <r>
    <x v="365"/>
    <d v="2020-03-28T00:00:00"/>
    <x v="2"/>
    <n v="57"/>
    <n v="-1305"/>
    <x v="1"/>
    <n v="-57"/>
    <x v="1"/>
  </r>
  <r>
    <x v="365"/>
    <d v="2020-04-03T00:00:00"/>
    <x v="0"/>
    <n v="209"/>
    <n v="-1096"/>
    <x v="3"/>
    <n v="209"/>
    <x v="1"/>
  </r>
  <r>
    <x v="366"/>
    <d v="2020-01-29T00:00:00"/>
    <x v="0"/>
    <n v="239"/>
    <n v="239"/>
    <x v="0"/>
    <n v="239"/>
    <x v="0"/>
  </r>
  <r>
    <x v="366"/>
    <d v="2020-02-07T00:00:00"/>
    <x v="1"/>
    <n v="693"/>
    <n v="-454"/>
    <x v="2"/>
    <n v="-693"/>
    <x v="1"/>
  </r>
  <r>
    <x v="366"/>
    <d v="2020-02-08T00:00:00"/>
    <x v="2"/>
    <n v="460"/>
    <n v="-914"/>
    <x v="2"/>
    <n v="-460"/>
    <x v="1"/>
  </r>
  <r>
    <x v="366"/>
    <d v="2020-02-16T00:00:00"/>
    <x v="2"/>
    <n v="394"/>
    <n v="-1308"/>
    <x v="2"/>
    <n v="-394"/>
    <x v="1"/>
  </r>
  <r>
    <x v="366"/>
    <d v="2020-02-16T00:00:00"/>
    <x v="0"/>
    <n v="595"/>
    <n v="-713"/>
    <x v="2"/>
    <n v="595"/>
    <x v="1"/>
  </r>
  <r>
    <x v="366"/>
    <d v="2020-02-17T00:00:00"/>
    <x v="0"/>
    <n v="581"/>
    <n v="-132"/>
    <x v="2"/>
    <n v="581"/>
    <x v="1"/>
  </r>
  <r>
    <x v="366"/>
    <d v="2020-02-24T00:00:00"/>
    <x v="1"/>
    <n v="335"/>
    <n v="-467"/>
    <x v="2"/>
    <n v="-335"/>
    <x v="1"/>
  </r>
  <r>
    <x v="366"/>
    <d v="2020-03-03T00:00:00"/>
    <x v="2"/>
    <n v="987"/>
    <n v="-1454"/>
    <x v="1"/>
    <n v="-987"/>
    <x v="1"/>
  </r>
  <r>
    <x v="366"/>
    <d v="2020-03-06T00:00:00"/>
    <x v="2"/>
    <n v="779"/>
    <n v="-2233"/>
    <x v="1"/>
    <n v="-779"/>
    <x v="1"/>
  </r>
  <r>
    <x v="366"/>
    <d v="2020-03-12T00:00:00"/>
    <x v="2"/>
    <n v="784"/>
    <n v="-3017"/>
    <x v="1"/>
    <n v="-784"/>
    <x v="1"/>
  </r>
  <r>
    <x v="366"/>
    <d v="2020-03-17T00:00:00"/>
    <x v="2"/>
    <n v="84"/>
    <n v="-3101"/>
    <x v="1"/>
    <n v="-84"/>
    <x v="1"/>
  </r>
  <r>
    <x v="366"/>
    <d v="2020-04-05T00:00:00"/>
    <x v="0"/>
    <n v="694"/>
    <n v="-2407"/>
    <x v="3"/>
    <n v="694"/>
    <x v="1"/>
  </r>
  <r>
    <x v="366"/>
    <d v="2020-04-06T00:00:00"/>
    <x v="0"/>
    <n v="355"/>
    <n v="-2052"/>
    <x v="3"/>
    <n v="355"/>
    <x v="1"/>
  </r>
  <r>
    <x v="366"/>
    <d v="2020-04-11T00:00:00"/>
    <x v="2"/>
    <n v="144"/>
    <n v="-2196"/>
    <x v="3"/>
    <n v="-144"/>
    <x v="1"/>
  </r>
  <r>
    <x v="366"/>
    <d v="2020-04-18T00:00:00"/>
    <x v="0"/>
    <n v="499"/>
    <n v="-1697"/>
    <x v="3"/>
    <n v="499"/>
    <x v="1"/>
  </r>
  <r>
    <x v="367"/>
    <d v="2020-01-17T00:00:00"/>
    <x v="0"/>
    <n v="100"/>
    <n v="100"/>
    <x v="0"/>
    <n v="100"/>
    <x v="0"/>
  </r>
  <r>
    <x v="367"/>
    <d v="2020-01-28T00:00:00"/>
    <x v="2"/>
    <n v="903"/>
    <n v="-803"/>
    <x v="0"/>
    <n v="-903"/>
    <x v="1"/>
  </r>
  <r>
    <x v="367"/>
    <d v="2020-01-30T00:00:00"/>
    <x v="0"/>
    <n v="277"/>
    <n v="-526"/>
    <x v="0"/>
    <n v="277"/>
    <x v="1"/>
  </r>
  <r>
    <x v="367"/>
    <d v="2020-02-02T00:00:00"/>
    <x v="1"/>
    <n v="232"/>
    <n v="-758"/>
    <x v="2"/>
    <n v="-232"/>
    <x v="1"/>
  </r>
  <r>
    <x v="367"/>
    <d v="2020-02-03T00:00:00"/>
    <x v="2"/>
    <n v="510"/>
    <n v="-1268"/>
    <x v="2"/>
    <n v="-510"/>
    <x v="1"/>
  </r>
  <r>
    <x v="367"/>
    <d v="2020-02-06T00:00:00"/>
    <x v="0"/>
    <n v="450"/>
    <n v="-818"/>
    <x v="2"/>
    <n v="450"/>
    <x v="1"/>
  </r>
  <r>
    <x v="367"/>
    <d v="2020-02-07T00:00:00"/>
    <x v="2"/>
    <n v="242"/>
    <n v="-1060"/>
    <x v="2"/>
    <n v="-242"/>
    <x v="1"/>
  </r>
  <r>
    <x v="367"/>
    <d v="2020-02-12T00:00:00"/>
    <x v="1"/>
    <n v="910"/>
    <n v="-1970"/>
    <x v="2"/>
    <n v="-910"/>
    <x v="1"/>
  </r>
  <r>
    <x v="367"/>
    <d v="2020-02-17T00:00:00"/>
    <x v="2"/>
    <n v="296"/>
    <n v="-2266"/>
    <x v="2"/>
    <n v="-296"/>
    <x v="1"/>
  </r>
  <r>
    <x v="367"/>
    <d v="2020-02-18T00:00:00"/>
    <x v="2"/>
    <n v="626"/>
    <n v="-2892"/>
    <x v="2"/>
    <n v="-626"/>
    <x v="1"/>
  </r>
  <r>
    <x v="367"/>
    <d v="2020-02-21T00:00:00"/>
    <x v="2"/>
    <n v="598"/>
    <n v="-3490"/>
    <x v="2"/>
    <n v="-598"/>
    <x v="1"/>
  </r>
  <r>
    <x v="367"/>
    <d v="2020-03-04T00:00:00"/>
    <x v="1"/>
    <n v="147"/>
    <n v="-3637"/>
    <x v="1"/>
    <n v="-147"/>
    <x v="1"/>
  </r>
  <r>
    <x v="367"/>
    <d v="2020-03-18T00:00:00"/>
    <x v="0"/>
    <n v="782"/>
    <n v="-2855"/>
    <x v="1"/>
    <n v="782"/>
    <x v="1"/>
  </r>
  <r>
    <x v="367"/>
    <d v="2020-03-22T00:00:00"/>
    <x v="0"/>
    <n v="952"/>
    <n v="-1903"/>
    <x v="1"/>
    <n v="952"/>
    <x v="1"/>
  </r>
  <r>
    <x v="367"/>
    <d v="2020-03-29T00:00:00"/>
    <x v="0"/>
    <n v="934"/>
    <n v="-969"/>
    <x v="1"/>
    <n v="934"/>
    <x v="1"/>
  </r>
  <r>
    <x v="367"/>
    <d v="2020-03-30T00:00:00"/>
    <x v="1"/>
    <n v="507"/>
    <n v="-1476"/>
    <x v="1"/>
    <n v="-507"/>
    <x v="1"/>
  </r>
  <r>
    <x v="367"/>
    <d v="2020-04-01T00:00:00"/>
    <x v="1"/>
    <n v="208"/>
    <n v="-1684"/>
    <x v="3"/>
    <n v="-208"/>
    <x v="1"/>
  </r>
  <r>
    <x v="367"/>
    <d v="2020-04-08T00:00:00"/>
    <x v="2"/>
    <n v="282"/>
    <n v="-1966"/>
    <x v="3"/>
    <n v="-282"/>
    <x v="1"/>
  </r>
  <r>
    <x v="367"/>
    <d v="2020-04-11T00:00:00"/>
    <x v="2"/>
    <n v="387"/>
    <n v="-2353"/>
    <x v="3"/>
    <n v="-387"/>
    <x v="1"/>
  </r>
  <r>
    <x v="367"/>
    <d v="2020-04-14T00:00:00"/>
    <x v="1"/>
    <n v="507"/>
    <n v="-2860"/>
    <x v="3"/>
    <n v="-507"/>
    <x v="1"/>
  </r>
  <r>
    <x v="368"/>
    <d v="2020-01-25T00:00:00"/>
    <x v="0"/>
    <n v="376"/>
    <n v="376"/>
    <x v="0"/>
    <n v="376"/>
    <x v="0"/>
  </r>
  <r>
    <x v="368"/>
    <d v="2020-01-28T00:00:00"/>
    <x v="2"/>
    <n v="110"/>
    <n v="266"/>
    <x v="0"/>
    <n v="-110"/>
    <x v="0"/>
  </r>
  <r>
    <x v="368"/>
    <d v="2020-03-04T00:00:00"/>
    <x v="0"/>
    <n v="958"/>
    <n v="1224"/>
    <x v="1"/>
    <n v="958"/>
    <x v="0"/>
  </r>
  <r>
    <x v="368"/>
    <d v="2020-03-12T00:00:00"/>
    <x v="0"/>
    <n v="971"/>
    <n v="2195"/>
    <x v="1"/>
    <n v="971"/>
    <x v="0"/>
  </r>
  <r>
    <x v="368"/>
    <d v="2020-03-16T00:00:00"/>
    <x v="1"/>
    <n v="516"/>
    <n v="1679"/>
    <x v="1"/>
    <n v="-516"/>
    <x v="0"/>
  </r>
  <r>
    <x v="369"/>
    <d v="2020-01-13T00:00:00"/>
    <x v="0"/>
    <n v="363"/>
    <n v="363"/>
    <x v="0"/>
    <n v="363"/>
    <x v="0"/>
  </r>
  <r>
    <x v="369"/>
    <d v="2020-01-18T00:00:00"/>
    <x v="1"/>
    <n v="161"/>
    <n v="202"/>
    <x v="0"/>
    <n v="-161"/>
    <x v="0"/>
  </r>
  <r>
    <x v="369"/>
    <d v="2020-01-20T00:00:00"/>
    <x v="2"/>
    <n v="903"/>
    <n v="-701"/>
    <x v="0"/>
    <n v="-903"/>
    <x v="1"/>
  </r>
  <r>
    <x v="369"/>
    <d v="2020-01-20T00:00:00"/>
    <x v="2"/>
    <n v="572"/>
    <n v="-1273"/>
    <x v="0"/>
    <n v="-572"/>
    <x v="1"/>
  </r>
  <r>
    <x v="369"/>
    <d v="2020-01-26T00:00:00"/>
    <x v="1"/>
    <n v="329"/>
    <n v="-1602"/>
    <x v="0"/>
    <n v="-329"/>
    <x v="1"/>
  </r>
  <r>
    <x v="369"/>
    <d v="2020-01-30T00:00:00"/>
    <x v="2"/>
    <n v="693"/>
    <n v="-2295"/>
    <x v="0"/>
    <n v="-693"/>
    <x v="1"/>
  </r>
  <r>
    <x v="369"/>
    <d v="2020-02-08T00:00:00"/>
    <x v="1"/>
    <n v="928"/>
    <n v="-3223"/>
    <x v="2"/>
    <n v="-928"/>
    <x v="1"/>
  </r>
  <r>
    <x v="369"/>
    <d v="2020-02-09T00:00:00"/>
    <x v="0"/>
    <n v="452"/>
    <n v="-2771"/>
    <x v="2"/>
    <n v="452"/>
    <x v="1"/>
  </r>
  <r>
    <x v="369"/>
    <d v="2020-02-16T00:00:00"/>
    <x v="0"/>
    <n v="582"/>
    <n v="-2189"/>
    <x v="2"/>
    <n v="582"/>
    <x v="1"/>
  </r>
  <r>
    <x v="369"/>
    <d v="2020-02-18T00:00:00"/>
    <x v="0"/>
    <n v="393"/>
    <n v="-1796"/>
    <x v="2"/>
    <n v="393"/>
    <x v="1"/>
  </r>
  <r>
    <x v="369"/>
    <d v="2020-02-26T00:00:00"/>
    <x v="0"/>
    <n v="161"/>
    <n v="-1635"/>
    <x v="2"/>
    <n v="161"/>
    <x v="1"/>
  </r>
  <r>
    <x v="369"/>
    <d v="2020-03-13T00:00:00"/>
    <x v="0"/>
    <n v="175"/>
    <n v="-1460"/>
    <x v="1"/>
    <n v="175"/>
    <x v="1"/>
  </r>
  <r>
    <x v="369"/>
    <d v="2020-03-13T00:00:00"/>
    <x v="1"/>
    <n v="520"/>
    <n v="-1980"/>
    <x v="1"/>
    <n v="-520"/>
    <x v="1"/>
  </r>
  <r>
    <x v="369"/>
    <d v="2020-03-23T00:00:00"/>
    <x v="0"/>
    <n v="669"/>
    <n v="-1311"/>
    <x v="1"/>
    <n v="669"/>
    <x v="1"/>
  </r>
  <r>
    <x v="369"/>
    <d v="2020-04-06T00:00:00"/>
    <x v="0"/>
    <n v="597"/>
    <n v="-714"/>
    <x v="3"/>
    <n v="597"/>
    <x v="1"/>
  </r>
  <r>
    <x v="369"/>
    <d v="2020-04-09T00:00:00"/>
    <x v="1"/>
    <n v="782"/>
    <n v="-1496"/>
    <x v="3"/>
    <n v="-782"/>
    <x v="1"/>
  </r>
  <r>
    <x v="370"/>
    <d v="2020-01-21T00:00:00"/>
    <x v="0"/>
    <n v="528"/>
    <n v="528"/>
    <x v="0"/>
    <n v="528"/>
    <x v="0"/>
  </r>
  <r>
    <x v="370"/>
    <d v="2020-01-29T00:00:00"/>
    <x v="1"/>
    <n v="662"/>
    <n v="-134"/>
    <x v="0"/>
    <n v="-662"/>
    <x v="1"/>
  </r>
  <r>
    <x v="370"/>
    <d v="2020-02-04T00:00:00"/>
    <x v="1"/>
    <n v="685"/>
    <n v="-819"/>
    <x v="2"/>
    <n v="-685"/>
    <x v="1"/>
  </r>
  <r>
    <x v="370"/>
    <d v="2020-02-05T00:00:00"/>
    <x v="0"/>
    <n v="238"/>
    <n v="-581"/>
    <x v="2"/>
    <n v="238"/>
    <x v="1"/>
  </r>
  <r>
    <x v="370"/>
    <d v="2020-02-16T00:00:00"/>
    <x v="0"/>
    <n v="146"/>
    <n v="-435"/>
    <x v="2"/>
    <n v="146"/>
    <x v="1"/>
  </r>
  <r>
    <x v="370"/>
    <d v="2020-02-21T00:00:00"/>
    <x v="0"/>
    <n v="631"/>
    <n v="196"/>
    <x v="2"/>
    <n v="631"/>
    <x v="0"/>
  </r>
  <r>
    <x v="370"/>
    <d v="2020-02-25T00:00:00"/>
    <x v="2"/>
    <n v="350"/>
    <n v="-154"/>
    <x v="2"/>
    <n v="-350"/>
    <x v="1"/>
  </r>
  <r>
    <x v="370"/>
    <d v="2020-03-05T00:00:00"/>
    <x v="2"/>
    <n v="93"/>
    <n v="-247"/>
    <x v="1"/>
    <n v="-93"/>
    <x v="1"/>
  </r>
  <r>
    <x v="370"/>
    <d v="2020-03-06T00:00:00"/>
    <x v="2"/>
    <n v="383"/>
    <n v="-630"/>
    <x v="1"/>
    <n v="-383"/>
    <x v="1"/>
  </r>
  <r>
    <x v="370"/>
    <d v="2020-03-13T00:00:00"/>
    <x v="2"/>
    <n v="218"/>
    <n v="-848"/>
    <x v="1"/>
    <n v="-218"/>
    <x v="1"/>
  </r>
  <r>
    <x v="370"/>
    <d v="2020-03-23T00:00:00"/>
    <x v="2"/>
    <n v="40"/>
    <n v="-888"/>
    <x v="1"/>
    <n v="-40"/>
    <x v="1"/>
  </r>
  <r>
    <x v="370"/>
    <d v="2020-03-28T00:00:00"/>
    <x v="0"/>
    <n v="883"/>
    <n v="-5"/>
    <x v="1"/>
    <n v="883"/>
    <x v="1"/>
  </r>
  <r>
    <x v="370"/>
    <d v="2020-04-10T00:00:00"/>
    <x v="1"/>
    <n v="755"/>
    <n v="-760"/>
    <x v="3"/>
    <n v="-755"/>
    <x v="1"/>
  </r>
  <r>
    <x v="370"/>
    <d v="2020-04-11T00:00:00"/>
    <x v="1"/>
    <n v="483"/>
    <n v="-1243"/>
    <x v="3"/>
    <n v="-483"/>
    <x v="1"/>
  </r>
  <r>
    <x v="371"/>
    <d v="2020-01-02T00:00:00"/>
    <x v="0"/>
    <n v="920"/>
    <n v="920"/>
    <x v="0"/>
    <n v="920"/>
    <x v="0"/>
  </r>
  <r>
    <x v="371"/>
    <d v="2020-01-07T00:00:00"/>
    <x v="2"/>
    <n v="208"/>
    <n v="712"/>
    <x v="0"/>
    <n v="-208"/>
    <x v="0"/>
  </r>
  <r>
    <x v="371"/>
    <d v="2020-01-12T00:00:00"/>
    <x v="0"/>
    <n v="296"/>
    <n v="1008"/>
    <x v="0"/>
    <n v="296"/>
    <x v="0"/>
  </r>
  <r>
    <x v="371"/>
    <d v="2020-01-18T00:00:00"/>
    <x v="0"/>
    <n v="924"/>
    <n v="1932"/>
    <x v="0"/>
    <n v="924"/>
    <x v="0"/>
  </r>
  <r>
    <x v="371"/>
    <d v="2020-01-20T00:00:00"/>
    <x v="1"/>
    <n v="120"/>
    <n v="1812"/>
    <x v="0"/>
    <n v="-120"/>
    <x v="0"/>
  </r>
  <r>
    <x v="371"/>
    <d v="2020-01-25T00:00:00"/>
    <x v="0"/>
    <n v="906"/>
    <n v="2718"/>
    <x v="0"/>
    <n v="906"/>
    <x v="0"/>
  </r>
  <r>
    <x v="371"/>
    <d v="2020-02-05T00:00:00"/>
    <x v="0"/>
    <n v="268"/>
    <n v="2986"/>
    <x v="2"/>
    <n v="268"/>
    <x v="0"/>
  </r>
  <r>
    <x v="371"/>
    <d v="2020-02-11T00:00:00"/>
    <x v="0"/>
    <n v="735"/>
    <n v="3721"/>
    <x v="2"/>
    <n v="735"/>
    <x v="0"/>
  </r>
  <r>
    <x v="371"/>
    <d v="2020-02-20T00:00:00"/>
    <x v="1"/>
    <n v="578"/>
    <n v="3143"/>
    <x v="2"/>
    <n v="-578"/>
    <x v="0"/>
  </r>
  <r>
    <x v="371"/>
    <d v="2020-02-21T00:00:00"/>
    <x v="2"/>
    <n v="949"/>
    <n v="2194"/>
    <x v="2"/>
    <n v="-949"/>
    <x v="0"/>
  </r>
  <r>
    <x v="371"/>
    <d v="2020-02-24T00:00:00"/>
    <x v="2"/>
    <n v="953"/>
    <n v="1241"/>
    <x v="2"/>
    <n v="-953"/>
    <x v="0"/>
  </r>
  <r>
    <x v="371"/>
    <d v="2020-03-02T00:00:00"/>
    <x v="0"/>
    <n v="85"/>
    <n v="1326"/>
    <x v="1"/>
    <n v="85"/>
    <x v="0"/>
  </r>
  <r>
    <x v="371"/>
    <d v="2020-03-02T00:00:00"/>
    <x v="0"/>
    <n v="205"/>
    <n v="1531"/>
    <x v="1"/>
    <n v="205"/>
    <x v="0"/>
  </r>
  <r>
    <x v="371"/>
    <d v="2020-03-02T00:00:00"/>
    <x v="2"/>
    <n v="457"/>
    <n v="1074"/>
    <x v="1"/>
    <n v="-457"/>
    <x v="0"/>
  </r>
  <r>
    <x v="371"/>
    <d v="2020-03-05T00:00:00"/>
    <x v="2"/>
    <n v="462"/>
    <n v="612"/>
    <x v="1"/>
    <n v="-462"/>
    <x v="0"/>
  </r>
  <r>
    <x v="371"/>
    <d v="2020-03-10T00:00:00"/>
    <x v="1"/>
    <n v="802"/>
    <n v="-190"/>
    <x v="1"/>
    <n v="-802"/>
    <x v="1"/>
  </r>
  <r>
    <x v="371"/>
    <d v="2020-03-15T00:00:00"/>
    <x v="1"/>
    <n v="44"/>
    <n v="-234"/>
    <x v="1"/>
    <n v="-44"/>
    <x v="1"/>
  </r>
  <r>
    <x v="371"/>
    <d v="2020-03-25T00:00:00"/>
    <x v="1"/>
    <n v="402"/>
    <n v="-636"/>
    <x v="1"/>
    <n v="-402"/>
    <x v="1"/>
  </r>
  <r>
    <x v="371"/>
    <d v="2020-03-26T00:00:00"/>
    <x v="1"/>
    <n v="897"/>
    <n v="-1533"/>
    <x v="1"/>
    <n v="-897"/>
    <x v="1"/>
  </r>
  <r>
    <x v="371"/>
    <d v="2020-03-27T00:00:00"/>
    <x v="2"/>
    <n v="383"/>
    <n v="-1916"/>
    <x v="1"/>
    <n v="-383"/>
    <x v="1"/>
  </r>
  <r>
    <x v="371"/>
    <d v="2020-03-28T00:00:00"/>
    <x v="0"/>
    <n v="291"/>
    <n v="-1625"/>
    <x v="1"/>
    <n v="291"/>
    <x v="1"/>
  </r>
  <r>
    <x v="372"/>
    <d v="2020-01-18T00:00:00"/>
    <x v="0"/>
    <n v="596"/>
    <n v="596"/>
    <x v="0"/>
    <n v="596"/>
    <x v="0"/>
  </r>
  <r>
    <x v="372"/>
    <d v="2020-01-21T00:00:00"/>
    <x v="1"/>
    <n v="103"/>
    <n v="493"/>
    <x v="0"/>
    <n v="-103"/>
    <x v="0"/>
  </r>
  <r>
    <x v="372"/>
    <d v="2020-02-15T00:00:00"/>
    <x v="1"/>
    <n v="216"/>
    <n v="277"/>
    <x v="2"/>
    <n v="-216"/>
    <x v="0"/>
  </r>
  <r>
    <x v="372"/>
    <d v="2020-03-26T00:00:00"/>
    <x v="0"/>
    <n v="780"/>
    <n v="1057"/>
    <x v="1"/>
    <n v="780"/>
    <x v="0"/>
  </r>
  <r>
    <x v="372"/>
    <d v="2020-04-03T00:00:00"/>
    <x v="0"/>
    <n v="514"/>
    <n v="1571"/>
    <x v="3"/>
    <n v="514"/>
    <x v="0"/>
  </r>
  <r>
    <x v="372"/>
    <d v="2020-04-08T00:00:00"/>
    <x v="0"/>
    <n v="755"/>
    <n v="2326"/>
    <x v="3"/>
    <n v="755"/>
    <x v="0"/>
  </r>
  <r>
    <x v="372"/>
    <d v="2020-04-12T00:00:00"/>
    <x v="1"/>
    <n v="875"/>
    <n v="1451"/>
    <x v="3"/>
    <n v="-875"/>
    <x v="0"/>
  </r>
  <r>
    <x v="373"/>
    <d v="2020-01-08T00:00:00"/>
    <x v="1"/>
    <n v="354"/>
    <n v="-354"/>
    <x v="0"/>
    <n v="-354"/>
    <x v="1"/>
  </r>
  <r>
    <x v="373"/>
    <d v="2020-01-08T00:00:00"/>
    <x v="0"/>
    <n v="117"/>
    <n v="-237"/>
    <x v="0"/>
    <n v="117"/>
    <x v="1"/>
  </r>
  <r>
    <x v="373"/>
    <d v="2020-01-10T00:00:00"/>
    <x v="1"/>
    <n v="654"/>
    <n v="-891"/>
    <x v="0"/>
    <n v="-654"/>
    <x v="1"/>
  </r>
  <r>
    <x v="373"/>
    <d v="2020-01-19T00:00:00"/>
    <x v="0"/>
    <n v="842"/>
    <n v="-49"/>
    <x v="0"/>
    <n v="842"/>
    <x v="1"/>
  </r>
  <r>
    <x v="373"/>
    <d v="2020-01-23T00:00:00"/>
    <x v="0"/>
    <n v="398"/>
    <n v="349"/>
    <x v="0"/>
    <n v="398"/>
    <x v="0"/>
  </r>
  <r>
    <x v="373"/>
    <d v="2020-01-28T00:00:00"/>
    <x v="2"/>
    <n v="806"/>
    <n v="-457"/>
    <x v="0"/>
    <n v="-806"/>
    <x v="1"/>
  </r>
  <r>
    <x v="373"/>
    <d v="2020-02-18T00:00:00"/>
    <x v="2"/>
    <n v="572"/>
    <n v="-1029"/>
    <x v="2"/>
    <n v="-572"/>
    <x v="1"/>
  </r>
  <r>
    <x v="373"/>
    <d v="2020-02-18T00:00:00"/>
    <x v="0"/>
    <n v="98"/>
    <n v="-931"/>
    <x v="2"/>
    <n v="98"/>
    <x v="1"/>
  </r>
  <r>
    <x v="373"/>
    <d v="2020-02-19T00:00:00"/>
    <x v="1"/>
    <n v="361"/>
    <n v="-1292"/>
    <x v="2"/>
    <n v="-361"/>
    <x v="1"/>
  </r>
  <r>
    <x v="373"/>
    <d v="2020-03-17T00:00:00"/>
    <x v="0"/>
    <n v="885"/>
    <n v="-407"/>
    <x v="1"/>
    <n v="885"/>
    <x v="1"/>
  </r>
  <r>
    <x v="373"/>
    <d v="2020-03-22T00:00:00"/>
    <x v="2"/>
    <n v="686"/>
    <n v="-1093"/>
    <x v="1"/>
    <n v="-686"/>
    <x v="1"/>
  </r>
  <r>
    <x v="373"/>
    <d v="2020-03-23T00:00:00"/>
    <x v="1"/>
    <n v="3"/>
    <n v="-1096"/>
    <x v="1"/>
    <n v="-3"/>
    <x v="1"/>
  </r>
  <r>
    <x v="373"/>
    <d v="2020-03-28T00:00:00"/>
    <x v="0"/>
    <n v="422"/>
    <n v="-674"/>
    <x v="1"/>
    <n v="422"/>
    <x v="1"/>
  </r>
  <r>
    <x v="373"/>
    <d v="2020-03-31T00:00:00"/>
    <x v="1"/>
    <n v="172"/>
    <n v="-846"/>
    <x v="1"/>
    <n v="-172"/>
    <x v="1"/>
  </r>
  <r>
    <x v="374"/>
    <d v="2020-01-19T00:00:00"/>
    <x v="0"/>
    <n v="647"/>
    <n v="647"/>
    <x v="0"/>
    <n v="647"/>
    <x v="0"/>
  </r>
  <r>
    <x v="374"/>
    <d v="2020-02-03T00:00:00"/>
    <x v="2"/>
    <n v="707"/>
    <n v="-60"/>
    <x v="2"/>
    <n v="-707"/>
    <x v="1"/>
  </r>
  <r>
    <x v="374"/>
    <d v="2020-02-03T00:00:00"/>
    <x v="0"/>
    <n v="683"/>
    <n v="623"/>
    <x v="2"/>
    <n v="683"/>
    <x v="0"/>
  </r>
  <r>
    <x v="374"/>
    <d v="2020-02-09T00:00:00"/>
    <x v="0"/>
    <n v="169"/>
    <n v="792"/>
    <x v="2"/>
    <n v="169"/>
    <x v="0"/>
  </r>
  <r>
    <x v="374"/>
    <d v="2020-02-17T00:00:00"/>
    <x v="1"/>
    <n v="464"/>
    <n v="328"/>
    <x v="2"/>
    <n v="-464"/>
    <x v="0"/>
  </r>
  <r>
    <x v="374"/>
    <d v="2020-03-03T00:00:00"/>
    <x v="2"/>
    <n v="798"/>
    <n v="-470"/>
    <x v="1"/>
    <n v="-798"/>
    <x v="1"/>
  </r>
  <r>
    <x v="374"/>
    <d v="2020-03-28T00:00:00"/>
    <x v="0"/>
    <n v="30"/>
    <n v="-440"/>
    <x v="1"/>
    <n v="30"/>
    <x v="1"/>
  </r>
  <r>
    <x v="374"/>
    <d v="2020-04-11T00:00:00"/>
    <x v="2"/>
    <n v="851"/>
    <n v="-1291"/>
    <x v="3"/>
    <n v="-851"/>
    <x v="1"/>
  </r>
  <r>
    <x v="375"/>
    <d v="2020-01-03T00:00:00"/>
    <x v="0"/>
    <n v="706"/>
    <n v="706"/>
    <x v="0"/>
    <n v="706"/>
    <x v="0"/>
  </r>
  <r>
    <x v="375"/>
    <d v="2020-01-03T00:00:00"/>
    <x v="2"/>
    <n v="77"/>
    <n v="629"/>
    <x v="0"/>
    <n v="-77"/>
    <x v="0"/>
  </r>
  <r>
    <x v="375"/>
    <d v="2020-01-09T00:00:00"/>
    <x v="1"/>
    <n v="554"/>
    <n v="75"/>
    <x v="0"/>
    <n v="-554"/>
    <x v="0"/>
  </r>
  <r>
    <x v="375"/>
    <d v="2020-01-13T00:00:00"/>
    <x v="0"/>
    <n v="628"/>
    <n v="703"/>
    <x v="0"/>
    <n v="628"/>
    <x v="0"/>
  </r>
  <r>
    <x v="375"/>
    <d v="2020-01-20T00:00:00"/>
    <x v="1"/>
    <n v="7"/>
    <n v="696"/>
    <x v="0"/>
    <n v="-7"/>
    <x v="0"/>
  </r>
  <r>
    <x v="375"/>
    <d v="2020-01-21T00:00:00"/>
    <x v="0"/>
    <n v="518"/>
    <n v="1214"/>
    <x v="0"/>
    <n v="518"/>
    <x v="0"/>
  </r>
  <r>
    <x v="375"/>
    <d v="2020-01-31T00:00:00"/>
    <x v="0"/>
    <n v="400"/>
    <n v="1614"/>
    <x v="0"/>
    <n v="400"/>
    <x v="0"/>
  </r>
  <r>
    <x v="375"/>
    <d v="2020-02-06T00:00:00"/>
    <x v="2"/>
    <n v="996"/>
    <n v="618"/>
    <x v="2"/>
    <n v="-996"/>
    <x v="0"/>
  </r>
  <r>
    <x v="375"/>
    <d v="2020-02-11T00:00:00"/>
    <x v="0"/>
    <n v="902"/>
    <n v="1520"/>
    <x v="2"/>
    <n v="902"/>
    <x v="0"/>
  </r>
  <r>
    <x v="375"/>
    <d v="2020-02-12T00:00:00"/>
    <x v="0"/>
    <n v="950"/>
    <n v="2470"/>
    <x v="2"/>
    <n v="950"/>
    <x v="0"/>
  </r>
  <r>
    <x v="375"/>
    <d v="2020-02-21T00:00:00"/>
    <x v="0"/>
    <n v="44"/>
    <n v="2514"/>
    <x v="2"/>
    <n v="44"/>
    <x v="0"/>
  </r>
  <r>
    <x v="375"/>
    <d v="2020-02-21T00:00:00"/>
    <x v="0"/>
    <n v="892"/>
    <n v="3406"/>
    <x v="2"/>
    <n v="892"/>
    <x v="0"/>
  </r>
  <r>
    <x v="375"/>
    <d v="2020-02-27T00:00:00"/>
    <x v="0"/>
    <n v="25"/>
    <n v="3431"/>
    <x v="2"/>
    <n v="25"/>
    <x v="0"/>
  </r>
  <r>
    <x v="375"/>
    <d v="2020-02-29T00:00:00"/>
    <x v="2"/>
    <n v="916"/>
    <n v="2515"/>
    <x v="2"/>
    <n v="-916"/>
    <x v="0"/>
  </r>
  <r>
    <x v="375"/>
    <d v="2020-03-06T00:00:00"/>
    <x v="2"/>
    <n v="381"/>
    <n v="2134"/>
    <x v="1"/>
    <n v="-381"/>
    <x v="0"/>
  </r>
  <r>
    <x v="375"/>
    <d v="2020-03-06T00:00:00"/>
    <x v="1"/>
    <n v="595"/>
    <n v="1539"/>
    <x v="1"/>
    <n v="-595"/>
    <x v="0"/>
  </r>
  <r>
    <x v="375"/>
    <d v="2020-03-12T00:00:00"/>
    <x v="2"/>
    <n v="325"/>
    <n v="1214"/>
    <x v="1"/>
    <n v="-325"/>
    <x v="0"/>
  </r>
  <r>
    <x v="375"/>
    <d v="2020-03-12T00:00:00"/>
    <x v="2"/>
    <n v="374"/>
    <n v="840"/>
    <x v="1"/>
    <n v="-374"/>
    <x v="0"/>
  </r>
  <r>
    <x v="375"/>
    <d v="2020-03-18T00:00:00"/>
    <x v="0"/>
    <n v="427"/>
    <n v="1267"/>
    <x v="1"/>
    <n v="427"/>
    <x v="0"/>
  </r>
  <r>
    <x v="375"/>
    <d v="2020-03-27T00:00:00"/>
    <x v="0"/>
    <n v="815"/>
    <n v="2082"/>
    <x v="1"/>
    <n v="815"/>
    <x v="0"/>
  </r>
  <r>
    <x v="375"/>
    <d v="2020-03-31T00:00:00"/>
    <x v="0"/>
    <n v="980"/>
    <n v="3062"/>
    <x v="1"/>
    <n v="980"/>
    <x v="0"/>
  </r>
  <r>
    <x v="376"/>
    <d v="2020-01-18T00:00:00"/>
    <x v="0"/>
    <n v="637"/>
    <n v="637"/>
    <x v="0"/>
    <n v="637"/>
    <x v="0"/>
  </r>
  <r>
    <x v="376"/>
    <d v="2020-01-25T00:00:00"/>
    <x v="0"/>
    <n v="99"/>
    <n v="736"/>
    <x v="0"/>
    <n v="99"/>
    <x v="0"/>
  </r>
  <r>
    <x v="376"/>
    <d v="2020-01-30T00:00:00"/>
    <x v="2"/>
    <n v="484"/>
    <n v="252"/>
    <x v="0"/>
    <n v="-484"/>
    <x v="0"/>
  </r>
  <r>
    <x v="376"/>
    <d v="2020-02-05T00:00:00"/>
    <x v="2"/>
    <n v="92"/>
    <n v="160"/>
    <x v="2"/>
    <n v="-92"/>
    <x v="0"/>
  </r>
  <r>
    <x v="376"/>
    <d v="2020-02-26T00:00:00"/>
    <x v="1"/>
    <n v="342"/>
    <n v="-182"/>
    <x v="2"/>
    <n v="-342"/>
    <x v="1"/>
  </r>
  <r>
    <x v="376"/>
    <d v="2020-04-06T00:00:00"/>
    <x v="0"/>
    <n v="633"/>
    <n v="451"/>
    <x v="3"/>
    <n v="633"/>
    <x v="0"/>
  </r>
  <r>
    <x v="376"/>
    <d v="2020-04-08T00:00:00"/>
    <x v="2"/>
    <n v="655"/>
    <n v="-204"/>
    <x v="3"/>
    <n v="-655"/>
    <x v="1"/>
  </r>
  <r>
    <x v="376"/>
    <d v="2020-04-09T00:00:00"/>
    <x v="2"/>
    <n v="581"/>
    <n v="-785"/>
    <x v="3"/>
    <n v="-581"/>
    <x v="1"/>
  </r>
  <r>
    <x v="377"/>
    <d v="2020-01-07T00:00:00"/>
    <x v="0"/>
    <n v="193"/>
    <n v="193"/>
    <x v="0"/>
    <n v="193"/>
    <x v="0"/>
  </r>
  <r>
    <x v="377"/>
    <d v="2020-01-26T00:00:00"/>
    <x v="1"/>
    <n v="186"/>
    <n v="7"/>
    <x v="0"/>
    <n v="-186"/>
    <x v="0"/>
  </r>
  <r>
    <x v="377"/>
    <d v="2020-01-27T00:00:00"/>
    <x v="0"/>
    <n v="369"/>
    <n v="376"/>
    <x v="0"/>
    <n v="369"/>
    <x v="0"/>
  </r>
  <r>
    <x v="377"/>
    <d v="2020-01-30T00:00:00"/>
    <x v="0"/>
    <n v="108"/>
    <n v="484"/>
    <x v="0"/>
    <n v="108"/>
    <x v="0"/>
  </r>
  <r>
    <x v="377"/>
    <d v="2020-02-05T00:00:00"/>
    <x v="0"/>
    <n v="392"/>
    <n v="876"/>
    <x v="2"/>
    <n v="392"/>
    <x v="0"/>
  </r>
  <r>
    <x v="377"/>
    <d v="2020-02-11T00:00:00"/>
    <x v="0"/>
    <n v="936"/>
    <n v="1812"/>
    <x v="2"/>
    <n v="936"/>
    <x v="0"/>
  </r>
  <r>
    <x v="377"/>
    <d v="2020-02-14T00:00:00"/>
    <x v="2"/>
    <n v="623"/>
    <n v="1189"/>
    <x v="2"/>
    <n v="-623"/>
    <x v="0"/>
  </r>
  <r>
    <x v="377"/>
    <d v="2020-02-26T00:00:00"/>
    <x v="0"/>
    <n v="145"/>
    <n v="1334"/>
    <x v="2"/>
    <n v="145"/>
    <x v="0"/>
  </r>
  <r>
    <x v="377"/>
    <d v="2020-02-26T00:00:00"/>
    <x v="0"/>
    <n v="428"/>
    <n v="1762"/>
    <x v="2"/>
    <n v="428"/>
    <x v="0"/>
  </r>
  <r>
    <x v="377"/>
    <d v="2020-02-27T00:00:00"/>
    <x v="0"/>
    <n v="662"/>
    <n v="2424"/>
    <x v="2"/>
    <n v="662"/>
    <x v="0"/>
  </r>
  <r>
    <x v="377"/>
    <d v="2020-03-04T00:00:00"/>
    <x v="2"/>
    <n v="497"/>
    <n v="1927"/>
    <x v="1"/>
    <n v="-497"/>
    <x v="0"/>
  </r>
  <r>
    <x v="377"/>
    <d v="2020-03-12T00:00:00"/>
    <x v="1"/>
    <n v="690"/>
    <n v="1237"/>
    <x v="1"/>
    <n v="-690"/>
    <x v="0"/>
  </r>
  <r>
    <x v="377"/>
    <d v="2020-03-21T00:00:00"/>
    <x v="0"/>
    <n v="353"/>
    <n v="1590"/>
    <x v="1"/>
    <n v="353"/>
    <x v="0"/>
  </r>
  <r>
    <x v="378"/>
    <d v="2020-01-12T00:00:00"/>
    <x v="0"/>
    <n v="451"/>
    <n v="451"/>
    <x v="0"/>
    <n v="451"/>
    <x v="0"/>
  </r>
  <r>
    <x v="378"/>
    <d v="2020-01-12T00:00:00"/>
    <x v="1"/>
    <n v="486"/>
    <n v="-35"/>
    <x v="0"/>
    <n v="-486"/>
    <x v="1"/>
  </r>
  <r>
    <x v="378"/>
    <d v="2020-02-03T00:00:00"/>
    <x v="0"/>
    <n v="604"/>
    <n v="569"/>
    <x v="2"/>
    <n v="604"/>
    <x v="0"/>
  </r>
  <r>
    <x v="378"/>
    <d v="2020-02-10T00:00:00"/>
    <x v="2"/>
    <n v="271"/>
    <n v="298"/>
    <x v="2"/>
    <n v="-271"/>
    <x v="0"/>
  </r>
  <r>
    <x v="378"/>
    <d v="2020-02-18T00:00:00"/>
    <x v="2"/>
    <n v="93"/>
    <n v="205"/>
    <x v="2"/>
    <n v="-93"/>
    <x v="0"/>
  </r>
  <r>
    <x v="378"/>
    <d v="2020-02-25T00:00:00"/>
    <x v="1"/>
    <n v="473"/>
    <n v="-268"/>
    <x v="2"/>
    <n v="-473"/>
    <x v="1"/>
  </r>
  <r>
    <x v="378"/>
    <d v="2020-04-04T00:00:00"/>
    <x v="1"/>
    <n v="938"/>
    <n v="-1206"/>
    <x v="3"/>
    <n v="-938"/>
    <x v="1"/>
  </r>
  <r>
    <x v="379"/>
    <d v="2020-01-03T00:00:00"/>
    <x v="0"/>
    <n v="487"/>
    <n v="487"/>
    <x v="0"/>
    <n v="487"/>
    <x v="0"/>
  </r>
  <r>
    <x v="379"/>
    <d v="2020-01-12T00:00:00"/>
    <x v="1"/>
    <n v="433"/>
    <n v="54"/>
    <x v="0"/>
    <n v="-433"/>
    <x v="0"/>
  </r>
  <r>
    <x v="379"/>
    <d v="2020-01-17T00:00:00"/>
    <x v="2"/>
    <n v="431"/>
    <n v="-377"/>
    <x v="0"/>
    <n v="-431"/>
    <x v="1"/>
  </r>
  <r>
    <x v="379"/>
    <d v="2020-01-17T00:00:00"/>
    <x v="0"/>
    <n v="48"/>
    <n v="-329"/>
    <x v="0"/>
    <n v="48"/>
    <x v="1"/>
  </r>
  <r>
    <x v="379"/>
    <d v="2020-01-30T00:00:00"/>
    <x v="1"/>
    <n v="520"/>
    <n v="-849"/>
    <x v="0"/>
    <n v="-520"/>
    <x v="1"/>
  </r>
  <r>
    <x v="379"/>
    <d v="2020-02-12T00:00:00"/>
    <x v="2"/>
    <n v="919"/>
    <n v="-1768"/>
    <x v="2"/>
    <n v="-919"/>
    <x v="1"/>
  </r>
  <r>
    <x v="379"/>
    <d v="2020-02-16T00:00:00"/>
    <x v="0"/>
    <n v="833"/>
    <n v="-935"/>
    <x v="2"/>
    <n v="833"/>
    <x v="1"/>
  </r>
  <r>
    <x v="379"/>
    <d v="2020-02-17T00:00:00"/>
    <x v="0"/>
    <n v="230"/>
    <n v="-705"/>
    <x v="2"/>
    <n v="230"/>
    <x v="1"/>
  </r>
  <r>
    <x v="379"/>
    <d v="2020-02-28T00:00:00"/>
    <x v="1"/>
    <n v="758"/>
    <n v="-1463"/>
    <x v="2"/>
    <n v="-758"/>
    <x v="1"/>
  </r>
  <r>
    <x v="379"/>
    <d v="2020-02-29T00:00:00"/>
    <x v="2"/>
    <n v="18"/>
    <n v="-1481"/>
    <x v="2"/>
    <n v="-18"/>
    <x v="1"/>
  </r>
  <r>
    <x v="379"/>
    <d v="2020-03-01T00:00:00"/>
    <x v="1"/>
    <n v="336"/>
    <n v="-1817"/>
    <x v="1"/>
    <n v="-336"/>
    <x v="1"/>
  </r>
  <r>
    <x v="379"/>
    <d v="2020-03-01T00:00:00"/>
    <x v="1"/>
    <n v="864"/>
    <n v="-2681"/>
    <x v="1"/>
    <n v="-864"/>
    <x v="1"/>
  </r>
  <r>
    <x v="379"/>
    <d v="2020-03-20T00:00:00"/>
    <x v="1"/>
    <n v="219"/>
    <n v="-2900"/>
    <x v="1"/>
    <n v="-219"/>
    <x v="1"/>
  </r>
  <r>
    <x v="379"/>
    <d v="2020-03-20T00:00:00"/>
    <x v="1"/>
    <n v="81"/>
    <n v="-2981"/>
    <x v="1"/>
    <n v="-81"/>
    <x v="1"/>
  </r>
  <r>
    <x v="379"/>
    <d v="2020-03-26T00:00:00"/>
    <x v="0"/>
    <n v="77"/>
    <n v="-2904"/>
    <x v="1"/>
    <n v="77"/>
    <x v="1"/>
  </r>
  <r>
    <x v="379"/>
    <d v="2020-03-28T00:00:00"/>
    <x v="2"/>
    <n v="758"/>
    <n v="-3662"/>
    <x v="1"/>
    <n v="-758"/>
    <x v="1"/>
  </r>
  <r>
    <x v="380"/>
    <d v="2020-01-28T00:00:00"/>
    <x v="0"/>
    <n v="66"/>
    <n v="66"/>
    <x v="0"/>
    <n v="66"/>
    <x v="0"/>
  </r>
  <r>
    <x v="380"/>
    <d v="2020-02-03T00:00:00"/>
    <x v="0"/>
    <n v="926"/>
    <n v="992"/>
    <x v="2"/>
    <n v="926"/>
    <x v="0"/>
  </r>
  <r>
    <x v="380"/>
    <d v="2020-03-02T00:00:00"/>
    <x v="1"/>
    <n v="985"/>
    <n v="7"/>
    <x v="1"/>
    <n v="-985"/>
    <x v="0"/>
  </r>
  <r>
    <x v="380"/>
    <d v="2020-03-05T00:00:00"/>
    <x v="2"/>
    <n v="186"/>
    <n v="-179"/>
    <x v="1"/>
    <n v="-186"/>
    <x v="1"/>
  </r>
  <r>
    <x v="380"/>
    <d v="2020-03-22T00:00:00"/>
    <x v="0"/>
    <n v="457"/>
    <n v="278"/>
    <x v="1"/>
    <n v="457"/>
    <x v="0"/>
  </r>
  <r>
    <x v="380"/>
    <d v="2020-04-02T00:00:00"/>
    <x v="2"/>
    <n v="16"/>
    <n v="262"/>
    <x v="3"/>
    <n v="-16"/>
    <x v="0"/>
  </r>
  <r>
    <x v="380"/>
    <d v="2020-04-03T00:00:00"/>
    <x v="2"/>
    <n v="936"/>
    <n v="-674"/>
    <x v="3"/>
    <n v="-936"/>
    <x v="1"/>
  </r>
  <r>
    <x v="380"/>
    <d v="2020-04-20T00:00:00"/>
    <x v="2"/>
    <n v="367"/>
    <n v="-1041"/>
    <x v="3"/>
    <n v="-367"/>
    <x v="1"/>
  </r>
  <r>
    <x v="380"/>
    <d v="2020-04-26T00:00:00"/>
    <x v="0"/>
    <n v="444"/>
    <n v="-597"/>
    <x v="3"/>
    <n v="444"/>
    <x v="1"/>
  </r>
  <r>
    <x v="381"/>
    <d v="2020-01-03T00:00:00"/>
    <x v="0"/>
    <n v="140"/>
    <n v="140"/>
    <x v="0"/>
    <n v="140"/>
    <x v="0"/>
  </r>
  <r>
    <x v="381"/>
    <d v="2020-01-03T00:00:00"/>
    <x v="1"/>
    <n v="512"/>
    <n v="-372"/>
    <x v="0"/>
    <n v="-512"/>
    <x v="1"/>
  </r>
  <r>
    <x v="381"/>
    <d v="2020-01-10T00:00:00"/>
    <x v="0"/>
    <n v="95"/>
    <n v="-277"/>
    <x v="0"/>
    <n v="95"/>
    <x v="1"/>
  </r>
  <r>
    <x v="381"/>
    <d v="2020-01-22T00:00:00"/>
    <x v="2"/>
    <n v="410"/>
    <n v="-687"/>
    <x v="0"/>
    <n v="-410"/>
    <x v="1"/>
  </r>
  <r>
    <x v="381"/>
    <d v="2020-02-11T00:00:00"/>
    <x v="1"/>
    <n v="59"/>
    <n v="-746"/>
    <x v="2"/>
    <n v="-59"/>
    <x v="1"/>
  </r>
  <r>
    <x v="381"/>
    <d v="2020-02-17T00:00:00"/>
    <x v="0"/>
    <n v="866"/>
    <n v="120"/>
    <x v="2"/>
    <n v="866"/>
    <x v="0"/>
  </r>
  <r>
    <x v="381"/>
    <d v="2020-02-22T00:00:00"/>
    <x v="2"/>
    <n v="579"/>
    <n v="-459"/>
    <x v="2"/>
    <n v="-579"/>
    <x v="1"/>
  </r>
  <r>
    <x v="381"/>
    <d v="2020-02-27T00:00:00"/>
    <x v="2"/>
    <n v="736"/>
    <n v="-1195"/>
    <x v="2"/>
    <n v="-736"/>
    <x v="1"/>
  </r>
  <r>
    <x v="381"/>
    <d v="2020-03-01T00:00:00"/>
    <x v="1"/>
    <n v="374"/>
    <n v="-1569"/>
    <x v="1"/>
    <n v="-374"/>
    <x v="1"/>
  </r>
  <r>
    <x v="381"/>
    <d v="2020-03-07T00:00:00"/>
    <x v="2"/>
    <n v="64"/>
    <n v="-1633"/>
    <x v="1"/>
    <n v="-64"/>
    <x v="1"/>
  </r>
  <r>
    <x v="381"/>
    <d v="2020-03-18T00:00:00"/>
    <x v="2"/>
    <n v="386"/>
    <n v="-2019"/>
    <x v="1"/>
    <n v="-386"/>
    <x v="1"/>
  </r>
  <r>
    <x v="381"/>
    <d v="2020-03-26T00:00:00"/>
    <x v="0"/>
    <n v="499"/>
    <n v="-1520"/>
    <x v="1"/>
    <n v="499"/>
    <x v="1"/>
  </r>
  <r>
    <x v="381"/>
    <d v="2020-03-29T00:00:00"/>
    <x v="0"/>
    <n v="340"/>
    <n v="-1180"/>
    <x v="1"/>
    <n v="340"/>
    <x v="1"/>
  </r>
  <r>
    <x v="381"/>
    <d v="2020-03-31T00:00:00"/>
    <x v="0"/>
    <n v="39"/>
    <n v="-1141"/>
    <x v="1"/>
    <n v="39"/>
    <x v="1"/>
  </r>
  <r>
    <x v="382"/>
    <d v="2020-01-26T00:00:00"/>
    <x v="0"/>
    <n v="889"/>
    <n v="889"/>
    <x v="0"/>
    <n v="889"/>
    <x v="0"/>
  </r>
  <r>
    <x v="382"/>
    <d v="2020-01-29T00:00:00"/>
    <x v="2"/>
    <n v="925"/>
    <n v="-36"/>
    <x v="0"/>
    <n v="-925"/>
    <x v="1"/>
  </r>
  <r>
    <x v="382"/>
    <d v="2020-02-01T00:00:00"/>
    <x v="0"/>
    <n v="606"/>
    <n v="570"/>
    <x v="2"/>
    <n v="606"/>
    <x v="0"/>
  </r>
  <r>
    <x v="382"/>
    <d v="2020-02-25T00:00:00"/>
    <x v="0"/>
    <n v="365"/>
    <n v="935"/>
    <x v="2"/>
    <n v="365"/>
    <x v="0"/>
  </r>
  <r>
    <x v="382"/>
    <d v="2020-03-01T00:00:00"/>
    <x v="1"/>
    <n v="827"/>
    <n v="108"/>
    <x v="1"/>
    <n v="-827"/>
    <x v="0"/>
  </r>
  <r>
    <x v="382"/>
    <d v="2020-03-28T00:00:00"/>
    <x v="2"/>
    <n v="725"/>
    <n v="-617"/>
    <x v="1"/>
    <n v="-725"/>
    <x v="1"/>
  </r>
  <r>
    <x v="382"/>
    <d v="2020-04-03T00:00:00"/>
    <x v="0"/>
    <n v="239"/>
    <n v="-378"/>
    <x v="3"/>
    <n v="239"/>
    <x v="1"/>
  </r>
  <r>
    <x v="382"/>
    <d v="2020-04-16T00:00:00"/>
    <x v="0"/>
    <n v="944"/>
    <n v="566"/>
    <x v="3"/>
    <n v="944"/>
    <x v="0"/>
  </r>
  <r>
    <x v="382"/>
    <d v="2020-04-19T00:00:00"/>
    <x v="0"/>
    <n v="907"/>
    <n v="1473"/>
    <x v="3"/>
    <n v="907"/>
    <x v="0"/>
  </r>
  <r>
    <x v="382"/>
    <d v="2020-04-23T00:00:00"/>
    <x v="2"/>
    <n v="419"/>
    <n v="1054"/>
    <x v="3"/>
    <n v="-419"/>
    <x v="0"/>
  </r>
  <r>
    <x v="382"/>
    <d v="2020-04-24T00:00:00"/>
    <x v="2"/>
    <n v="141"/>
    <n v="913"/>
    <x v="3"/>
    <n v="-141"/>
    <x v="0"/>
  </r>
  <r>
    <x v="383"/>
    <d v="2020-01-12T00:00:00"/>
    <x v="0"/>
    <n v="352"/>
    <n v="352"/>
    <x v="0"/>
    <n v="352"/>
    <x v="0"/>
  </r>
  <r>
    <x v="383"/>
    <d v="2020-01-21T00:00:00"/>
    <x v="1"/>
    <n v="117"/>
    <n v="235"/>
    <x v="0"/>
    <n v="-117"/>
    <x v="0"/>
  </r>
  <r>
    <x v="383"/>
    <d v="2020-01-30T00:00:00"/>
    <x v="1"/>
    <n v="245"/>
    <n v="-10"/>
    <x v="0"/>
    <n v="-245"/>
    <x v="1"/>
  </r>
  <r>
    <x v="383"/>
    <d v="2020-02-06T00:00:00"/>
    <x v="1"/>
    <n v="976"/>
    <n v="-986"/>
    <x v="2"/>
    <n v="-976"/>
    <x v="1"/>
  </r>
  <r>
    <x v="383"/>
    <d v="2020-02-07T00:00:00"/>
    <x v="2"/>
    <n v="568"/>
    <n v="-1554"/>
    <x v="2"/>
    <n v="-568"/>
    <x v="1"/>
  </r>
  <r>
    <x v="383"/>
    <d v="2020-02-09T00:00:00"/>
    <x v="2"/>
    <n v="835"/>
    <n v="-2389"/>
    <x v="2"/>
    <n v="-835"/>
    <x v="1"/>
  </r>
  <r>
    <x v="383"/>
    <d v="2020-02-15T00:00:00"/>
    <x v="0"/>
    <n v="600"/>
    <n v="-1789"/>
    <x v="2"/>
    <n v="600"/>
    <x v="1"/>
  </r>
  <r>
    <x v="383"/>
    <d v="2020-02-19T00:00:00"/>
    <x v="1"/>
    <n v="425"/>
    <n v="-2214"/>
    <x v="2"/>
    <n v="-425"/>
    <x v="1"/>
  </r>
  <r>
    <x v="383"/>
    <d v="2020-02-26T00:00:00"/>
    <x v="0"/>
    <n v="635"/>
    <n v="-1579"/>
    <x v="2"/>
    <n v="635"/>
    <x v="1"/>
  </r>
  <r>
    <x v="383"/>
    <d v="2020-02-26T00:00:00"/>
    <x v="1"/>
    <n v="460"/>
    <n v="-2039"/>
    <x v="2"/>
    <n v="-460"/>
    <x v="1"/>
  </r>
  <r>
    <x v="383"/>
    <d v="2020-02-27T00:00:00"/>
    <x v="1"/>
    <n v="447"/>
    <n v="-2486"/>
    <x v="2"/>
    <n v="-447"/>
    <x v="1"/>
  </r>
  <r>
    <x v="383"/>
    <d v="2020-03-01T00:00:00"/>
    <x v="0"/>
    <n v="654"/>
    <n v="-1832"/>
    <x v="1"/>
    <n v="654"/>
    <x v="1"/>
  </r>
  <r>
    <x v="383"/>
    <d v="2020-03-03T00:00:00"/>
    <x v="2"/>
    <n v="363"/>
    <n v="-2195"/>
    <x v="1"/>
    <n v="-363"/>
    <x v="1"/>
  </r>
  <r>
    <x v="383"/>
    <d v="2020-03-14T00:00:00"/>
    <x v="1"/>
    <n v="981"/>
    <n v="-3176"/>
    <x v="1"/>
    <n v="-981"/>
    <x v="1"/>
  </r>
  <r>
    <x v="383"/>
    <d v="2020-03-23T00:00:00"/>
    <x v="0"/>
    <n v="869"/>
    <n v="-2307"/>
    <x v="1"/>
    <n v="869"/>
    <x v="1"/>
  </r>
  <r>
    <x v="383"/>
    <d v="2020-03-31T00:00:00"/>
    <x v="2"/>
    <n v="220"/>
    <n v="-2527"/>
    <x v="1"/>
    <n v="-220"/>
    <x v="1"/>
  </r>
  <r>
    <x v="384"/>
    <d v="2020-01-15T00:00:00"/>
    <x v="0"/>
    <n v="585"/>
    <n v="585"/>
    <x v="0"/>
    <n v="585"/>
    <x v="0"/>
  </r>
  <r>
    <x v="384"/>
    <d v="2020-01-26T00:00:00"/>
    <x v="1"/>
    <n v="990"/>
    <n v="-405"/>
    <x v="0"/>
    <n v="-990"/>
    <x v="1"/>
  </r>
  <r>
    <x v="384"/>
    <d v="2020-01-26T00:00:00"/>
    <x v="2"/>
    <n v="512"/>
    <n v="-917"/>
    <x v="0"/>
    <n v="-512"/>
    <x v="1"/>
  </r>
  <r>
    <x v="384"/>
    <d v="2020-01-31T00:00:00"/>
    <x v="2"/>
    <n v="257"/>
    <n v="-1174"/>
    <x v="0"/>
    <n v="-257"/>
    <x v="1"/>
  </r>
  <r>
    <x v="384"/>
    <d v="2020-03-03T00:00:00"/>
    <x v="0"/>
    <n v="335"/>
    <n v="-839"/>
    <x v="1"/>
    <n v="335"/>
    <x v="1"/>
  </r>
  <r>
    <x v="384"/>
    <d v="2020-03-11T00:00:00"/>
    <x v="1"/>
    <n v="855"/>
    <n v="-1694"/>
    <x v="1"/>
    <n v="-855"/>
    <x v="1"/>
  </r>
  <r>
    <x v="384"/>
    <d v="2020-03-15T00:00:00"/>
    <x v="2"/>
    <n v="916"/>
    <n v="-2610"/>
    <x v="1"/>
    <n v="-916"/>
    <x v="1"/>
  </r>
  <r>
    <x v="384"/>
    <d v="2020-03-22T00:00:00"/>
    <x v="1"/>
    <n v="988"/>
    <n v="-3598"/>
    <x v="1"/>
    <n v="-988"/>
    <x v="1"/>
  </r>
  <r>
    <x v="384"/>
    <d v="2020-03-27T00:00:00"/>
    <x v="1"/>
    <n v="607"/>
    <n v="-4205"/>
    <x v="1"/>
    <n v="-607"/>
    <x v="1"/>
  </r>
  <r>
    <x v="384"/>
    <d v="2020-03-30T00:00:00"/>
    <x v="1"/>
    <n v="488"/>
    <n v="-4693"/>
    <x v="1"/>
    <n v="-488"/>
    <x v="1"/>
  </r>
  <r>
    <x v="384"/>
    <d v="2020-04-03T00:00:00"/>
    <x v="2"/>
    <n v="168"/>
    <n v="-4861"/>
    <x v="3"/>
    <n v="-168"/>
    <x v="1"/>
  </r>
  <r>
    <x v="385"/>
    <d v="2020-01-26T00:00:00"/>
    <x v="0"/>
    <n v="854"/>
    <n v="854"/>
    <x v="0"/>
    <n v="854"/>
    <x v="0"/>
  </r>
  <r>
    <x v="385"/>
    <d v="2020-01-27T00:00:00"/>
    <x v="0"/>
    <n v="254"/>
    <n v="1108"/>
    <x v="0"/>
    <n v="254"/>
    <x v="0"/>
  </r>
  <r>
    <x v="385"/>
    <d v="2020-02-02T00:00:00"/>
    <x v="1"/>
    <n v="239"/>
    <n v="869"/>
    <x v="2"/>
    <n v="-239"/>
    <x v="0"/>
  </r>
  <r>
    <x v="385"/>
    <d v="2020-02-22T00:00:00"/>
    <x v="1"/>
    <n v="110"/>
    <n v="759"/>
    <x v="2"/>
    <n v="-110"/>
    <x v="0"/>
  </r>
  <r>
    <x v="385"/>
    <d v="2020-03-08T00:00:00"/>
    <x v="1"/>
    <n v="470"/>
    <n v="289"/>
    <x v="1"/>
    <n v="-470"/>
    <x v="0"/>
  </r>
  <r>
    <x v="385"/>
    <d v="2020-03-18T00:00:00"/>
    <x v="0"/>
    <n v="489"/>
    <n v="778"/>
    <x v="1"/>
    <n v="489"/>
    <x v="0"/>
  </r>
  <r>
    <x v="385"/>
    <d v="2020-03-23T00:00:00"/>
    <x v="1"/>
    <n v="681"/>
    <n v="97"/>
    <x v="1"/>
    <n v="-681"/>
    <x v="0"/>
  </r>
  <r>
    <x v="385"/>
    <d v="2020-03-29T00:00:00"/>
    <x v="2"/>
    <n v="863"/>
    <n v="-766"/>
    <x v="1"/>
    <n v="-863"/>
    <x v="1"/>
  </r>
  <r>
    <x v="385"/>
    <d v="2020-04-02T00:00:00"/>
    <x v="2"/>
    <n v="315"/>
    <n v="-1081"/>
    <x v="3"/>
    <n v="-315"/>
    <x v="1"/>
  </r>
  <r>
    <x v="385"/>
    <d v="2020-04-03T00:00:00"/>
    <x v="1"/>
    <n v="975"/>
    <n v="-2056"/>
    <x v="3"/>
    <n v="-975"/>
    <x v="1"/>
  </r>
  <r>
    <x v="385"/>
    <d v="2020-04-11T00:00:00"/>
    <x v="2"/>
    <n v="385"/>
    <n v="-2441"/>
    <x v="3"/>
    <n v="-385"/>
    <x v="1"/>
  </r>
  <r>
    <x v="385"/>
    <d v="2020-04-13T00:00:00"/>
    <x v="0"/>
    <n v="328"/>
    <n v="-2113"/>
    <x v="3"/>
    <n v="328"/>
    <x v="1"/>
  </r>
  <r>
    <x v="385"/>
    <d v="2020-04-20T00:00:00"/>
    <x v="2"/>
    <n v="771"/>
    <n v="-2884"/>
    <x v="3"/>
    <n v="-771"/>
    <x v="1"/>
  </r>
  <r>
    <x v="385"/>
    <d v="2020-04-22T00:00:00"/>
    <x v="1"/>
    <n v="953"/>
    <n v="-3837"/>
    <x v="3"/>
    <n v="-953"/>
    <x v="1"/>
  </r>
  <r>
    <x v="386"/>
    <d v="2020-01-22T00:00:00"/>
    <x v="0"/>
    <n v="180"/>
    <n v="180"/>
    <x v="0"/>
    <n v="180"/>
    <x v="0"/>
  </r>
  <r>
    <x v="386"/>
    <d v="2020-01-29T00:00:00"/>
    <x v="0"/>
    <n v="889"/>
    <n v="1069"/>
    <x v="0"/>
    <n v="889"/>
    <x v="0"/>
  </r>
  <r>
    <x v="386"/>
    <d v="2020-03-07T00:00:00"/>
    <x v="0"/>
    <n v="761"/>
    <n v="1830"/>
    <x v="1"/>
    <n v="761"/>
    <x v="0"/>
  </r>
  <r>
    <x v="386"/>
    <d v="2020-03-16T00:00:00"/>
    <x v="0"/>
    <n v="721"/>
    <n v="2551"/>
    <x v="1"/>
    <n v="721"/>
    <x v="0"/>
  </r>
  <r>
    <x v="386"/>
    <d v="2020-04-01T00:00:00"/>
    <x v="0"/>
    <n v="808"/>
    <n v="3359"/>
    <x v="3"/>
    <n v="808"/>
    <x v="0"/>
  </r>
  <r>
    <x v="386"/>
    <d v="2020-04-12T00:00:00"/>
    <x v="1"/>
    <n v="688"/>
    <n v="2671"/>
    <x v="3"/>
    <n v="-688"/>
    <x v="0"/>
  </r>
  <r>
    <x v="386"/>
    <d v="2020-04-13T00:00:00"/>
    <x v="2"/>
    <n v="217"/>
    <n v="2454"/>
    <x v="3"/>
    <n v="-217"/>
    <x v="0"/>
  </r>
  <r>
    <x v="387"/>
    <d v="2020-01-09T00:00:00"/>
    <x v="0"/>
    <n v="833"/>
    <n v="833"/>
    <x v="0"/>
    <n v="833"/>
    <x v="0"/>
  </r>
  <r>
    <x v="387"/>
    <d v="2020-01-11T00:00:00"/>
    <x v="0"/>
    <n v="860"/>
    <n v="1693"/>
    <x v="0"/>
    <n v="860"/>
    <x v="0"/>
  </r>
  <r>
    <x v="387"/>
    <d v="2020-01-21T00:00:00"/>
    <x v="0"/>
    <n v="550"/>
    <n v="2243"/>
    <x v="0"/>
    <n v="550"/>
    <x v="0"/>
  </r>
  <r>
    <x v="387"/>
    <d v="2020-02-04T00:00:00"/>
    <x v="2"/>
    <n v="336"/>
    <n v="1907"/>
    <x v="2"/>
    <n v="-336"/>
    <x v="0"/>
  </r>
  <r>
    <x v="387"/>
    <d v="2020-02-21T00:00:00"/>
    <x v="1"/>
    <n v="781"/>
    <n v="1126"/>
    <x v="2"/>
    <n v="-781"/>
    <x v="0"/>
  </r>
  <r>
    <x v="387"/>
    <d v="2020-03-04T00:00:00"/>
    <x v="0"/>
    <n v="472"/>
    <n v="1598"/>
    <x v="1"/>
    <n v="472"/>
    <x v="0"/>
  </r>
  <r>
    <x v="387"/>
    <d v="2020-04-01T00:00:00"/>
    <x v="1"/>
    <n v="222"/>
    <n v="1376"/>
    <x v="3"/>
    <n v="-222"/>
    <x v="0"/>
  </r>
  <r>
    <x v="388"/>
    <d v="2020-01-04T00:00:00"/>
    <x v="0"/>
    <n v="632"/>
    <n v="632"/>
    <x v="0"/>
    <n v="632"/>
    <x v="0"/>
  </r>
  <r>
    <x v="388"/>
    <d v="2020-01-09T00:00:00"/>
    <x v="2"/>
    <n v="852"/>
    <n v="-220"/>
    <x v="0"/>
    <n v="-852"/>
    <x v="1"/>
  </r>
  <r>
    <x v="388"/>
    <d v="2020-01-10T00:00:00"/>
    <x v="0"/>
    <n v="398"/>
    <n v="178"/>
    <x v="0"/>
    <n v="398"/>
    <x v="0"/>
  </r>
  <r>
    <x v="388"/>
    <d v="2020-01-24T00:00:00"/>
    <x v="1"/>
    <n v="205"/>
    <n v="-27"/>
    <x v="0"/>
    <n v="-205"/>
    <x v="1"/>
  </r>
  <r>
    <x v="388"/>
    <d v="2020-02-03T00:00:00"/>
    <x v="0"/>
    <n v="681"/>
    <n v="654"/>
    <x v="2"/>
    <n v="681"/>
    <x v="0"/>
  </r>
  <r>
    <x v="388"/>
    <d v="2020-02-07T00:00:00"/>
    <x v="2"/>
    <n v="375"/>
    <n v="279"/>
    <x v="2"/>
    <n v="-375"/>
    <x v="0"/>
  </r>
  <r>
    <x v="388"/>
    <d v="2020-02-18T00:00:00"/>
    <x v="0"/>
    <n v="832"/>
    <n v="1111"/>
    <x v="2"/>
    <n v="832"/>
    <x v="0"/>
  </r>
  <r>
    <x v="388"/>
    <d v="2020-02-20T00:00:00"/>
    <x v="1"/>
    <n v="25"/>
    <n v="1086"/>
    <x v="2"/>
    <n v="-25"/>
    <x v="0"/>
  </r>
  <r>
    <x v="388"/>
    <d v="2020-02-24T00:00:00"/>
    <x v="0"/>
    <n v="131"/>
    <n v="1217"/>
    <x v="2"/>
    <n v="131"/>
    <x v="0"/>
  </r>
  <r>
    <x v="388"/>
    <d v="2020-02-25T00:00:00"/>
    <x v="1"/>
    <n v="727"/>
    <n v="490"/>
    <x v="2"/>
    <n v="-727"/>
    <x v="0"/>
  </r>
  <r>
    <x v="388"/>
    <d v="2020-03-06T00:00:00"/>
    <x v="0"/>
    <n v="161"/>
    <n v="651"/>
    <x v="1"/>
    <n v="161"/>
    <x v="0"/>
  </r>
  <r>
    <x v="388"/>
    <d v="2020-03-16T00:00:00"/>
    <x v="0"/>
    <n v="563"/>
    <n v="1214"/>
    <x v="1"/>
    <n v="563"/>
    <x v="0"/>
  </r>
  <r>
    <x v="388"/>
    <d v="2020-04-02T00:00:00"/>
    <x v="0"/>
    <n v="791"/>
    <n v="2005"/>
    <x v="3"/>
    <n v="791"/>
    <x v="0"/>
  </r>
  <r>
    <x v="389"/>
    <d v="2020-01-15T00:00:00"/>
    <x v="0"/>
    <n v="102"/>
    <n v="102"/>
    <x v="0"/>
    <n v="102"/>
    <x v="0"/>
  </r>
  <r>
    <x v="389"/>
    <d v="2020-01-28T00:00:00"/>
    <x v="2"/>
    <n v="807"/>
    <n v="-705"/>
    <x v="0"/>
    <n v="-807"/>
    <x v="1"/>
  </r>
  <r>
    <x v="389"/>
    <d v="2020-02-04T00:00:00"/>
    <x v="2"/>
    <n v="121"/>
    <n v="-826"/>
    <x v="2"/>
    <n v="-121"/>
    <x v="1"/>
  </r>
  <r>
    <x v="389"/>
    <d v="2020-02-08T00:00:00"/>
    <x v="1"/>
    <n v="726"/>
    <n v="-1552"/>
    <x v="2"/>
    <n v="-726"/>
    <x v="1"/>
  </r>
  <r>
    <x v="389"/>
    <d v="2020-02-09T00:00:00"/>
    <x v="1"/>
    <n v="117"/>
    <n v="-1669"/>
    <x v="2"/>
    <n v="-117"/>
    <x v="1"/>
  </r>
  <r>
    <x v="389"/>
    <d v="2020-02-21T00:00:00"/>
    <x v="2"/>
    <n v="369"/>
    <n v="-2038"/>
    <x v="2"/>
    <n v="-369"/>
    <x v="1"/>
  </r>
  <r>
    <x v="389"/>
    <d v="2020-03-09T00:00:00"/>
    <x v="1"/>
    <n v="713"/>
    <n v="-2751"/>
    <x v="1"/>
    <n v="-713"/>
    <x v="1"/>
  </r>
  <r>
    <x v="389"/>
    <d v="2020-03-14T00:00:00"/>
    <x v="0"/>
    <n v="804"/>
    <n v="-1947"/>
    <x v="1"/>
    <n v="804"/>
    <x v="1"/>
  </r>
  <r>
    <x v="389"/>
    <d v="2020-03-17T00:00:00"/>
    <x v="2"/>
    <n v="172"/>
    <n v="-2119"/>
    <x v="1"/>
    <n v="-172"/>
    <x v="1"/>
  </r>
  <r>
    <x v="389"/>
    <d v="2020-03-20T00:00:00"/>
    <x v="1"/>
    <n v="423"/>
    <n v="-2542"/>
    <x v="1"/>
    <n v="-423"/>
    <x v="1"/>
  </r>
  <r>
    <x v="389"/>
    <d v="2020-03-20T00:00:00"/>
    <x v="0"/>
    <n v="613"/>
    <n v="-1929"/>
    <x v="1"/>
    <n v="613"/>
    <x v="1"/>
  </r>
  <r>
    <x v="389"/>
    <d v="2020-04-01T00:00:00"/>
    <x v="0"/>
    <n v="735"/>
    <n v="-1194"/>
    <x v="3"/>
    <n v="735"/>
    <x v="1"/>
  </r>
  <r>
    <x v="389"/>
    <d v="2020-04-02T00:00:00"/>
    <x v="1"/>
    <n v="152"/>
    <n v="-1346"/>
    <x v="3"/>
    <n v="-152"/>
    <x v="1"/>
  </r>
  <r>
    <x v="389"/>
    <d v="2020-04-03T00:00:00"/>
    <x v="1"/>
    <n v="746"/>
    <n v="-2092"/>
    <x v="3"/>
    <n v="-746"/>
    <x v="1"/>
  </r>
  <r>
    <x v="389"/>
    <d v="2020-04-07T00:00:00"/>
    <x v="1"/>
    <n v="709"/>
    <n v="-2801"/>
    <x v="3"/>
    <n v="-709"/>
    <x v="1"/>
  </r>
  <r>
    <x v="390"/>
    <d v="2020-01-15T00:00:00"/>
    <x v="0"/>
    <n v="219"/>
    <n v="219"/>
    <x v="0"/>
    <n v="219"/>
    <x v="0"/>
  </r>
  <r>
    <x v="390"/>
    <d v="2020-01-20T00:00:00"/>
    <x v="0"/>
    <n v="733"/>
    <n v="952"/>
    <x v="0"/>
    <n v="733"/>
    <x v="0"/>
  </r>
  <r>
    <x v="390"/>
    <d v="2020-01-25T00:00:00"/>
    <x v="1"/>
    <n v="349"/>
    <n v="603"/>
    <x v="0"/>
    <n v="-349"/>
    <x v="0"/>
  </r>
  <r>
    <x v="390"/>
    <d v="2020-02-10T00:00:00"/>
    <x v="0"/>
    <n v="133"/>
    <n v="736"/>
    <x v="2"/>
    <n v="133"/>
    <x v="0"/>
  </r>
  <r>
    <x v="390"/>
    <d v="2020-02-18T00:00:00"/>
    <x v="1"/>
    <n v="454"/>
    <n v="282"/>
    <x v="2"/>
    <n v="-454"/>
    <x v="0"/>
  </r>
  <r>
    <x v="390"/>
    <d v="2020-02-26T00:00:00"/>
    <x v="1"/>
    <n v="280"/>
    <n v="2"/>
    <x v="2"/>
    <n v="-280"/>
    <x v="0"/>
  </r>
  <r>
    <x v="390"/>
    <d v="2020-03-08T00:00:00"/>
    <x v="0"/>
    <n v="595"/>
    <n v="597"/>
    <x v="1"/>
    <n v="595"/>
    <x v="0"/>
  </r>
  <r>
    <x v="390"/>
    <d v="2020-03-20T00:00:00"/>
    <x v="0"/>
    <n v="795"/>
    <n v="1392"/>
    <x v="1"/>
    <n v="795"/>
    <x v="0"/>
  </r>
  <r>
    <x v="390"/>
    <d v="2020-03-25T00:00:00"/>
    <x v="1"/>
    <n v="393"/>
    <n v="999"/>
    <x v="1"/>
    <n v="-393"/>
    <x v="0"/>
  </r>
  <r>
    <x v="390"/>
    <d v="2020-03-29T00:00:00"/>
    <x v="1"/>
    <n v="727"/>
    <n v="272"/>
    <x v="1"/>
    <n v="-727"/>
    <x v="0"/>
  </r>
  <r>
    <x v="390"/>
    <d v="2020-04-06T00:00:00"/>
    <x v="1"/>
    <n v="849"/>
    <n v="-577"/>
    <x v="3"/>
    <n v="-849"/>
    <x v="1"/>
  </r>
  <r>
    <x v="390"/>
    <d v="2020-04-13T00:00:00"/>
    <x v="0"/>
    <n v="487"/>
    <n v="-90"/>
    <x v="3"/>
    <n v="487"/>
    <x v="1"/>
  </r>
  <r>
    <x v="391"/>
    <d v="2020-01-29T00:00:00"/>
    <x v="0"/>
    <n v="876"/>
    <n v="876"/>
    <x v="0"/>
    <n v="876"/>
    <x v="0"/>
  </r>
  <r>
    <x v="391"/>
    <d v="2020-01-29T00:00:00"/>
    <x v="2"/>
    <n v="60"/>
    <n v="816"/>
    <x v="0"/>
    <n v="-60"/>
    <x v="0"/>
  </r>
  <r>
    <x v="391"/>
    <d v="2020-02-06T00:00:00"/>
    <x v="0"/>
    <n v="995"/>
    <n v="1811"/>
    <x v="2"/>
    <n v="995"/>
    <x v="0"/>
  </r>
  <r>
    <x v="391"/>
    <d v="2020-02-07T00:00:00"/>
    <x v="0"/>
    <n v="223"/>
    <n v="2034"/>
    <x v="2"/>
    <n v="223"/>
    <x v="0"/>
  </r>
  <r>
    <x v="391"/>
    <d v="2020-03-04T00:00:00"/>
    <x v="1"/>
    <n v="120"/>
    <n v="1914"/>
    <x v="1"/>
    <n v="-120"/>
    <x v="0"/>
  </r>
  <r>
    <x v="391"/>
    <d v="2020-03-09T00:00:00"/>
    <x v="2"/>
    <n v="416"/>
    <n v="1498"/>
    <x v="1"/>
    <n v="-416"/>
    <x v="0"/>
  </r>
  <r>
    <x v="391"/>
    <d v="2020-04-01T00:00:00"/>
    <x v="2"/>
    <n v="503"/>
    <n v="995"/>
    <x v="3"/>
    <n v="-503"/>
    <x v="0"/>
  </r>
  <r>
    <x v="391"/>
    <d v="2020-04-12T00:00:00"/>
    <x v="1"/>
    <n v="70"/>
    <n v="925"/>
    <x v="3"/>
    <n v="-70"/>
    <x v="0"/>
  </r>
  <r>
    <x v="391"/>
    <d v="2020-04-21T00:00:00"/>
    <x v="0"/>
    <n v="328"/>
    <n v="1253"/>
    <x v="3"/>
    <n v="328"/>
    <x v="0"/>
  </r>
  <r>
    <x v="392"/>
    <d v="2020-01-17T00:00:00"/>
    <x v="0"/>
    <n v="118"/>
    <n v="118"/>
    <x v="0"/>
    <n v="118"/>
    <x v="0"/>
  </r>
  <r>
    <x v="392"/>
    <d v="2020-01-30T00:00:00"/>
    <x v="0"/>
    <n v="541"/>
    <n v="659"/>
    <x v="0"/>
    <n v="541"/>
    <x v="0"/>
  </r>
  <r>
    <x v="392"/>
    <d v="2020-02-01T00:00:00"/>
    <x v="1"/>
    <n v="577"/>
    <n v="82"/>
    <x v="2"/>
    <n v="-577"/>
    <x v="0"/>
  </r>
  <r>
    <x v="392"/>
    <d v="2020-02-04T00:00:00"/>
    <x v="2"/>
    <n v="62"/>
    <n v="20"/>
    <x v="2"/>
    <n v="-62"/>
    <x v="0"/>
  </r>
  <r>
    <x v="392"/>
    <d v="2020-02-08T00:00:00"/>
    <x v="0"/>
    <n v="98"/>
    <n v="118"/>
    <x v="2"/>
    <n v="98"/>
    <x v="0"/>
  </r>
  <r>
    <x v="392"/>
    <d v="2020-03-01T00:00:00"/>
    <x v="0"/>
    <n v="720"/>
    <n v="838"/>
    <x v="1"/>
    <n v="720"/>
    <x v="0"/>
  </r>
  <r>
    <x v="392"/>
    <d v="2020-03-02T00:00:00"/>
    <x v="2"/>
    <n v="310"/>
    <n v="528"/>
    <x v="1"/>
    <n v="-310"/>
    <x v="0"/>
  </r>
  <r>
    <x v="392"/>
    <d v="2020-03-05T00:00:00"/>
    <x v="0"/>
    <n v="867"/>
    <n v="1395"/>
    <x v="1"/>
    <n v="867"/>
    <x v="0"/>
  </r>
  <r>
    <x v="392"/>
    <d v="2020-03-17T00:00:00"/>
    <x v="2"/>
    <n v="727"/>
    <n v="668"/>
    <x v="1"/>
    <n v="-727"/>
    <x v="0"/>
  </r>
  <r>
    <x v="392"/>
    <d v="2020-03-21T00:00:00"/>
    <x v="0"/>
    <n v="739"/>
    <n v="1407"/>
    <x v="1"/>
    <n v="739"/>
    <x v="0"/>
  </r>
  <r>
    <x v="392"/>
    <d v="2020-03-25T00:00:00"/>
    <x v="1"/>
    <n v="327"/>
    <n v="1080"/>
    <x v="1"/>
    <n v="-327"/>
    <x v="0"/>
  </r>
  <r>
    <x v="392"/>
    <d v="2020-03-29T00:00:00"/>
    <x v="0"/>
    <n v="776"/>
    <n v="1856"/>
    <x v="1"/>
    <n v="776"/>
    <x v="0"/>
  </r>
  <r>
    <x v="392"/>
    <d v="2020-03-29T00:00:00"/>
    <x v="2"/>
    <n v="356"/>
    <n v="1500"/>
    <x v="1"/>
    <n v="-356"/>
    <x v="0"/>
  </r>
  <r>
    <x v="392"/>
    <d v="2020-04-04T00:00:00"/>
    <x v="2"/>
    <n v="68"/>
    <n v="1432"/>
    <x v="3"/>
    <n v="-68"/>
    <x v="0"/>
  </r>
  <r>
    <x v="392"/>
    <d v="2020-04-05T00:00:00"/>
    <x v="1"/>
    <n v="317"/>
    <n v="1115"/>
    <x v="3"/>
    <n v="-317"/>
    <x v="0"/>
  </r>
  <r>
    <x v="392"/>
    <d v="2020-04-10T00:00:00"/>
    <x v="1"/>
    <n v="476"/>
    <n v="639"/>
    <x v="3"/>
    <n v="-476"/>
    <x v="0"/>
  </r>
  <r>
    <x v="393"/>
    <d v="2020-01-04T00:00:00"/>
    <x v="0"/>
    <n v="908"/>
    <n v="908"/>
    <x v="0"/>
    <n v="908"/>
    <x v="0"/>
  </r>
  <r>
    <x v="393"/>
    <d v="2020-01-04T00:00:00"/>
    <x v="0"/>
    <n v="854"/>
    <n v="1762"/>
    <x v="0"/>
    <n v="854"/>
    <x v="0"/>
  </r>
  <r>
    <x v="393"/>
    <d v="2020-01-07T00:00:00"/>
    <x v="0"/>
    <n v="255"/>
    <n v="2017"/>
    <x v="0"/>
    <n v="255"/>
    <x v="0"/>
  </r>
  <r>
    <x v="393"/>
    <d v="2020-01-11T00:00:00"/>
    <x v="1"/>
    <n v="218"/>
    <n v="1799"/>
    <x v="0"/>
    <n v="-218"/>
    <x v="0"/>
  </r>
  <r>
    <x v="393"/>
    <d v="2020-01-14T00:00:00"/>
    <x v="2"/>
    <n v="294"/>
    <n v="1505"/>
    <x v="0"/>
    <n v="-294"/>
    <x v="0"/>
  </r>
  <r>
    <x v="393"/>
    <d v="2020-01-19T00:00:00"/>
    <x v="0"/>
    <n v="798"/>
    <n v="2303"/>
    <x v="0"/>
    <n v="798"/>
    <x v="0"/>
  </r>
  <r>
    <x v="393"/>
    <d v="2020-01-27T00:00:00"/>
    <x v="0"/>
    <n v="965"/>
    <n v="3268"/>
    <x v="0"/>
    <n v="965"/>
    <x v="0"/>
  </r>
  <r>
    <x v="393"/>
    <d v="2020-02-01T00:00:00"/>
    <x v="1"/>
    <n v="850"/>
    <n v="2418"/>
    <x v="2"/>
    <n v="-850"/>
    <x v="0"/>
  </r>
  <r>
    <x v="393"/>
    <d v="2020-02-05T00:00:00"/>
    <x v="1"/>
    <n v="313"/>
    <n v="2105"/>
    <x v="2"/>
    <n v="-313"/>
    <x v="0"/>
  </r>
  <r>
    <x v="393"/>
    <d v="2020-02-09T00:00:00"/>
    <x v="0"/>
    <n v="259"/>
    <n v="2364"/>
    <x v="2"/>
    <n v="259"/>
    <x v="0"/>
  </r>
  <r>
    <x v="393"/>
    <d v="2020-02-16T00:00:00"/>
    <x v="1"/>
    <n v="468"/>
    <n v="1896"/>
    <x v="2"/>
    <n v="-468"/>
    <x v="0"/>
  </r>
  <r>
    <x v="393"/>
    <d v="2020-02-19T00:00:00"/>
    <x v="0"/>
    <n v="769"/>
    <n v="2665"/>
    <x v="2"/>
    <n v="769"/>
    <x v="0"/>
  </r>
  <r>
    <x v="393"/>
    <d v="2020-02-21T00:00:00"/>
    <x v="1"/>
    <n v="839"/>
    <n v="1826"/>
    <x v="2"/>
    <n v="-839"/>
    <x v="0"/>
  </r>
  <r>
    <x v="393"/>
    <d v="2020-02-28T00:00:00"/>
    <x v="0"/>
    <n v="818"/>
    <n v="2644"/>
    <x v="2"/>
    <n v="818"/>
    <x v="0"/>
  </r>
  <r>
    <x v="393"/>
    <d v="2020-03-14T00:00:00"/>
    <x v="2"/>
    <n v="570"/>
    <n v="2074"/>
    <x v="1"/>
    <n v="-570"/>
    <x v="0"/>
  </r>
  <r>
    <x v="393"/>
    <d v="2020-03-16T00:00:00"/>
    <x v="2"/>
    <n v="654"/>
    <n v="1420"/>
    <x v="1"/>
    <n v="-654"/>
    <x v="0"/>
  </r>
  <r>
    <x v="394"/>
    <d v="2020-01-14T00:00:00"/>
    <x v="0"/>
    <n v="40"/>
    <n v="40"/>
    <x v="0"/>
    <n v="40"/>
    <x v="0"/>
  </r>
  <r>
    <x v="394"/>
    <d v="2020-01-16T00:00:00"/>
    <x v="1"/>
    <n v="636"/>
    <n v="-596"/>
    <x v="0"/>
    <n v="-636"/>
    <x v="1"/>
  </r>
  <r>
    <x v="394"/>
    <d v="2020-01-18T00:00:00"/>
    <x v="1"/>
    <n v="507"/>
    <n v="-1103"/>
    <x v="0"/>
    <n v="-507"/>
    <x v="1"/>
  </r>
  <r>
    <x v="394"/>
    <d v="2020-01-21T00:00:00"/>
    <x v="0"/>
    <n v="35"/>
    <n v="-1068"/>
    <x v="0"/>
    <n v="35"/>
    <x v="1"/>
  </r>
  <r>
    <x v="394"/>
    <d v="2020-01-23T00:00:00"/>
    <x v="2"/>
    <n v="714"/>
    <n v="-1782"/>
    <x v="0"/>
    <n v="-714"/>
    <x v="1"/>
  </r>
  <r>
    <x v="394"/>
    <d v="2020-02-14T00:00:00"/>
    <x v="0"/>
    <n v="868"/>
    <n v="-914"/>
    <x v="2"/>
    <n v="868"/>
    <x v="1"/>
  </r>
  <r>
    <x v="394"/>
    <d v="2020-03-02T00:00:00"/>
    <x v="0"/>
    <n v="548"/>
    <n v="-366"/>
    <x v="1"/>
    <n v="548"/>
    <x v="1"/>
  </r>
  <r>
    <x v="394"/>
    <d v="2020-03-04T00:00:00"/>
    <x v="0"/>
    <n v="396"/>
    <n v="30"/>
    <x v="1"/>
    <n v="396"/>
    <x v="0"/>
  </r>
  <r>
    <x v="394"/>
    <d v="2020-03-23T00:00:00"/>
    <x v="1"/>
    <n v="583"/>
    <n v="-553"/>
    <x v="1"/>
    <n v="-583"/>
    <x v="1"/>
  </r>
  <r>
    <x v="394"/>
    <d v="2020-03-31T00:00:00"/>
    <x v="2"/>
    <n v="350"/>
    <n v="-903"/>
    <x v="1"/>
    <n v="-350"/>
    <x v="1"/>
  </r>
  <r>
    <x v="394"/>
    <d v="2020-04-09T00:00:00"/>
    <x v="1"/>
    <n v="820"/>
    <n v="-1723"/>
    <x v="3"/>
    <n v="-820"/>
    <x v="1"/>
  </r>
  <r>
    <x v="395"/>
    <d v="2020-01-01T00:00:00"/>
    <x v="0"/>
    <n v="608"/>
    <n v="608"/>
    <x v="0"/>
    <n v="608"/>
    <x v="0"/>
  </r>
  <r>
    <x v="395"/>
    <d v="2020-01-01T00:00:00"/>
    <x v="0"/>
    <n v="334"/>
    <n v="942"/>
    <x v="0"/>
    <n v="334"/>
    <x v="0"/>
  </r>
  <r>
    <x v="395"/>
    <d v="2020-01-02T00:00:00"/>
    <x v="2"/>
    <n v="598"/>
    <n v="344"/>
    <x v="0"/>
    <n v="-598"/>
    <x v="0"/>
  </r>
  <r>
    <x v="395"/>
    <d v="2020-01-05T00:00:00"/>
    <x v="1"/>
    <n v="114"/>
    <n v="230"/>
    <x v="0"/>
    <n v="-114"/>
    <x v="0"/>
  </r>
  <r>
    <x v="395"/>
    <d v="2020-01-10T00:00:00"/>
    <x v="0"/>
    <n v="460"/>
    <n v="690"/>
    <x v="0"/>
    <n v="460"/>
    <x v="0"/>
  </r>
  <r>
    <x v="395"/>
    <d v="2020-01-10T00:00:00"/>
    <x v="2"/>
    <n v="878"/>
    <n v="-188"/>
    <x v="0"/>
    <n v="-878"/>
    <x v="1"/>
  </r>
  <r>
    <x v="395"/>
    <d v="2020-01-13T00:00:00"/>
    <x v="2"/>
    <n v="201"/>
    <n v="-389"/>
    <x v="0"/>
    <n v="-201"/>
    <x v="1"/>
  </r>
  <r>
    <x v="395"/>
    <d v="2020-01-18T00:00:00"/>
    <x v="1"/>
    <n v="520"/>
    <n v="-909"/>
    <x v="0"/>
    <n v="-520"/>
    <x v="1"/>
  </r>
  <r>
    <x v="395"/>
    <d v="2020-02-01T00:00:00"/>
    <x v="2"/>
    <n v="454"/>
    <n v="-1363"/>
    <x v="2"/>
    <n v="-454"/>
    <x v="1"/>
  </r>
  <r>
    <x v="395"/>
    <d v="2020-02-03T00:00:00"/>
    <x v="2"/>
    <n v="221"/>
    <n v="-1584"/>
    <x v="2"/>
    <n v="-221"/>
    <x v="1"/>
  </r>
  <r>
    <x v="395"/>
    <d v="2020-02-16T00:00:00"/>
    <x v="0"/>
    <n v="230"/>
    <n v="-1354"/>
    <x v="2"/>
    <n v="230"/>
    <x v="1"/>
  </r>
  <r>
    <x v="395"/>
    <d v="2020-02-28T00:00:00"/>
    <x v="0"/>
    <n v="804"/>
    <n v="-550"/>
    <x v="2"/>
    <n v="804"/>
    <x v="1"/>
  </r>
  <r>
    <x v="395"/>
    <d v="2020-03-01T00:00:00"/>
    <x v="1"/>
    <n v="792"/>
    <n v="-1342"/>
    <x v="1"/>
    <n v="-792"/>
    <x v="1"/>
  </r>
  <r>
    <x v="395"/>
    <d v="2020-03-05T00:00:00"/>
    <x v="2"/>
    <n v="586"/>
    <n v="-1928"/>
    <x v="1"/>
    <n v="-586"/>
    <x v="1"/>
  </r>
  <r>
    <x v="395"/>
    <d v="2020-03-11T00:00:00"/>
    <x v="1"/>
    <n v="403"/>
    <n v="-2331"/>
    <x v="1"/>
    <n v="-403"/>
    <x v="1"/>
  </r>
  <r>
    <x v="395"/>
    <d v="2020-03-15T00:00:00"/>
    <x v="1"/>
    <n v="680"/>
    <n v="-3011"/>
    <x v="1"/>
    <n v="-680"/>
    <x v="1"/>
  </r>
  <r>
    <x v="395"/>
    <d v="2020-03-19T00:00:00"/>
    <x v="0"/>
    <n v="245"/>
    <n v="-2766"/>
    <x v="1"/>
    <n v="245"/>
    <x v="1"/>
  </r>
  <r>
    <x v="395"/>
    <d v="2020-03-23T00:00:00"/>
    <x v="1"/>
    <n v="82"/>
    <n v="-2848"/>
    <x v="1"/>
    <n v="-82"/>
    <x v="1"/>
  </r>
  <r>
    <x v="396"/>
    <d v="2020-01-06T00:00:00"/>
    <x v="0"/>
    <n v="973"/>
    <n v="973"/>
    <x v="0"/>
    <n v="973"/>
    <x v="0"/>
  </r>
  <r>
    <x v="396"/>
    <d v="2020-02-05T00:00:00"/>
    <x v="0"/>
    <n v="133"/>
    <n v="1106"/>
    <x v="2"/>
    <n v="133"/>
    <x v="0"/>
  </r>
  <r>
    <x v="396"/>
    <d v="2020-03-10T00:00:00"/>
    <x v="0"/>
    <n v="676"/>
    <n v="1782"/>
    <x v="1"/>
    <n v="676"/>
    <x v="0"/>
  </r>
  <r>
    <x v="396"/>
    <d v="2020-03-11T00:00:00"/>
    <x v="1"/>
    <n v="73"/>
    <n v="1709"/>
    <x v="1"/>
    <n v="-73"/>
    <x v="0"/>
  </r>
  <r>
    <x v="397"/>
    <d v="2020-01-01T00:00:00"/>
    <x v="0"/>
    <n v="196"/>
    <n v="196"/>
    <x v="0"/>
    <n v="196"/>
    <x v="0"/>
  </r>
  <r>
    <x v="397"/>
    <d v="2020-01-10T00:00:00"/>
    <x v="1"/>
    <n v="951"/>
    <n v="-755"/>
    <x v="0"/>
    <n v="-951"/>
    <x v="1"/>
  </r>
  <r>
    <x v="397"/>
    <d v="2020-01-14T00:00:00"/>
    <x v="2"/>
    <n v="255"/>
    <n v="-1010"/>
    <x v="0"/>
    <n v="-255"/>
    <x v="1"/>
  </r>
  <r>
    <x v="397"/>
    <d v="2020-01-16T00:00:00"/>
    <x v="2"/>
    <n v="195"/>
    <n v="-1205"/>
    <x v="0"/>
    <n v="-195"/>
    <x v="1"/>
  </r>
  <r>
    <x v="397"/>
    <d v="2020-01-23T00:00:00"/>
    <x v="0"/>
    <n v="523"/>
    <n v="-682"/>
    <x v="0"/>
    <n v="523"/>
    <x v="1"/>
  </r>
  <r>
    <x v="397"/>
    <d v="2020-01-27T00:00:00"/>
    <x v="1"/>
    <n v="570"/>
    <n v="-1252"/>
    <x v="0"/>
    <n v="-570"/>
    <x v="1"/>
  </r>
  <r>
    <x v="397"/>
    <d v="2020-01-31T00:00:00"/>
    <x v="0"/>
    <n v="823"/>
    <n v="-429"/>
    <x v="0"/>
    <n v="823"/>
    <x v="1"/>
  </r>
  <r>
    <x v="397"/>
    <d v="2020-02-02T00:00:00"/>
    <x v="1"/>
    <n v="38"/>
    <n v="-467"/>
    <x v="2"/>
    <n v="-38"/>
    <x v="1"/>
  </r>
  <r>
    <x v="397"/>
    <d v="2020-02-13T00:00:00"/>
    <x v="1"/>
    <n v="546"/>
    <n v="-1013"/>
    <x v="2"/>
    <n v="-546"/>
    <x v="1"/>
  </r>
  <r>
    <x v="397"/>
    <d v="2020-02-14T00:00:00"/>
    <x v="1"/>
    <n v="902"/>
    <n v="-1915"/>
    <x v="2"/>
    <n v="-902"/>
    <x v="1"/>
  </r>
  <r>
    <x v="397"/>
    <d v="2020-02-16T00:00:00"/>
    <x v="2"/>
    <n v="232"/>
    <n v="-2147"/>
    <x v="2"/>
    <n v="-232"/>
    <x v="1"/>
  </r>
  <r>
    <x v="397"/>
    <d v="2020-02-20T00:00:00"/>
    <x v="1"/>
    <n v="150"/>
    <n v="-2297"/>
    <x v="2"/>
    <n v="-150"/>
    <x v="1"/>
  </r>
  <r>
    <x v="397"/>
    <d v="2020-02-27T00:00:00"/>
    <x v="1"/>
    <n v="874"/>
    <n v="-3171"/>
    <x v="2"/>
    <n v="-874"/>
    <x v="1"/>
  </r>
  <r>
    <x v="397"/>
    <d v="2020-03-09T00:00:00"/>
    <x v="0"/>
    <n v="873"/>
    <n v="-2298"/>
    <x v="1"/>
    <n v="873"/>
    <x v="1"/>
  </r>
  <r>
    <x v="397"/>
    <d v="2020-03-10T00:00:00"/>
    <x v="2"/>
    <n v="678"/>
    <n v="-2976"/>
    <x v="1"/>
    <n v="-678"/>
    <x v="1"/>
  </r>
  <r>
    <x v="397"/>
    <d v="2020-03-14T00:00:00"/>
    <x v="2"/>
    <n v="817"/>
    <n v="-3793"/>
    <x v="1"/>
    <n v="-817"/>
    <x v="1"/>
  </r>
  <r>
    <x v="397"/>
    <d v="2020-03-21T00:00:00"/>
    <x v="1"/>
    <n v="201"/>
    <n v="-3994"/>
    <x v="1"/>
    <n v="-201"/>
    <x v="1"/>
  </r>
  <r>
    <x v="397"/>
    <d v="2020-03-22T00:00:00"/>
    <x v="1"/>
    <n v="916"/>
    <n v="-4910"/>
    <x v="1"/>
    <n v="-916"/>
    <x v="1"/>
  </r>
  <r>
    <x v="397"/>
    <d v="2020-03-24T00:00:00"/>
    <x v="0"/>
    <n v="874"/>
    <n v="-4036"/>
    <x v="1"/>
    <n v="874"/>
    <x v="1"/>
  </r>
  <r>
    <x v="397"/>
    <d v="2020-03-24T00:00:00"/>
    <x v="0"/>
    <n v="635"/>
    <n v="-3401"/>
    <x v="1"/>
    <n v="635"/>
    <x v="1"/>
  </r>
  <r>
    <x v="398"/>
    <d v="2020-01-13T00:00:00"/>
    <x v="2"/>
    <n v="187"/>
    <n v="-187"/>
    <x v="0"/>
    <n v="-187"/>
    <x v="1"/>
  </r>
  <r>
    <x v="398"/>
    <d v="2020-01-13T00:00:00"/>
    <x v="0"/>
    <n v="780"/>
    <n v="593"/>
    <x v="0"/>
    <n v="780"/>
    <x v="0"/>
  </r>
  <r>
    <x v="398"/>
    <d v="2020-02-06T00:00:00"/>
    <x v="1"/>
    <n v="999"/>
    <n v="-406"/>
    <x v="2"/>
    <n v="-999"/>
    <x v="1"/>
  </r>
  <r>
    <x v="398"/>
    <d v="2020-02-14T00:00:00"/>
    <x v="0"/>
    <n v="105"/>
    <n v="-301"/>
    <x v="2"/>
    <n v="105"/>
    <x v="1"/>
  </r>
  <r>
    <x v="398"/>
    <d v="2020-03-07T00:00:00"/>
    <x v="2"/>
    <n v="265"/>
    <n v="-566"/>
    <x v="1"/>
    <n v="-265"/>
    <x v="1"/>
  </r>
  <r>
    <x v="398"/>
    <d v="2020-03-13T00:00:00"/>
    <x v="2"/>
    <n v="769"/>
    <n v="-1335"/>
    <x v="1"/>
    <n v="-769"/>
    <x v="1"/>
  </r>
  <r>
    <x v="398"/>
    <d v="2020-03-13T00:00:00"/>
    <x v="0"/>
    <n v="804"/>
    <n v="-531"/>
    <x v="1"/>
    <n v="804"/>
    <x v="1"/>
  </r>
  <r>
    <x v="398"/>
    <d v="2020-03-22T00:00:00"/>
    <x v="2"/>
    <n v="957"/>
    <n v="-1488"/>
    <x v="1"/>
    <n v="-957"/>
    <x v="1"/>
  </r>
  <r>
    <x v="398"/>
    <d v="2020-04-01T00:00:00"/>
    <x v="2"/>
    <n v="229"/>
    <n v="-1717"/>
    <x v="3"/>
    <n v="-229"/>
    <x v="1"/>
  </r>
  <r>
    <x v="399"/>
    <d v="2020-01-24T00:00:00"/>
    <x v="0"/>
    <n v="691"/>
    <n v="691"/>
    <x v="0"/>
    <n v="691"/>
    <x v="0"/>
  </r>
  <r>
    <x v="399"/>
    <d v="2020-01-26T00:00:00"/>
    <x v="2"/>
    <n v="536"/>
    <n v="155"/>
    <x v="0"/>
    <n v="-536"/>
    <x v="0"/>
  </r>
  <r>
    <x v="399"/>
    <d v="2020-02-04T00:00:00"/>
    <x v="2"/>
    <n v="242"/>
    <n v="-87"/>
    <x v="2"/>
    <n v="-242"/>
    <x v="1"/>
  </r>
  <r>
    <x v="399"/>
    <d v="2020-02-21T00:00:00"/>
    <x v="1"/>
    <n v="395"/>
    <n v="-482"/>
    <x v="2"/>
    <n v="-395"/>
    <x v="1"/>
  </r>
  <r>
    <x v="399"/>
    <d v="2020-02-26T00:00:00"/>
    <x v="0"/>
    <n v="73"/>
    <n v="-409"/>
    <x v="2"/>
    <n v="73"/>
    <x v="1"/>
  </r>
  <r>
    <x v="399"/>
    <d v="2020-04-11T00:00:00"/>
    <x v="0"/>
    <n v="944"/>
    <n v="535"/>
    <x v="3"/>
    <n v="944"/>
    <x v="0"/>
  </r>
  <r>
    <x v="399"/>
    <d v="2020-04-18T00:00:00"/>
    <x v="0"/>
    <n v="803"/>
    <n v="1338"/>
    <x v="3"/>
    <n v="803"/>
    <x v="0"/>
  </r>
  <r>
    <x v="400"/>
    <d v="2020-01-03T00:00:00"/>
    <x v="0"/>
    <n v="956"/>
    <n v="956"/>
    <x v="0"/>
    <n v="956"/>
    <x v="0"/>
  </r>
  <r>
    <x v="400"/>
    <d v="2020-01-21T00:00:00"/>
    <x v="2"/>
    <n v="854"/>
    <n v="102"/>
    <x v="0"/>
    <n v="-854"/>
    <x v="0"/>
  </r>
  <r>
    <x v="400"/>
    <d v="2020-02-29T00:00:00"/>
    <x v="2"/>
    <n v="127"/>
    <n v="-25"/>
    <x v="2"/>
    <n v="-127"/>
    <x v="1"/>
  </r>
  <r>
    <x v="400"/>
    <d v="2020-03-07T00:00:00"/>
    <x v="1"/>
    <n v="855"/>
    <n v="-880"/>
    <x v="1"/>
    <n v="-855"/>
    <x v="1"/>
  </r>
  <r>
    <x v="400"/>
    <d v="2020-03-20T00:00:00"/>
    <x v="0"/>
    <n v="963"/>
    <n v="83"/>
    <x v="1"/>
    <n v="963"/>
    <x v="0"/>
  </r>
  <r>
    <x v="401"/>
    <d v="2020-01-05T00:00:00"/>
    <x v="0"/>
    <n v="435"/>
    <n v="435"/>
    <x v="0"/>
    <n v="435"/>
    <x v="0"/>
  </r>
  <r>
    <x v="401"/>
    <d v="2020-01-13T00:00:00"/>
    <x v="2"/>
    <n v="127"/>
    <n v="308"/>
    <x v="0"/>
    <n v="-127"/>
    <x v="0"/>
  </r>
  <r>
    <x v="401"/>
    <d v="2020-01-19T00:00:00"/>
    <x v="0"/>
    <n v="805"/>
    <n v="1113"/>
    <x v="0"/>
    <n v="805"/>
    <x v="0"/>
  </r>
  <r>
    <x v="401"/>
    <d v="2020-01-31T00:00:00"/>
    <x v="0"/>
    <n v="365"/>
    <n v="1478"/>
    <x v="0"/>
    <n v="365"/>
    <x v="0"/>
  </r>
  <r>
    <x v="401"/>
    <d v="2020-02-10T00:00:00"/>
    <x v="0"/>
    <n v="166"/>
    <n v="1644"/>
    <x v="2"/>
    <n v="166"/>
    <x v="0"/>
  </r>
  <r>
    <x v="401"/>
    <d v="2020-02-18T00:00:00"/>
    <x v="1"/>
    <n v="45"/>
    <n v="1599"/>
    <x v="2"/>
    <n v="-45"/>
    <x v="0"/>
  </r>
  <r>
    <x v="401"/>
    <d v="2020-03-17T00:00:00"/>
    <x v="1"/>
    <n v="803"/>
    <n v="796"/>
    <x v="1"/>
    <n v="-803"/>
    <x v="0"/>
  </r>
  <r>
    <x v="402"/>
    <d v="2020-01-13T00:00:00"/>
    <x v="0"/>
    <n v="232"/>
    <n v="232"/>
    <x v="0"/>
    <n v="232"/>
    <x v="0"/>
  </r>
  <r>
    <x v="402"/>
    <d v="2020-01-24T00:00:00"/>
    <x v="2"/>
    <n v="60"/>
    <n v="172"/>
    <x v="0"/>
    <n v="-60"/>
    <x v="0"/>
  </r>
  <r>
    <x v="402"/>
    <d v="2020-01-25T00:00:00"/>
    <x v="0"/>
    <n v="649"/>
    <n v="821"/>
    <x v="0"/>
    <n v="649"/>
    <x v="0"/>
  </r>
  <r>
    <x v="402"/>
    <d v="2020-01-30T00:00:00"/>
    <x v="2"/>
    <n v="518"/>
    <n v="303"/>
    <x v="0"/>
    <n v="-518"/>
    <x v="0"/>
  </r>
  <r>
    <x v="402"/>
    <d v="2020-03-03T00:00:00"/>
    <x v="1"/>
    <n v="81"/>
    <n v="222"/>
    <x v="1"/>
    <n v="-81"/>
    <x v="0"/>
  </r>
  <r>
    <x v="402"/>
    <d v="2020-03-09T00:00:00"/>
    <x v="0"/>
    <n v="765"/>
    <n v="987"/>
    <x v="1"/>
    <n v="765"/>
    <x v="0"/>
  </r>
  <r>
    <x v="402"/>
    <d v="2020-04-06T00:00:00"/>
    <x v="0"/>
    <n v="60"/>
    <n v="1047"/>
    <x v="3"/>
    <n v="60"/>
    <x v="0"/>
  </r>
  <r>
    <x v="403"/>
    <d v="2020-01-02T00:00:00"/>
    <x v="0"/>
    <n v="724"/>
    <n v="724"/>
    <x v="0"/>
    <n v="724"/>
    <x v="0"/>
  </r>
  <r>
    <x v="403"/>
    <d v="2020-01-02T00:00:00"/>
    <x v="2"/>
    <n v="636"/>
    <n v="88"/>
    <x v="0"/>
    <n v="-636"/>
    <x v="0"/>
  </r>
  <r>
    <x v="403"/>
    <d v="2020-01-05T00:00:00"/>
    <x v="2"/>
    <n v="42"/>
    <n v="46"/>
    <x v="0"/>
    <n v="-42"/>
    <x v="0"/>
  </r>
  <r>
    <x v="403"/>
    <d v="2020-01-07T00:00:00"/>
    <x v="2"/>
    <n v="137"/>
    <n v="-91"/>
    <x v="0"/>
    <n v="-137"/>
    <x v="1"/>
  </r>
  <r>
    <x v="403"/>
    <d v="2020-01-09T00:00:00"/>
    <x v="0"/>
    <n v="229"/>
    <n v="138"/>
    <x v="0"/>
    <n v="229"/>
    <x v="0"/>
  </r>
  <r>
    <x v="403"/>
    <d v="2020-01-16T00:00:00"/>
    <x v="1"/>
    <n v="592"/>
    <n v="-454"/>
    <x v="0"/>
    <n v="-592"/>
    <x v="1"/>
  </r>
  <r>
    <x v="403"/>
    <d v="2020-01-16T00:00:00"/>
    <x v="0"/>
    <n v="933"/>
    <n v="479"/>
    <x v="0"/>
    <n v="933"/>
    <x v="0"/>
  </r>
  <r>
    <x v="403"/>
    <d v="2020-01-17T00:00:00"/>
    <x v="1"/>
    <n v="190"/>
    <n v="289"/>
    <x v="0"/>
    <n v="-190"/>
    <x v="0"/>
  </r>
  <r>
    <x v="403"/>
    <d v="2020-01-24T00:00:00"/>
    <x v="2"/>
    <n v="867"/>
    <n v="-578"/>
    <x v="0"/>
    <n v="-867"/>
    <x v="1"/>
  </r>
  <r>
    <x v="403"/>
    <d v="2020-01-25T00:00:00"/>
    <x v="0"/>
    <n v="333"/>
    <n v="-245"/>
    <x v="0"/>
    <n v="333"/>
    <x v="1"/>
  </r>
  <r>
    <x v="403"/>
    <d v="2020-02-05T00:00:00"/>
    <x v="2"/>
    <n v="44"/>
    <n v="-289"/>
    <x v="2"/>
    <n v="-44"/>
    <x v="1"/>
  </r>
  <r>
    <x v="403"/>
    <d v="2020-02-06T00:00:00"/>
    <x v="0"/>
    <n v="329"/>
    <n v="40"/>
    <x v="2"/>
    <n v="329"/>
    <x v="0"/>
  </r>
  <r>
    <x v="403"/>
    <d v="2020-02-12T00:00:00"/>
    <x v="0"/>
    <n v="981"/>
    <n v="1021"/>
    <x v="2"/>
    <n v="981"/>
    <x v="0"/>
  </r>
  <r>
    <x v="403"/>
    <d v="2020-02-14T00:00:00"/>
    <x v="1"/>
    <n v="515"/>
    <n v="506"/>
    <x v="2"/>
    <n v="-515"/>
    <x v="0"/>
  </r>
  <r>
    <x v="403"/>
    <d v="2020-02-27T00:00:00"/>
    <x v="1"/>
    <n v="853"/>
    <n v="-347"/>
    <x v="2"/>
    <n v="-853"/>
    <x v="1"/>
  </r>
  <r>
    <x v="403"/>
    <d v="2020-03-08T00:00:00"/>
    <x v="0"/>
    <n v="41"/>
    <n v="-306"/>
    <x v="1"/>
    <n v="41"/>
    <x v="1"/>
  </r>
  <r>
    <x v="403"/>
    <d v="2020-03-11T00:00:00"/>
    <x v="2"/>
    <n v="351"/>
    <n v="-657"/>
    <x v="1"/>
    <n v="-351"/>
    <x v="1"/>
  </r>
  <r>
    <x v="403"/>
    <d v="2020-03-16T00:00:00"/>
    <x v="1"/>
    <n v="563"/>
    <n v="-1220"/>
    <x v="1"/>
    <n v="-563"/>
    <x v="1"/>
  </r>
  <r>
    <x v="403"/>
    <d v="2020-03-23T00:00:00"/>
    <x v="1"/>
    <n v="720"/>
    <n v="-1940"/>
    <x v="1"/>
    <n v="-720"/>
    <x v="1"/>
  </r>
  <r>
    <x v="403"/>
    <d v="2020-03-27T00:00:00"/>
    <x v="0"/>
    <n v="364"/>
    <n v="-1576"/>
    <x v="1"/>
    <n v="364"/>
    <x v="1"/>
  </r>
  <r>
    <x v="403"/>
    <d v="2020-03-31T00:00:00"/>
    <x v="1"/>
    <n v="908"/>
    <n v="-2484"/>
    <x v="1"/>
    <n v="-908"/>
    <x v="1"/>
  </r>
  <r>
    <x v="404"/>
    <d v="2020-01-04T00:00:00"/>
    <x v="0"/>
    <n v="413"/>
    <n v="413"/>
    <x v="0"/>
    <n v="413"/>
    <x v="0"/>
  </r>
  <r>
    <x v="404"/>
    <d v="2020-01-12T00:00:00"/>
    <x v="2"/>
    <n v="975"/>
    <n v="-562"/>
    <x v="0"/>
    <n v="-975"/>
    <x v="1"/>
  </r>
  <r>
    <x v="404"/>
    <d v="2020-01-13T00:00:00"/>
    <x v="1"/>
    <n v="209"/>
    <n v="-771"/>
    <x v="0"/>
    <n v="-209"/>
    <x v="1"/>
  </r>
  <r>
    <x v="404"/>
    <d v="2020-01-14T00:00:00"/>
    <x v="0"/>
    <n v="480"/>
    <n v="-291"/>
    <x v="0"/>
    <n v="480"/>
    <x v="1"/>
  </r>
  <r>
    <x v="404"/>
    <d v="2020-01-17T00:00:00"/>
    <x v="1"/>
    <n v="492"/>
    <n v="-783"/>
    <x v="0"/>
    <n v="-492"/>
    <x v="1"/>
  </r>
  <r>
    <x v="404"/>
    <d v="2020-01-17T00:00:00"/>
    <x v="1"/>
    <n v="754"/>
    <n v="-1537"/>
    <x v="0"/>
    <n v="-754"/>
    <x v="1"/>
  </r>
  <r>
    <x v="404"/>
    <d v="2020-01-20T00:00:00"/>
    <x v="1"/>
    <n v="458"/>
    <n v="-1995"/>
    <x v="0"/>
    <n v="-458"/>
    <x v="1"/>
  </r>
  <r>
    <x v="404"/>
    <d v="2020-01-29T00:00:00"/>
    <x v="1"/>
    <n v="902"/>
    <n v="-2897"/>
    <x v="0"/>
    <n v="-902"/>
    <x v="1"/>
  </r>
  <r>
    <x v="404"/>
    <d v="2020-02-01T00:00:00"/>
    <x v="1"/>
    <n v="593"/>
    <n v="-3490"/>
    <x v="2"/>
    <n v="-593"/>
    <x v="1"/>
  </r>
  <r>
    <x v="404"/>
    <d v="2020-02-07T00:00:00"/>
    <x v="1"/>
    <n v="438"/>
    <n v="-3928"/>
    <x v="2"/>
    <n v="-438"/>
    <x v="1"/>
  </r>
  <r>
    <x v="404"/>
    <d v="2020-02-19T00:00:00"/>
    <x v="2"/>
    <n v="742"/>
    <n v="-4670"/>
    <x v="2"/>
    <n v="-742"/>
    <x v="1"/>
  </r>
  <r>
    <x v="404"/>
    <d v="2020-02-25T00:00:00"/>
    <x v="0"/>
    <n v="545"/>
    <n v="-4125"/>
    <x v="2"/>
    <n v="545"/>
    <x v="1"/>
  </r>
  <r>
    <x v="404"/>
    <d v="2020-03-07T00:00:00"/>
    <x v="0"/>
    <n v="702"/>
    <n v="-3423"/>
    <x v="1"/>
    <n v="702"/>
    <x v="1"/>
  </r>
  <r>
    <x v="404"/>
    <d v="2020-03-10T00:00:00"/>
    <x v="1"/>
    <n v="456"/>
    <n v="-3879"/>
    <x v="1"/>
    <n v="-456"/>
    <x v="1"/>
  </r>
  <r>
    <x v="404"/>
    <d v="2020-03-13T00:00:00"/>
    <x v="1"/>
    <n v="984"/>
    <n v="-4863"/>
    <x v="1"/>
    <n v="-984"/>
    <x v="1"/>
  </r>
  <r>
    <x v="404"/>
    <d v="2020-03-14T00:00:00"/>
    <x v="0"/>
    <n v="38"/>
    <n v="-4825"/>
    <x v="1"/>
    <n v="38"/>
    <x v="1"/>
  </r>
  <r>
    <x v="404"/>
    <d v="2020-03-18T00:00:00"/>
    <x v="2"/>
    <n v="671"/>
    <n v="-5496"/>
    <x v="1"/>
    <n v="-671"/>
    <x v="1"/>
  </r>
  <r>
    <x v="404"/>
    <d v="2020-03-27T00:00:00"/>
    <x v="1"/>
    <n v="171"/>
    <n v="-5667"/>
    <x v="1"/>
    <n v="-171"/>
    <x v="1"/>
  </r>
  <r>
    <x v="404"/>
    <d v="2020-03-30T00:00:00"/>
    <x v="2"/>
    <n v="836"/>
    <n v="-6503"/>
    <x v="1"/>
    <n v="-836"/>
    <x v="1"/>
  </r>
  <r>
    <x v="404"/>
    <d v="2020-03-31T00:00:00"/>
    <x v="2"/>
    <n v="379"/>
    <n v="-6882"/>
    <x v="1"/>
    <n v="-379"/>
    <x v="1"/>
  </r>
  <r>
    <x v="404"/>
    <d v="2020-04-02T00:00:00"/>
    <x v="1"/>
    <n v="188"/>
    <n v="-7070"/>
    <x v="3"/>
    <n v="-188"/>
    <x v="1"/>
  </r>
  <r>
    <x v="405"/>
    <d v="2020-01-26T00:00:00"/>
    <x v="0"/>
    <n v="795"/>
    <n v="795"/>
    <x v="0"/>
    <n v="795"/>
    <x v="0"/>
  </r>
  <r>
    <x v="405"/>
    <d v="2020-02-01T00:00:00"/>
    <x v="0"/>
    <n v="829"/>
    <n v="1624"/>
    <x v="2"/>
    <n v="829"/>
    <x v="0"/>
  </r>
  <r>
    <x v="405"/>
    <d v="2020-02-12T00:00:00"/>
    <x v="2"/>
    <n v="424"/>
    <n v="1200"/>
    <x v="2"/>
    <n v="-424"/>
    <x v="0"/>
  </r>
  <r>
    <x v="405"/>
    <d v="2020-02-15T00:00:00"/>
    <x v="2"/>
    <n v="69"/>
    <n v="1131"/>
    <x v="2"/>
    <n v="-69"/>
    <x v="0"/>
  </r>
  <r>
    <x v="405"/>
    <d v="2020-03-02T00:00:00"/>
    <x v="0"/>
    <n v="177"/>
    <n v="1308"/>
    <x v="1"/>
    <n v="177"/>
    <x v="0"/>
  </r>
  <r>
    <x v="405"/>
    <d v="2020-03-03T00:00:00"/>
    <x v="0"/>
    <n v="337"/>
    <n v="1645"/>
    <x v="1"/>
    <n v="337"/>
    <x v="0"/>
  </r>
  <r>
    <x v="405"/>
    <d v="2020-03-04T00:00:00"/>
    <x v="0"/>
    <n v="51"/>
    <n v="1696"/>
    <x v="1"/>
    <n v="51"/>
    <x v="0"/>
  </r>
  <r>
    <x v="405"/>
    <d v="2020-03-09T00:00:00"/>
    <x v="0"/>
    <n v="385"/>
    <n v="2081"/>
    <x v="1"/>
    <n v="385"/>
    <x v="0"/>
  </r>
  <r>
    <x v="405"/>
    <d v="2020-03-12T00:00:00"/>
    <x v="2"/>
    <n v="114"/>
    <n v="1967"/>
    <x v="1"/>
    <n v="-114"/>
    <x v="0"/>
  </r>
  <r>
    <x v="405"/>
    <d v="2020-03-24T00:00:00"/>
    <x v="0"/>
    <n v="394"/>
    <n v="2361"/>
    <x v="1"/>
    <n v="394"/>
    <x v="0"/>
  </r>
  <r>
    <x v="405"/>
    <d v="2020-03-28T00:00:00"/>
    <x v="0"/>
    <n v="236"/>
    <n v="2597"/>
    <x v="1"/>
    <n v="236"/>
    <x v="0"/>
  </r>
  <r>
    <x v="405"/>
    <d v="2020-04-03T00:00:00"/>
    <x v="2"/>
    <n v="262"/>
    <n v="2335"/>
    <x v="3"/>
    <n v="-262"/>
    <x v="0"/>
  </r>
  <r>
    <x v="405"/>
    <d v="2020-04-04T00:00:00"/>
    <x v="2"/>
    <n v="606"/>
    <n v="1729"/>
    <x v="3"/>
    <n v="-606"/>
    <x v="0"/>
  </r>
  <r>
    <x v="405"/>
    <d v="2020-04-06T00:00:00"/>
    <x v="0"/>
    <n v="892"/>
    <n v="2621"/>
    <x v="3"/>
    <n v="892"/>
    <x v="0"/>
  </r>
  <r>
    <x v="405"/>
    <d v="2020-04-10T00:00:00"/>
    <x v="2"/>
    <n v="342"/>
    <n v="2279"/>
    <x v="3"/>
    <n v="-342"/>
    <x v="0"/>
  </r>
  <r>
    <x v="406"/>
    <d v="2020-01-14T00:00:00"/>
    <x v="0"/>
    <n v="804"/>
    <n v="804"/>
    <x v="0"/>
    <n v="804"/>
    <x v="0"/>
  </r>
  <r>
    <x v="406"/>
    <d v="2020-01-23T00:00:00"/>
    <x v="2"/>
    <n v="821"/>
    <n v="-17"/>
    <x v="0"/>
    <n v="-821"/>
    <x v="1"/>
  </r>
  <r>
    <x v="406"/>
    <d v="2020-01-25T00:00:00"/>
    <x v="0"/>
    <n v="24"/>
    <n v="7"/>
    <x v="0"/>
    <n v="24"/>
    <x v="0"/>
  </r>
  <r>
    <x v="406"/>
    <d v="2020-02-04T00:00:00"/>
    <x v="0"/>
    <n v="643"/>
    <n v="650"/>
    <x v="2"/>
    <n v="643"/>
    <x v="0"/>
  </r>
  <r>
    <x v="406"/>
    <d v="2020-02-05T00:00:00"/>
    <x v="1"/>
    <n v="604"/>
    <n v="46"/>
    <x v="2"/>
    <n v="-604"/>
    <x v="0"/>
  </r>
  <r>
    <x v="406"/>
    <d v="2020-03-16T00:00:00"/>
    <x v="2"/>
    <n v="946"/>
    <n v="-900"/>
    <x v="1"/>
    <n v="-946"/>
    <x v="1"/>
  </r>
  <r>
    <x v="406"/>
    <d v="2020-04-01T00:00:00"/>
    <x v="1"/>
    <n v="999"/>
    <n v="-1899"/>
    <x v="3"/>
    <n v="-999"/>
    <x v="1"/>
  </r>
  <r>
    <x v="406"/>
    <d v="2020-04-03T00:00:00"/>
    <x v="1"/>
    <n v="969"/>
    <n v="-2868"/>
    <x v="3"/>
    <n v="-969"/>
    <x v="1"/>
  </r>
  <r>
    <x v="406"/>
    <d v="2020-04-04T00:00:00"/>
    <x v="1"/>
    <n v="407"/>
    <n v="-3275"/>
    <x v="3"/>
    <n v="-407"/>
    <x v="1"/>
  </r>
  <r>
    <x v="407"/>
    <d v="2020-01-21T00:00:00"/>
    <x v="0"/>
    <n v="514"/>
    <n v="514"/>
    <x v="0"/>
    <n v="514"/>
    <x v="0"/>
  </r>
  <r>
    <x v="407"/>
    <d v="2020-01-30T00:00:00"/>
    <x v="2"/>
    <n v="659"/>
    <n v="-145"/>
    <x v="0"/>
    <n v="-659"/>
    <x v="1"/>
  </r>
  <r>
    <x v="407"/>
    <d v="2020-03-09T00:00:00"/>
    <x v="0"/>
    <n v="945"/>
    <n v="800"/>
    <x v="1"/>
    <n v="945"/>
    <x v="0"/>
  </r>
  <r>
    <x v="407"/>
    <d v="2020-04-14T00:00:00"/>
    <x v="1"/>
    <n v="932"/>
    <n v="-132"/>
    <x v="3"/>
    <n v="-932"/>
    <x v="1"/>
  </r>
  <r>
    <x v="408"/>
    <d v="2020-01-22T00:00:00"/>
    <x v="0"/>
    <n v="155"/>
    <n v="155"/>
    <x v="0"/>
    <n v="155"/>
    <x v="0"/>
  </r>
  <r>
    <x v="408"/>
    <d v="2020-02-11T00:00:00"/>
    <x v="0"/>
    <n v="713"/>
    <n v="868"/>
    <x v="2"/>
    <n v="713"/>
    <x v="0"/>
  </r>
  <r>
    <x v="408"/>
    <d v="2020-02-13T00:00:00"/>
    <x v="0"/>
    <n v="556"/>
    <n v="1424"/>
    <x v="2"/>
    <n v="556"/>
    <x v="0"/>
  </r>
  <r>
    <x v="408"/>
    <d v="2020-02-18T00:00:00"/>
    <x v="1"/>
    <n v="990"/>
    <n v="434"/>
    <x v="2"/>
    <n v="-990"/>
    <x v="0"/>
  </r>
  <r>
    <x v="408"/>
    <d v="2020-02-24T00:00:00"/>
    <x v="0"/>
    <n v="937"/>
    <n v="1371"/>
    <x v="2"/>
    <n v="937"/>
    <x v="0"/>
  </r>
  <r>
    <x v="408"/>
    <d v="2020-03-01T00:00:00"/>
    <x v="0"/>
    <n v="983"/>
    <n v="2354"/>
    <x v="1"/>
    <n v="983"/>
    <x v="0"/>
  </r>
  <r>
    <x v="408"/>
    <d v="2020-03-18T00:00:00"/>
    <x v="2"/>
    <n v="924"/>
    <n v="1430"/>
    <x v="1"/>
    <n v="-924"/>
    <x v="0"/>
  </r>
  <r>
    <x v="408"/>
    <d v="2020-03-20T00:00:00"/>
    <x v="0"/>
    <n v="650"/>
    <n v="2080"/>
    <x v="1"/>
    <n v="650"/>
    <x v="0"/>
  </r>
  <r>
    <x v="408"/>
    <d v="2020-03-24T00:00:00"/>
    <x v="0"/>
    <n v="61"/>
    <n v="2141"/>
    <x v="1"/>
    <n v="61"/>
    <x v="0"/>
  </r>
  <r>
    <x v="408"/>
    <d v="2020-03-25T00:00:00"/>
    <x v="0"/>
    <n v="314"/>
    <n v="2455"/>
    <x v="1"/>
    <n v="314"/>
    <x v="0"/>
  </r>
  <r>
    <x v="408"/>
    <d v="2020-04-13T00:00:00"/>
    <x v="2"/>
    <n v="894"/>
    <n v="1561"/>
    <x v="3"/>
    <n v="-894"/>
    <x v="0"/>
  </r>
  <r>
    <x v="408"/>
    <d v="2020-04-16T00:00:00"/>
    <x v="0"/>
    <n v="629"/>
    <n v="2190"/>
    <x v="3"/>
    <n v="629"/>
    <x v="0"/>
  </r>
  <r>
    <x v="408"/>
    <d v="2020-04-17T00:00:00"/>
    <x v="0"/>
    <n v="433"/>
    <n v="2623"/>
    <x v="3"/>
    <n v="433"/>
    <x v="0"/>
  </r>
  <r>
    <x v="409"/>
    <d v="2020-01-07T00:00:00"/>
    <x v="0"/>
    <n v="601"/>
    <n v="601"/>
    <x v="0"/>
    <n v="601"/>
    <x v="0"/>
  </r>
  <r>
    <x v="409"/>
    <d v="2020-01-08T00:00:00"/>
    <x v="1"/>
    <n v="171"/>
    <n v="430"/>
    <x v="0"/>
    <n v="-171"/>
    <x v="0"/>
  </r>
  <r>
    <x v="409"/>
    <d v="2020-01-21T00:00:00"/>
    <x v="0"/>
    <n v="595"/>
    <n v="1025"/>
    <x v="0"/>
    <n v="595"/>
    <x v="0"/>
  </r>
  <r>
    <x v="409"/>
    <d v="2020-02-07T00:00:00"/>
    <x v="1"/>
    <n v="103"/>
    <n v="922"/>
    <x v="2"/>
    <n v="-103"/>
    <x v="0"/>
  </r>
  <r>
    <x v="409"/>
    <d v="2020-02-10T00:00:00"/>
    <x v="2"/>
    <n v="723"/>
    <n v="199"/>
    <x v="2"/>
    <n v="-723"/>
    <x v="0"/>
  </r>
  <r>
    <x v="409"/>
    <d v="2020-03-04T00:00:00"/>
    <x v="0"/>
    <n v="136"/>
    <n v="335"/>
    <x v="1"/>
    <n v="136"/>
    <x v="0"/>
  </r>
  <r>
    <x v="409"/>
    <d v="2020-03-09T00:00:00"/>
    <x v="2"/>
    <n v="78"/>
    <n v="257"/>
    <x v="1"/>
    <n v="-78"/>
    <x v="0"/>
  </r>
  <r>
    <x v="409"/>
    <d v="2020-03-14T00:00:00"/>
    <x v="2"/>
    <n v="666"/>
    <n v="-409"/>
    <x v="1"/>
    <n v="-666"/>
    <x v="1"/>
  </r>
  <r>
    <x v="409"/>
    <d v="2020-03-16T00:00:00"/>
    <x v="0"/>
    <n v="135"/>
    <n v="-274"/>
    <x v="1"/>
    <n v="135"/>
    <x v="1"/>
  </r>
  <r>
    <x v="409"/>
    <d v="2020-03-28T00:00:00"/>
    <x v="0"/>
    <n v="222"/>
    <n v="-52"/>
    <x v="1"/>
    <n v="222"/>
    <x v="1"/>
  </r>
  <r>
    <x v="410"/>
    <d v="2020-01-27T00:00:00"/>
    <x v="0"/>
    <n v="551"/>
    <n v="551"/>
    <x v="0"/>
    <n v="551"/>
    <x v="0"/>
  </r>
  <r>
    <x v="410"/>
    <d v="2020-04-08T00:00:00"/>
    <x v="1"/>
    <n v="871"/>
    <n v="-320"/>
    <x v="3"/>
    <n v="-871"/>
    <x v="1"/>
  </r>
  <r>
    <x v="410"/>
    <d v="2020-04-23T00:00:00"/>
    <x v="1"/>
    <n v="661"/>
    <n v="-981"/>
    <x v="3"/>
    <n v="-661"/>
    <x v="1"/>
  </r>
  <r>
    <x v="411"/>
    <d v="2020-01-01T00:00:00"/>
    <x v="0"/>
    <n v="381"/>
    <n v="381"/>
    <x v="0"/>
    <n v="381"/>
    <x v="0"/>
  </r>
  <r>
    <x v="411"/>
    <d v="2020-01-03T00:00:00"/>
    <x v="1"/>
    <n v="242"/>
    <n v="139"/>
    <x v="0"/>
    <n v="-242"/>
    <x v="0"/>
  </r>
  <r>
    <x v="411"/>
    <d v="2020-01-06T00:00:00"/>
    <x v="0"/>
    <n v="583"/>
    <n v="722"/>
    <x v="0"/>
    <n v="583"/>
    <x v="0"/>
  </r>
  <r>
    <x v="411"/>
    <d v="2020-02-19T00:00:00"/>
    <x v="2"/>
    <n v="114"/>
    <n v="608"/>
    <x v="2"/>
    <n v="-114"/>
    <x v="0"/>
  </r>
  <r>
    <x v="412"/>
    <d v="2020-01-26T00:00:00"/>
    <x v="0"/>
    <n v="927"/>
    <n v="927"/>
    <x v="0"/>
    <n v="927"/>
    <x v="0"/>
  </r>
  <r>
    <x v="412"/>
    <d v="2020-01-28T00:00:00"/>
    <x v="2"/>
    <n v="793"/>
    <n v="134"/>
    <x v="0"/>
    <n v="-793"/>
    <x v="0"/>
  </r>
  <r>
    <x v="412"/>
    <d v="2020-01-28T00:00:00"/>
    <x v="0"/>
    <n v="508"/>
    <n v="642"/>
    <x v="0"/>
    <n v="508"/>
    <x v="0"/>
  </r>
  <r>
    <x v="412"/>
    <d v="2020-02-01T00:00:00"/>
    <x v="0"/>
    <n v="851"/>
    <n v="1493"/>
    <x v="2"/>
    <n v="851"/>
    <x v="0"/>
  </r>
  <r>
    <x v="412"/>
    <d v="2020-02-05T00:00:00"/>
    <x v="2"/>
    <n v="389"/>
    <n v="1104"/>
    <x v="2"/>
    <n v="-389"/>
    <x v="0"/>
  </r>
  <r>
    <x v="412"/>
    <d v="2020-02-10T00:00:00"/>
    <x v="0"/>
    <n v="223"/>
    <n v="1327"/>
    <x v="2"/>
    <n v="223"/>
    <x v="0"/>
  </r>
  <r>
    <x v="412"/>
    <d v="2020-02-16T00:00:00"/>
    <x v="2"/>
    <n v="957"/>
    <n v="370"/>
    <x v="2"/>
    <n v="-957"/>
    <x v="0"/>
  </r>
  <r>
    <x v="412"/>
    <d v="2020-02-25T00:00:00"/>
    <x v="0"/>
    <n v="702"/>
    <n v="1072"/>
    <x v="2"/>
    <n v="702"/>
    <x v="0"/>
  </r>
  <r>
    <x v="412"/>
    <d v="2020-04-01T00:00:00"/>
    <x v="1"/>
    <n v="271"/>
    <n v="801"/>
    <x v="3"/>
    <n v="-271"/>
    <x v="0"/>
  </r>
  <r>
    <x v="413"/>
    <d v="2020-01-08T00:00:00"/>
    <x v="0"/>
    <n v="445"/>
    <n v="445"/>
    <x v="0"/>
    <n v="445"/>
    <x v="0"/>
  </r>
  <r>
    <x v="413"/>
    <d v="2020-01-21T00:00:00"/>
    <x v="2"/>
    <n v="414"/>
    <n v="31"/>
    <x v="0"/>
    <n v="-414"/>
    <x v="0"/>
  </r>
  <r>
    <x v="413"/>
    <d v="2020-01-22T00:00:00"/>
    <x v="0"/>
    <n v="711"/>
    <n v="742"/>
    <x v="0"/>
    <n v="711"/>
    <x v="0"/>
  </r>
  <r>
    <x v="413"/>
    <d v="2020-01-28T00:00:00"/>
    <x v="2"/>
    <n v="303"/>
    <n v="439"/>
    <x v="0"/>
    <n v="-303"/>
    <x v="0"/>
  </r>
  <r>
    <x v="413"/>
    <d v="2020-03-04T00:00:00"/>
    <x v="0"/>
    <n v="616"/>
    <n v="1055"/>
    <x v="1"/>
    <n v="616"/>
    <x v="0"/>
  </r>
  <r>
    <x v="413"/>
    <d v="2020-03-13T00:00:00"/>
    <x v="0"/>
    <n v="863"/>
    <n v="1918"/>
    <x v="1"/>
    <n v="863"/>
    <x v="0"/>
  </r>
  <r>
    <x v="414"/>
    <d v="2020-01-07T00:00:00"/>
    <x v="0"/>
    <n v="566"/>
    <n v="566"/>
    <x v="0"/>
    <n v="566"/>
    <x v="0"/>
  </r>
  <r>
    <x v="414"/>
    <d v="2020-01-07T00:00:00"/>
    <x v="0"/>
    <n v="152"/>
    <n v="718"/>
    <x v="0"/>
    <n v="152"/>
    <x v="0"/>
  </r>
  <r>
    <x v="414"/>
    <d v="2020-01-22T00:00:00"/>
    <x v="1"/>
    <n v="192"/>
    <n v="526"/>
    <x v="0"/>
    <n v="-192"/>
    <x v="0"/>
  </r>
  <r>
    <x v="414"/>
    <d v="2020-01-31T00:00:00"/>
    <x v="1"/>
    <n v="195"/>
    <n v="331"/>
    <x v="0"/>
    <n v="-195"/>
    <x v="0"/>
  </r>
  <r>
    <x v="414"/>
    <d v="2020-02-13T00:00:00"/>
    <x v="1"/>
    <n v="67"/>
    <n v="264"/>
    <x v="2"/>
    <n v="-67"/>
    <x v="0"/>
  </r>
  <r>
    <x v="414"/>
    <d v="2020-02-22T00:00:00"/>
    <x v="1"/>
    <n v="850"/>
    <n v="-586"/>
    <x v="2"/>
    <n v="-850"/>
    <x v="1"/>
  </r>
  <r>
    <x v="414"/>
    <d v="2020-03-01T00:00:00"/>
    <x v="1"/>
    <n v="981"/>
    <n v="-1567"/>
    <x v="1"/>
    <n v="-981"/>
    <x v="1"/>
  </r>
  <r>
    <x v="414"/>
    <d v="2020-03-03T00:00:00"/>
    <x v="2"/>
    <n v="318"/>
    <n v="-1885"/>
    <x v="1"/>
    <n v="-318"/>
    <x v="1"/>
  </r>
  <r>
    <x v="414"/>
    <d v="2020-03-04T00:00:00"/>
    <x v="1"/>
    <n v="972"/>
    <n v="-2857"/>
    <x v="1"/>
    <n v="-972"/>
    <x v="1"/>
  </r>
  <r>
    <x v="414"/>
    <d v="2020-03-05T00:00:00"/>
    <x v="0"/>
    <n v="227"/>
    <n v="-2630"/>
    <x v="1"/>
    <n v="227"/>
    <x v="1"/>
  </r>
  <r>
    <x v="414"/>
    <d v="2020-03-10T00:00:00"/>
    <x v="0"/>
    <n v="252"/>
    <n v="-2378"/>
    <x v="1"/>
    <n v="252"/>
    <x v="1"/>
  </r>
  <r>
    <x v="414"/>
    <d v="2020-03-15T00:00:00"/>
    <x v="1"/>
    <n v="365"/>
    <n v="-2743"/>
    <x v="1"/>
    <n v="-365"/>
    <x v="1"/>
  </r>
  <r>
    <x v="414"/>
    <d v="2020-03-20T00:00:00"/>
    <x v="2"/>
    <n v="947"/>
    <n v="-3690"/>
    <x v="1"/>
    <n v="-947"/>
    <x v="1"/>
  </r>
  <r>
    <x v="414"/>
    <d v="2020-03-22T00:00:00"/>
    <x v="2"/>
    <n v="597"/>
    <n v="-4287"/>
    <x v="1"/>
    <n v="-597"/>
    <x v="1"/>
  </r>
  <r>
    <x v="415"/>
    <d v="2020-01-16T00:00:00"/>
    <x v="0"/>
    <n v="756"/>
    <n v="756"/>
    <x v="0"/>
    <n v="756"/>
    <x v="0"/>
  </r>
  <r>
    <x v="415"/>
    <d v="2020-02-02T00:00:00"/>
    <x v="0"/>
    <n v="996"/>
    <n v="1752"/>
    <x v="2"/>
    <n v="996"/>
    <x v="0"/>
  </r>
  <r>
    <x v="415"/>
    <d v="2020-02-03T00:00:00"/>
    <x v="2"/>
    <n v="806"/>
    <n v="946"/>
    <x v="2"/>
    <n v="-806"/>
    <x v="0"/>
  </r>
  <r>
    <x v="415"/>
    <d v="2020-02-03T00:00:00"/>
    <x v="2"/>
    <n v="990"/>
    <n v="-44"/>
    <x v="2"/>
    <n v="-990"/>
    <x v="1"/>
  </r>
  <r>
    <x v="415"/>
    <d v="2020-02-10T00:00:00"/>
    <x v="0"/>
    <n v="699"/>
    <n v="655"/>
    <x v="2"/>
    <n v="699"/>
    <x v="0"/>
  </r>
  <r>
    <x v="415"/>
    <d v="2020-02-12T00:00:00"/>
    <x v="0"/>
    <n v="256"/>
    <n v="911"/>
    <x v="2"/>
    <n v="256"/>
    <x v="0"/>
  </r>
  <r>
    <x v="415"/>
    <d v="2020-02-17T00:00:00"/>
    <x v="0"/>
    <n v="990"/>
    <n v="1901"/>
    <x v="2"/>
    <n v="990"/>
    <x v="0"/>
  </r>
  <r>
    <x v="415"/>
    <d v="2020-02-20T00:00:00"/>
    <x v="1"/>
    <n v="186"/>
    <n v="1715"/>
    <x v="2"/>
    <n v="-186"/>
    <x v="0"/>
  </r>
  <r>
    <x v="415"/>
    <d v="2020-03-10T00:00:00"/>
    <x v="0"/>
    <n v="904"/>
    <n v="2619"/>
    <x v="1"/>
    <n v="904"/>
    <x v="0"/>
  </r>
  <r>
    <x v="415"/>
    <d v="2020-03-11T00:00:00"/>
    <x v="0"/>
    <n v="407"/>
    <n v="3026"/>
    <x v="1"/>
    <n v="407"/>
    <x v="0"/>
  </r>
  <r>
    <x v="415"/>
    <d v="2020-03-13T00:00:00"/>
    <x v="1"/>
    <n v="144"/>
    <n v="2882"/>
    <x v="1"/>
    <n v="-144"/>
    <x v="0"/>
  </r>
  <r>
    <x v="415"/>
    <d v="2020-03-14T00:00:00"/>
    <x v="0"/>
    <n v="791"/>
    <n v="3673"/>
    <x v="1"/>
    <n v="791"/>
    <x v="0"/>
  </r>
  <r>
    <x v="415"/>
    <d v="2020-03-23T00:00:00"/>
    <x v="0"/>
    <n v="660"/>
    <n v="4333"/>
    <x v="1"/>
    <n v="660"/>
    <x v="0"/>
  </r>
  <r>
    <x v="415"/>
    <d v="2020-03-24T00:00:00"/>
    <x v="1"/>
    <n v="425"/>
    <n v="3908"/>
    <x v="1"/>
    <n v="-425"/>
    <x v="0"/>
  </r>
  <r>
    <x v="415"/>
    <d v="2020-03-27T00:00:00"/>
    <x v="1"/>
    <n v="584"/>
    <n v="3324"/>
    <x v="1"/>
    <n v="-584"/>
    <x v="0"/>
  </r>
  <r>
    <x v="415"/>
    <d v="2020-04-03T00:00:00"/>
    <x v="0"/>
    <n v="152"/>
    <n v="3476"/>
    <x v="3"/>
    <n v="152"/>
    <x v="0"/>
  </r>
  <r>
    <x v="415"/>
    <d v="2020-04-04T00:00:00"/>
    <x v="1"/>
    <n v="183"/>
    <n v="3293"/>
    <x v="3"/>
    <n v="-183"/>
    <x v="0"/>
  </r>
  <r>
    <x v="415"/>
    <d v="2020-04-07T00:00:00"/>
    <x v="0"/>
    <n v="675"/>
    <n v="3968"/>
    <x v="3"/>
    <n v="675"/>
    <x v="0"/>
  </r>
  <r>
    <x v="415"/>
    <d v="2020-04-10T00:00:00"/>
    <x v="1"/>
    <n v="70"/>
    <n v="3898"/>
    <x v="3"/>
    <n v="-70"/>
    <x v="0"/>
  </r>
  <r>
    <x v="416"/>
    <d v="2020-01-04T00:00:00"/>
    <x v="0"/>
    <n v="213"/>
    <n v="213"/>
    <x v="0"/>
    <n v="213"/>
    <x v="0"/>
  </r>
  <r>
    <x v="416"/>
    <d v="2020-01-05T00:00:00"/>
    <x v="0"/>
    <n v="977"/>
    <n v="1190"/>
    <x v="0"/>
    <n v="977"/>
    <x v="0"/>
  </r>
  <r>
    <x v="416"/>
    <d v="2020-01-08T00:00:00"/>
    <x v="0"/>
    <n v="832"/>
    <n v="2022"/>
    <x v="0"/>
    <n v="832"/>
    <x v="0"/>
  </r>
  <r>
    <x v="416"/>
    <d v="2020-01-17T00:00:00"/>
    <x v="1"/>
    <n v="343"/>
    <n v="1679"/>
    <x v="0"/>
    <n v="-343"/>
    <x v="0"/>
  </r>
  <r>
    <x v="416"/>
    <d v="2020-01-22T00:00:00"/>
    <x v="1"/>
    <n v="972"/>
    <n v="707"/>
    <x v="0"/>
    <n v="-972"/>
    <x v="0"/>
  </r>
  <r>
    <x v="416"/>
    <d v="2020-02-05T00:00:00"/>
    <x v="0"/>
    <n v="792"/>
    <n v="1499"/>
    <x v="2"/>
    <n v="792"/>
    <x v="0"/>
  </r>
  <r>
    <x v="416"/>
    <d v="2020-02-06T00:00:00"/>
    <x v="1"/>
    <n v="453"/>
    <n v="1046"/>
    <x v="2"/>
    <n v="-453"/>
    <x v="0"/>
  </r>
  <r>
    <x v="416"/>
    <d v="2020-02-06T00:00:00"/>
    <x v="1"/>
    <n v="916"/>
    <n v="130"/>
    <x v="2"/>
    <n v="-916"/>
    <x v="0"/>
  </r>
  <r>
    <x v="416"/>
    <d v="2020-02-20T00:00:00"/>
    <x v="1"/>
    <n v="220"/>
    <n v="-90"/>
    <x v="2"/>
    <n v="-220"/>
    <x v="1"/>
  </r>
  <r>
    <x v="416"/>
    <d v="2020-02-21T00:00:00"/>
    <x v="2"/>
    <n v="320"/>
    <n v="-410"/>
    <x v="2"/>
    <n v="-320"/>
    <x v="1"/>
  </r>
  <r>
    <x v="416"/>
    <d v="2020-02-24T00:00:00"/>
    <x v="1"/>
    <n v="472"/>
    <n v="-882"/>
    <x v="2"/>
    <n v="-472"/>
    <x v="1"/>
  </r>
  <r>
    <x v="416"/>
    <d v="2020-02-29T00:00:00"/>
    <x v="1"/>
    <n v="197"/>
    <n v="-1079"/>
    <x v="2"/>
    <n v="-197"/>
    <x v="1"/>
  </r>
  <r>
    <x v="416"/>
    <d v="2020-03-04T00:00:00"/>
    <x v="1"/>
    <n v="620"/>
    <n v="-1699"/>
    <x v="1"/>
    <n v="-620"/>
    <x v="1"/>
  </r>
  <r>
    <x v="416"/>
    <d v="2020-03-30T00:00:00"/>
    <x v="0"/>
    <n v="159"/>
    <n v="-1540"/>
    <x v="1"/>
    <n v="159"/>
    <x v="1"/>
  </r>
  <r>
    <x v="416"/>
    <d v="2020-04-01T00:00:00"/>
    <x v="1"/>
    <n v="307"/>
    <n v="-1847"/>
    <x v="3"/>
    <n v="-307"/>
    <x v="1"/>
  </r>
  <r>
    <x v="417"/>
    <d v="2020-01-07T00:00:00"/>
    <x v="0"/>
    <n v="688"/>
    <n v="688"/>
    <x v="0"/>
    <n v="688"/>
    <x v="0"/>
  </r>
  <r>
    <x v="417"/>
    <d v="2020-01-11T00:00:00"/>
    <x v="1"/>
    <n v="427"/>
    <n v="261"/>
    <x v="0"/>
    <n v="-427"/>
    <x v="0"/>
  </r>
  <r>
    <x v="417"/>
    <d v="2020-01-14T00:00:00"/>
    <x v="0"/>
    <n v="205"/>
    <n v="466"/>
    <x v="0"/>
    <n v="205"/>
    <x v="0"/>
  </r>
  <r>
    <x v="417"/>
    <d v="2020-01-21T00:00:00"/>
    <x v="0"/>
    <n v="390"/>
    <n v="856"/>
    <x v="0"/>
    <n v="390"/>
    <x v="0"/>
  </r>
  <r>
    <x v="417"/>
    <d v="2020-01-28T00:00:00"/>
    <x v="2"/>
    <n v="285"/>
    <n v="571"/>
    <x v="0"/>
    <n v="-285"/>
    <x v="0"/>
  </r>
  <r>
    <x v="417"/>
    <d v="2020-01-30T00:00:00"/>
    <x v="2"/>
    <n v="732"/>
    <n v="-161"/>
    <x v="0"/>
    <n v="-732"/>
    <x v="1"/>
  </r>
  <r>
    <x v="417"/>
    <d v="2020-01-31T00:00:00"/>
    <x v="2"/>
    <n v="338"/>
    <n v="-499"/>
    <x v="0"/>
    <n v="-338"/>
    <x v="1"/>
  </r>
  <r>
    <x v="417"/>
    <d v="2020-02-06T00:00:00"/>
    <x v="1"/>
    <n v="739"/>
    <n v="-1238"/>
    <x v="2"/>
    <n v="-739"/>
    <x v="1"/>
  </r>
  <r>
    <x v="417"/>
    <d v="2020-02-11T00:00:00"/>
    <x v="1"/>
    <n v="586"/>
    <n v="-1824"/>
    <x v="2"/>
    <n v="-586"/>
    <x v="1"/>
  </r>
  <r>
    <x v="417"/>
    <d v="2020-02-16T00:00:00"/>
    <x v="0"/>
    <n v="730"/>
    <n v="-1094"/>
    <x v="2"/>
    <n v="730"/>
    <x v="1"/>
  </r>
  <r>
    <x v="417"/>
    <d v="2020-02-18T00:00:00"/>
    <x v="2"/>
    <n v="936"/>
    <n v="-2030"/>
    <x v="2"/>
    <n v="-936"/>
    <x v="1"/>
  </r>
  <r>
    <x v="417"/>
    <d v="2020-02-18T00:00:00"/>
    <x v="0"/>
    <n v="567"/>
    <n v="-1463"/>
    <x v="2"/>
    <n v="567"/>
    <x v="1"/>
  </r>
  <r>
    <x v="417"/>
    <d v="2020-02-21T00:00:00"/>
    <x v="0"/>
    <n v="824"/>
    <n v="-639"/>
    <x v="2"/>
    <n v="824"/>
    <x v="1"/>
  </r>
  <r>
    <x v="417"/>
    <d v="2020-02-25T00:00:00"/>
    <x v="2"/>
    <n v="357"/>
    <n v="-996"/>
    <x v="2"/>
    <n v="-357"/>
    <x v="1"/>
  </r>
  <r>
    <x v="417"/>
    <d v="2020-03-03T00:00:00"/>
    <x v="0"/>
    <n v="473"/>
    <n v="-523"/>
    <x v="1"/>
    <n v="473"/>
    <x v="1"/>
  </r>
  <r>
    <x v="417"/>
    <d v="2020-03-12T00:00:00"/>
    <x v="2"/>
    <n v="289"/>
    <n v="-812"/>
    <x v="1"/>
    <n v="-289"/>
    <x v="1"/>
  </r>
  <r>
    <x v="417"/>
    <d v="2020-03-13T00:00:00"/>
    <x v="1"/>
    <n v="812"/>
    <n v="-1624"/>
    <x v="1"/>
    <n v="-812"/>
    <x v="1"/>
  </r>
  <r>
    <x v="417"/>
    <d v="2020-04-02T00:00:00"/>
    <x v="0"/>
    <n v="386"/>
    <n v="-1238"/>
    <x v="3"/>
    <n v="386"/>
    <x v="1"/>
  </r>
  <r>
    <x v="417"/>
    <d v="2020-04-05T00:00:00"/>
    <x v="1"/>
    <n v="590"/>
    <n v="-1828"/>
    <x v="3"/>
    <n v="-590"/>
    <x v="1"/>
  </r>
  <r>
    <x v="418"/>
    <d v="2020-01-11T00:00:00"/>
    <x v="0"/>
    <n v="711"/>
    <n v="711"/>
    <x v="0"/>
    <n v="711"/>
    <x v="0"/>
  </r>
  <r>
    <x v="418"/>
    <d v="2020-01-12T00:00:00"/>
    <x v="2"/>
    <n v="217"/>
    <n v="494"/>
    <x v="0"/>
    <n v="-217"/>
    <x v="0"/>
  </r>
  <r>
    <x v="418"/>
    <d v="2020-01-18T00:00:00"/>
    <x v="0"/>
    <n v="699"/>
    <n v="1193"/>
    <x v="0"/>
    <n v="699"/>
    <x v="0"/>
  </r>
  <r>
    <x v="418"/>
    <d v="2020-02-09T00:00:00"/>
    <x v="1"/>
    <n v="779"/>
    <n v="414"/>
    <x v="2"/>
    <n v="-779"/>
    <x v="0"/>
  </r>
  <r>
    <x v="418"/>
    <d v="2020-02-11T00:00:00"/>
    <x v="1"/>
    <n v="755"/>
    <n v="-341"/>
    <x v="2"/>
    <n v="-755"/>
    <x v="1"/>
  </r>
  <r>
    <x v="418"/>
    <d v="2020-02-23T00:00:00"/>
    <x v="0"/>
    <n v="159"/>
    <n v="-182"/>
    <x v="2"/>
    <n v="159"/>
    <x v="1"/>
  </r>
  <r>
    <x v="418"/>
    <d v="2020-02-28T00:00:00"/>
    <x v="0"/>
    <n v="305"/>
    <n v="123"/>
    <x v="2"/>
    <n v="305"/>
    <x v="0"/>
  </r>
  <r>
    <x v="418"/>
    <d v="2020-03-13T00:00:00"/>
    <x v="1"/>
    <n v="523"/>
    <n v="-400"/>
    <x v="1"/>
    <n v="-523"/>
    <x v="1"/>
  </r>
  <r>
    <x v="418"/>
    <d v="2020-03-20T00:00:00"/>
    <x v="1"/>
    <n v="84"/>
    <n v="-484"/>
    <x v="1"/>
    <n v="-84"/>
    <x v="1"/>
  </r>
  <r>
    <x v="418"/>
    <d v="2020-03-24T00:00:00"/>
    <x v="1"/>
    <n v="796"/>
    <n v="-1280"/>
    <x v="1"/>
    <n v="-796"/>
    <x v="1"/>
  </r>
  <r>
    <x v="419"/>
    <d v="2020-01-24T00:00:00"/>
    <x v="1"/>
    <n v="431"/>
    <n v="-431"/>
    <x v="0"/>
    <n v="-431"/>
    <x v="1"/>
  </r>
  <r>
    <x v="419"/>
    <d v="2020-01-24T00:00:00"/>
    <x v="0"/>
    <n v="151"/>
    <n v="-280"/>
    <x v="0"/>
    <n v="151"/>
    <x v="1"/>
  </r>
  <r>
    <x v="419"/>
    <d v="2020-02-10T00:00:00"/>
    <x v="1"/>
    <n v="430"/>
    <n v="-710"/>
    <x v="2"/>
    <n v="-430"/>
    <x v="1"/>
  </r>
  <r>
    <x v="419"/>
    <d v="2020-02-14T00:00:00"/>
    <x v="1"/>
    <n v="278"/>
    <n v="-988"/>
    <x v="2"/>
    <n v="-278"/>
    <x v="1"/>
  </r>
  <r>
    <x v="419"/>
    <d v="2020-02-21T00:00:00"/>
    <x v="1"/>
    <n v="796"/>
    <n v="-1784"/>
    <x v="2"/>
    <n v="-796"/>
    <x v="1"/>
  </r>
  <r>
    <x v="419"/>
    <d v="2020-02-23T00:00:00"/>
    <x v="2"/>
    <n v="361"/>
    <n v="-2145"/>
    <x v="2"/>
    <n v="-361"/>
    <x v="1"/>
  </r>
  <r>
    <x v="419"/>
    <d v="2020-02-28T00:00:00"/>
    <x v="0"/>
    <n v="28"/>
    <n v="-2117"/>
    <x v="2"/>
    <n v="28"/>
    <x v="1"/>
  </r>
  <r>
    <x v="419"/>
    <d v="2020-03-05T00:00:00"/>
    <x v="0"/>
    <n v="406"/>
    <n v="-1711"/>
    <x v="1"/>
    <n v="406"/>
    <x v="1"/>
  </r>
  <r>
    <x v="419"/>
    <d v="2020-03-06T00:00:00"/>
    <x v="2"/>
    <n v="500"/>
    <n v="-2211"/>
    <x v="1"/>
    <n v="-500"/>
    <x v="1"/>
  </r>
  <r>
    <x v="419"/>
    <d v="2020-03-07T00:00:00"/>
    <x v="2"/>
    <n v="103"/>
    <n v="-2314"/>
    <x v="1"/>
    <n v="-103"/>
    <x v="1"/>
  </r>
  <r>
    <x v="419"/>
    <d v="2020-03-24T00:00:00"/>
    <x v="1"/>
    <n v="143"/>
    <n v="-2457"/>
    <x v="1"/>
    <n v="-143"/>
    <x v="1"/>
  </r>
  <r>
    <x v="419"/>
    <d v="2020-04-09T00:00:00"/>
    <x v="1"/>
    <n v="435"/>
    <n v="-2892"/>
    <x v="3"/>
    <n v="-435"/>
    <x v="1"/>
  </r>
  <r>
    <x v="419"/>
    <d v="2020-04-12T00:00:00"/>
    <x v="0"/>
    <n v="641"/>
    <n v="-2251"/>
    <x v="3"/>
    <n v="641"/>
    <x v="1"/>
  </r>
  <r>
    <x v="419"/>
    <d v="2020-04-16T00:00:00"/>
    <x v="2"/>
    <n v="313"/>
    <n v="-2564"/>
    <x v="3"/>
    <n v="-313"/>
    <x v="1"/>
  </r>
  <r>
    <x v="419"/>
    <d v="2020-04-21T00:00:00"/>
    <x v="0"/>
    <n v="486"/>
    <n v="-2078"/>
    <x v="3"/>
    <n v="486"/>
    <x v="1"/>
  </r>
  <r>
    <x v="420"/>
    <d v="2020-01-09T00:00:00"/>
    <x v="0"/>
    <n v="205"/>
    <n v="205"/>
    <x v="0"/>
    <n v="205"/>
    <x v="0"/>
  </r>
  <r>
    <x v="420"/>
    <d v="2020-01-28T00:00:00"/>
    <x v="1"/>
    <n v="946"/>
    <n v="-741"/>
    <x v="0"/>
    <n v="-946"/>
    <x v="1"/>
  </r>
  <r>
    <x v="420"/>
    <d v="2020-02-03T00:00:00"/>
    <x v="0"/>
    <n v="523"/>
    <n v="-218"/>
    <x v="2"/>
    <n v="523"/>
    <x v="1"/>
  </r>
  <r>
    <x v="420"/>
    <d v="2020-02-12T00:00:00"/>
    <x v="2"/>
    <n v="353"/>
    <n v="-571"/>
    <x v="2"/>
    <n v="-353"/>
    <x v="1"/>
  </r>
  <r>
    <x v="420"/>
    <d v="2020-03-04T00:00:00"/>
    <x v="2"/>
    <n v="38"/>
    <n v="-609"/>
    <x v="1"/>
    <n v="-38"/>
    <x v="1"/>
  </r>
  <r>
    <x v="420"/>
    <d v="2020-03-25T00:00:00"/>
    <x v="0"/>
    <n v="196"/>
    <n v="-413"/>
    <x v="1"/>
    <n v="196"/>
    <x v="1"/>
  </r>
  <r>
    <x v="420"/>
    <d v="2020-04-04T00:00:00"/>
    <x v="1"/>
    <n v="175"/>
    <n v="-588"/>
    <x v="3"/>
    <n v="-175"/>
    <x v="1"/>
  </r>
  <r>
    <x v="420"/>
    <d v="2020-04-05T00:00:00"/>
    <x v="0"/>
    <n v="900"/>
    <n v="312"/>
    <x v="3"/>
    <n v="900"/>
    <x v="0"/>
  </r>
  <r>
    <x v="421"/>
    <d v="2020-01-25T00:00:00"/>
    <x v="0"/>
    <n v="356"/>
    <n v="356"/>
    <x v="0"/>
    <n v="356"/>
    <x v="0"/>
  </r>
  <r>
    <x v="421"/>
    <d v="2020-02-02T00:00:00"/>
    <x v="1"/>
    <n v="8"/>
    <n v="348"/>
    <x v="2"/>
    <n v="-8"/>
    <x v="0"/>
  </r>
  <r>
    <x v="421"/>
    <d v="2020-02-04T00:00:00"/>
    <x v="1"/>
    <n v="947"/>
    <n v="-599"/>
    <x v="2"/>
    <n v="-947"/>
    <x v="1"/>
  </r>
  <r>
    <x v="421"/>
    <d v="2020-02-07T00:00:00"/>
    <x v="0"/>
    <n v="364"/>
    <n v="-235"/>
    <x v="2"/>
    <n v="364"/>
    <x v="1"/>
  </r>
  <r>
    <x v="421"/>
    <d v="2020-02-08T00:00:00"/>
    <x v="2"/>
    <n v="653"/>
    <n v="-888"/>
    <x v="2"/>
    <n v="-653"/>
    <x v="1"/>
  </r>
  <r>
    <x v="421"/>
    <d v="2020-02-08T00:00:00"/>
    <x v="2"/>
    <n v="779"/>
    <n v="-1667"/>
    <x v="2"/>
    <n v="-779"/>
    <x v="1"/>
  </r>
  <r>
    <x v="421"/>
    <d v="2020-02-13T00:00:00"/>
    <x v="1"/>
    <n v="465"/>
    <n v="-2132"/>
    <x v="2"/>
    <n v="-465"/>
    <x v="1"/>
  </r>
  <r>
    <x v="421"/>
    <d v="2020-02-28T00:00:00"/>
    <x v="0"/>
    <n v="442"/>
    <n v="-1690"/>
    <x v="2"/>
    <n v="442"/>
    <x v="1"/>
  </r>
  <r>
    <x v="421"/>
    <d v="2020-02-29T00:00:00"/>
    <x v="0"/>
    <n v="434"/>
    <n v="-1256"/>
    <x v="2"/>
    <n v="434"/>
    <x v="1"/>
  </r>
  <r>
    <x v="421"/>
    <d v="2020-02-29T00:00:00"/>
    <x v="1"/>
    <n v="405"/>
    <n v="-1661"/>
    <x v="2"/>
    <n v="-405"/>
    <x v="1"/>
  </r>
  <r>
    <x v="421"/>
    <d v="2020-03-02T00:00:00"/>
    <x v="1"/>
    <n v="641"/>
    <n v="-2302"/>
    <x v="1"/>
    <n v="-641"/>
    <x v="1"/>
  </r>
  <r>
    <x v="421"/>
    <d v="2020-03-02T00:00:00"/>
    <x v="0"/>
    <n v="814"/>
    <n v="-1488"/>
    <x v="1"/>
    <n v="814"/>
    <x v="1"/>
  </r>
  <r>
    <x v="421"/>
    <d v="2020-03-08T00:00:00"/>
    <x v="0"/>
    <n v="944"/>
    <n v="-544"/>
    <x v="1"/>
    <n v="944"/>
    <x v="1"/>
  </r>
  <r>
    <x v="421"/>
    <d v="2020-03-14T00:00:00"/>
    <x v="1"/>
    <n v="256"/>
    <n v="-800"/>
    <x v="1"/>
    <n v="-256"/>
    <x v="1"/>
  </r>
  <r>
    <x v="421"/>
    <d v="2020-03-22T00:00:00"/>
    <x v="1"/>
    <n v="488"/>
    <n v="-1288"/>
    <x v="1"/>
    <n v="-488"/>
    <x v="1"/>
  </r>
  <r>
    <x v="421"/>
    <d v="2020-03-24T00:00:00"/>
    <x v="0"/>
    <n v="242"/>
    <n v="-1046"/>
    <x v="1"/>
    <n v="242"/>
    <x v="1"/>
  </r>
  <r>
    <x v="421"/>
    <d v="2020-04-06T00:00:00"/>
    <x v="1"/>
    <n v="210"/>
    <n v="-1256"/>
    <x v="3"/>
    <n v="-210"/>
    <x v="1"/>
  </r>
  <r>
    <x v="421"/>
    <d v="2020-04-07T00:00:00"/>
    <x v="2"/>
    <n v="878"/>
    <n v="-2134"/>
    <x v="3"/>
    <n v="-878"/>
    <x v="1"/>
  </r>
  <r>
    <x v="421"/>
    <d v="2020-04-11T00:00:00"/>
    <x v="1"/>
    <n v="787"/>
    <n v="-2921"/>
    <x v="3"/>
    <n v="-787"/>
    <x v="1"/>
  </r>
  <r>
    <x v="421"/>
    <d v="2020-04-11T00:00:00"/>
    <x v="0"/>
    <n v="355"/>
    <n v="-2566"/>
    <x v="3"/>
    <n v="355"/>
    <x v="1"/>
  </r>
  <r>
    <x v="421"/>
    <d v="2020-04-20T00:00:00"/>
    <x v="1"/>
    <n v="791"/>
    <n v="-3357"/>
    <x v="3"/>
    <n v="-791"/>
    <x v="1"/>
  </r>
  <r>
    <x v="422"/>
    <d v="2020-01-18T00:00:00"/>
    <x v="0"/>
    <n v="164"/>
    <n v="164"/>
    <x v="0"/>
    <n v="164"/>
    <x v="0"/>
  </r>
  <r>
    <x v="422"/>
    <d v="2020-01-23T00:00:00"/>
    <x v="0"/>
    <n v="197"/>
    <n v="361"/>
    <x v="0"/>
    <n v="197"/>
    <x v="0"/>
  </r>
  <r>
    <x v="422"/>
    <d v="2020-02-05T00:00:00"/>
    <x v="1"/>
    <n v="767"/>
    <n v="-406"/>
    <x v="2"/>
    <n v="-767"/>
    <x v="1"/>
  </r>
  <r>
    <x v="422"/>
    <d v="2020-02-26T00:00:00"/>
    <x v="0"/>
    <n v="144"/>
    <n v="-262"/>
    <x v="2"/>
    <n v="144"/>
    <x v="1"/>
  </r>
  <r>
    <x v="422"/>
    <d v="2020-03-01T00:00:00"/>
    <x v="1"/>
    <n v="374"/>
    <n v="-636"/>
    <x v="1"/>
    <n v="-374"/>
    <x v="1"/>
  </r>
  <r>
    <x v="422"/>
    <d v="2020-03-03T00:00:00"/>
    <x v="0"/>
    <n v="983"/>
    <n v="347"/>
    <x v="1"/>
    <n v="983"/>
    <x v="0"/>
  </r>
  <r>
    <x v="422"/>
    <d v="2020-03-05T00:00:00"/>
    <x v="0"/>
    <n v="974"/>
    <n v="1321"/>
    <x v="1"/>
    <n v="974"/>
    <x v="0"/>
  </r>
  <r>
    <x v="423"/>
    <d v="2020-01-12T00:00:00"/>
    <x v="0"/>
    <n v="995"/>
    <n v="995"/>
    <x v="0"/>
    <n v="995"/>
    <x v="0"/>
  </r>
  <r>
    <x v="423"/>
    <d v="2020-01-14T00:00:00"/>
    <x v="1"/>
    <n v="371"/>
    <n v="624"/>
    <x v="0"/>
    <n v="-371"/>
    <x v="0"/>
  </r>
  <r>
    <x v="423"/>
    <d v="2020-01-18T00:00:00"/>
    <x v="1"/>
    <n v="932"/>
    <n v="-308"/>
    <x v="0"/>
    <n v="-932"/>
    <x v="1"/>
  </r>
  <r>
    <x v="423"/>
    <d v="2020-01-30T00:00:00"/>
    <x v="1"/>
    <n v="287"/>
    <n v="-595"/>
    <x v="0"/>
    <n v="-287"/>
    <x v="1"/>
  </r>
  <r>
    <x v="423"/>
    <d v="2020-02-04T00:00:00"/>
    <x v="0"/>
    <n v="836"/>
    <n v="241"/>
    <x v="2"/>
    <n v="836"/>
    <x v="0"/>
  </r>
  <r>
    <x v="423"/>
    <d v="2020-02-12T00:00:00"/>
    <x v="2"/>
    <n v="580"/>
    <n v="-339"/>
    <x v="2"/>
    <n v="-580"/>
    <x v="1"/>
  </r>
  <r>
    <x v="423"/>
    <d v="2020-02-14T00:00:00"/>
    <x v="0"/>
    <n v="591"/>
    <n v="252"/>
    <x v="2"/>
    <n v="591"/>
    <x v="0"/>
  </r>
  <r>
    <x v="423"/>
    <d v="2020-02-16T00:00:00"/>
    <x v="0"/>
    <n v="702"/>
    <n v="954"/>
    <x v="2"/>
    <n v="702"/>
    <x v="0"/>
  </r>
  <r>
    <x v="423"/>
    <d v="2020-02-18T00:00:00"/>
    <x v="1"/>
    <n v="323"/>
    <n v="631"/>
    <x v="2"/>
    <n v="-323"/>
    <x v="0"/>
  </r>
  <r>
    <x v="423"/>
    <d v="2020-02-18T00:00:00"/>
    <x v="1"/>
    <n v="311"/>
    <n v="320"/>
    <x v="2"/>
    <n v="-311"/>
    <x v="0"/>
  </r>
  <r>
    <x v="423"/>
    <d v="2020-02-24T00:00:00"/>
    <x v="2"/>
    <n v="264"/>
    <n v="56"/>
    <x v="2"/>
    <n v="-264"/>
    <x v="0"/>
  </r>
  <r>
    <x v="423"/>
    <d v="2020-02-25T00:00:00"/>
    <x v="1"/>
    <n v="903"/>
    <n v="-847"/>
    <x v="2"/>
    <n v="-903"/>
    <x v="1"/>
  </r>
  <r>
    <x v="423"/>
    <d v="2020-02-28T00:00:00"/>
    <x v="1"/>
    <n v="733"/>
    <n v="-1580"/>
    <x v="2"/>
    <n v="-733"/>
    <x v="1"/>
  </r>
  <r>
    <x v="423"/>
    <d v="2020-02-29T00:00:00"/>
    <x v="0"/>
    <n v="932"/>
    <n v="-648"/>
    <x v="2"/>
    <n v="932"/>
    <x v="1"/>
  </r>
  <r>
    <x v="423"/>
    <d v="2020-03-05T00:00:00"/>
    <x v="1"/>
    <n v="250"/>
    <n v="-898"/>
    <x v="1"/>
    <n v="-250"/>
    <x v="1"/>
  </r>
  <r>
    <x v="423"/>
    <d v="2020-03-09T00:00:00"/>
    <x v="0"/>
    <n v="761"/>
    <n v="-137"/>
    <x v="1"/>
    <n v="761"/>
    <x v="1"/>
  </r>
  <r>
    <x v="423"/>
    <d v="2020-03-15T00:00:00"/>
    <x v="2"/>
    <n v="800"/>
    <n v="-937"/>
    <x v="1"/>
    <n v="-800"/>
    <x v="1"/>
  </r>
  <r>
    <x v="423"/>
    <d v="2020-03-22T00:00:00"/>
    <x v="0"/>
    <n v="788"/>
    <n v="-149"/>
    <x v="1"/>
    <n v="788"/>
    <x v="1"/>
  </r>
  <r>
    <x v="423"/>
    <d v="2020-03-25T00:00:00"/>
    <x v="1"/>
    <n v="791"/>
    <n v="-940"/>
    <x v="1"/>
    <n v="-791"/>
    <x v="1"/>
  </r>
  <r>
    <x v="423"/>
    <d v="2020-04-05T00:00:00"/>
    <x v="0"/>
    <n v="626"/>
    <n v="-314"/>
    <x v="3"/>
    <n v="626"/>
    <x v="1"/>
  </r>
  <r>
    <x v="424"/>
    <d v="2020-01-09T00:00:00"/>
    <x v="0"/>
    <n v="308"/>
    <n v="308"/>
    <x v="0"/>
    <n v="308"/>
    <x v="0"/>
  </r>
  <r>
    <x v="424"/>
    <d v="2020-01-15T00:00:00"/>
    <x v="1"/>
    <n v="245"/>
    <n v="63"/>
    <x v="0"/>
    <n v="-245"/>
    <x v="0"/>
  </r>
  <r>
    <x v="424"/>
    <d v="2020-02-14T00:00:00"/>
    <x v="0"/>
    <n v="708"/>
    <n v="771"/>
    <x v="2"/>
    <n v="708"/>
    <x v="0"/>
  </r>
  <r>
    <x v="424"/>
    <d v="2020-02-16T00:00:00"/>
    <x v="1"/>
    <n v="483"/>
    <n v="288"/>
    <x v="2"/>
    <n v="-483"/>
    <x v="0"/>
  </r>
  <r>
    <x v="424"/>
    <d v="2020-02-18T00:00:00"/>
    <x v="0"/>
    <n v="55"/>
    <n v="343"/>
    <x v="2"/>
    <n v="55"/>
    <x v="0"/>
  </r>
  <r>
    <x v="424"/>
    <d v="2020-02-20T00:00:00"/>
    <x v="2"/>
    <n v="483"/>
    <n v="-140"/>
    <x v="2"/>
    <n v="-483"/>
    <x v="1"/>
  </r>
  <r>
    <x v="424"/>
    <d v="2020-02-21T00:00:00"/>
    <x v="1"/>
    <n v="102"/>
    <n v="-242"/>
    <x v="2"/>
    <n v="-102"/>
    <x v="1"/>
  </r>
  <r>
    <x v="424"/>
    <d v="2020-02-21T00:00:00"/>
    <x v="0"/>
    <n v="250"/>
    <n v="8"/>
    <x v="2"/>
    <n v="250"/>
    <x v="0"/>
  </r>
  <r>
    <x v="424"/>
    <d v="2020-02-29T00:00:00"/>
    <x v="1"/>
    <n v="513"/>
    <n v="-505"/>
    <x v="2"/>
    <n v="-513"/>
    <x v="1"/>
  </r>
  <r>
    <x v="424"/>
    <d v="2020-03-04T00:00:00"/>
    <x v="0"/>
    <n v="275"/>
    <n v="-230"/>
    <x v="1"/>
    <n v="275"/>
    <x v="1"/>
  </r>
  <r>
    <x v="424"/>
    <d v="2020-03-08T00:00:00"/>
    <x v="0"/>
    <n v="287"/>
    <n v="57"/>
    <x v="1"/>
    <n v="287"/>
    <x v="0"/>
  </r>
  <r>
    <x v="424"/>
    <d v="2020-04-04T00:00:00"/>
    <x v="2"/>
    <n v="347"/>
    <n v="-290"/>
    <x v="3"/>
    <n v="-347"/>
    <x v="1"/>
  </r>
  <r>
    <x v="424"/>
    <d v="2020-04-07T00:00:00"/>
    <x v="1"/>
    <n v="431"/>
    <n v="-721"/>
    <x v="3"/>
    <n v="-431"/>
    <x v="1"/>
  </r>
  <r>
    <x v="425"/>
    <d v="2020-01-15T00:00:00"/>
    <x v="0"/>
    <n v="282"/>
    <n v="282"/>
    <x v="0"/>
    <n v="282"/>
    <x v="0"/>
  </r>
  <r>
    <x v="425"/>
    <d v="2020-01-22T00:00:00"/>
    <x v="1"/>
    <n v="984"/>
    <n v="-702"/>
    <x v="0"/>
    <n v="-984"/>
    <x v="1"/>
  </r>
  <r>
    <x v="425"/>
    <d v="2020-01-27T00:00:00"/>
    <x v="1"/>
    <n v="408"/>
    <n v="-1110"/>
    <x v="0"/>
    <n v="-408"/>
    <x v="1"/>
  </r>
  <r>
    <x v="425"/>
    <d v="2020-01-30T00:00:00"/>
    <x v="0"/>
    <n v="230"/>
    <n v="-880"/>
    <x v="0"/>
    <n v="230"/>
    <x v="1"/>
  </r>
  <r>
    <x v="425"/>
    <d v="2020-02-01T00:00:00"/>
    <x v="1"/>
    <n v="861"/>
    <n v="-1741"/>
    <x v="2"/>
    <n v="-861"/>
    <x v="1"/>
  </r>
  <r>
    <x v="425"/>
    <d v="2020-02-03T00:00:00"/>
    <x v="1"/>
    <n v="860"/>
    <n v="-2601"/>
    <x v="2"/>
    <n v="-860"/>
    <x v="1"/>
  </r>
  <r>
    <x v="425"/>
    <d v="2020-02-14T00:00:00"/>
    <x v="0"/>
    <n v="7"/>
    <n v="-2594"/>
    <x v="2"/>
    <n v="7"/>
    <x v="1"/>
  </r>
  <r>
    <x v="425"/>
    <d v="2020-02-26T00:00:00"/>
    <x v="1"/>
    <n v="462"/>
    <n v="-3056"/>
    <x v="2"/>
    <n v="-462"/>
    <x v="1"/>
  </r>
  <r>
    <x v="425"/>
    <d v="2020-02-29T00:00:00"/>
    <x v="2"/>
    <n v="746"/>
    <n v="-3802"/>
    <x v="2"/>
    <n v="-746"/>
    <x v="1"/>
  </r>
  <r>
    <x v="425"/>
    <d v="2020-03-06T00:00:00"/>
    <x v="1"/>
    <n v="532"/>
    <n v="-4334"/>
    <x v="1"/>
    <n v="-532"/>
    <x v="1"/>
  </r>
  <r>
    <x v="425"/>
    <d v="2020-03-10T00:00:00"/>
    <x v="2"/>
    <n v="229"/>
    <n v="-4563"/>
    <x v="1"/>
    <n v="-229"/>
    <x v="1"/>
  </r>
  <r>
    <x v="425"/>
    <d v="2020-03-21T00:00:00"/>
    <x v="2"/>
    <n v="59"/>
    <n v="-4622"/>
    <x v="1"/>
    <n v="-59"/>
    <x v="1"/>
  </r>
  <r>
    <x v="425"/>
    <d v="2020-03-30T00:00:00"/>
    <x v="0"/>
    <n v="270"/>
    <n v="-4352"/>
    <x v="1"/>
    <n v="270"/>
    <x v="1"/>
  </r>
  <r>
    <x v="425"/>
    <d v="2020-04-05T00:00:00"/>
    <x v="1"/>
    <n v="122"/>
    <n v="-4474"/>
    <x v="3"/>
    <n v="-122"/>
    <x v="1"/>
  </r>
  <r>
    <x v="425"/>
    <d v="2020-04-08T00:00:00"/>
    <x v="1"/>
    <n v="325"/>
    <n v="-4799"/>
    <x v="3"/>
    <n v="-325"/>
    <x v="1"/>
  </r>
  <r>
    <x v="425"/>
    <d v="2020-04-10T00:00:00"/>
    <x v="2"/>
    <n v="310"/>
    <n v="-5109"/>
    <x v="3"/>
    <n v="-310"/>
    <x v="1"/>
  </r>
  <r>
    <x v="425"/>
    <d v="2020-04-11T00:00:00"/>
    <x v="2"/>
    <n v="243"/>
    <n v="-5352"/>
    <x v="3"/>
    <n v="-243"/>
    <x v="1"/>
  </r>
  <r>
    <x v="426"/>
    <d v="2020-01-22T00:00:00"/>
    <x v="0"/>
    <n v="588"/>
    <n v="588"/>
    <x v="0"/>
    <n v="588"/>
    <x v="0"/>
  </r>
  <r>
    <x v="426"/>
    <d v="2020-02-07T00:00:00"/>
    <x v="0"/>
    <n v="516"/>
    <n v="1104"/>
    <x v="2"/>
    <n v="516"/>
    <x v="0"/>
  </r>
  <r>
    <x v="426"/>
    <d v="2020-02-15T00:00:00"/>
    <x v="0"/>
    <n v="492"/>
    <n v="1596"/>
    <x v="2"/>
    <n v="492"/>
    <x v="0"/>
  </r>
  <r>
    <x v="426"/>
    <d v="2020-02-19T00:00:00"/>
    <x v="0"/>
    <n v="420"/>
    <n v="2016"/>
    <x v="2"/>
    <n v="420"/>
    <x v="0"/>
  </r>
  <r>
    <x v="426"/>
    <d v="2020-02-23T00:00:00"/>
    <x v="2"/>
    <n v="711"/>
    <n v="1305"/>
    <x v="2"/>
    <n v="-711"/>
    <x v="0"/>
  </r>
  <r>
    <x v="426"/>
    <d v="2020-03-01T00:00:00"/>
    <x v="1"/>
    <n v="670"/>
    <n v="635"/>
    <x v="1"/>
    <n v="-670"/>
    <x v="0"/>
  </r>
  <r>
    <x v="426"/>
    <d v="2020-03-23T00:00:00"/>
    <x v="2"/>
    <n v="580"/>
    <n v="55"/>
    <x v="1"/>
    <n v="-580"/>
    <x v="0"/>
  </r>
  <r>
    <x v="426"/>
    <d v="2020-03-27T00:00:00"/>
    <x v="0"/>
    <n v="621"/>
    <n v="676"/>
    <x v="1"/>
    <n v="621"/>
    <x v="0"/>
  </r>
  <r>
    <x v="426"/>
    <d v="2020-04-08T00:00:00"/>
    <x v="0"/>
    <n v="667"/>
    <n v="1343"/>
    <x v="3"/>
    <n v="667"/>
    <x v="0"/>
  </r>
  <r>
    <x v="426"/>
    <d v="2020-04-11T00:00:00"/>
    <x v="2"/>
    <n v="623"/>
    <n v="720"/>
    <x v="3"/>
    <n v="-623"/>
    <x v="0"/>
  </r>
  <r>
    <x v="426"/>
    <d v="2020-04-13T00:00:00"/>
    <x v="1"/>
    <n v="993"/>
    <n v="-273"/>
    <x v="3"/>
    <n v="-993"/>
    <x v="1"/>
  </r>
  <r>
    <x v="426"/>
    <d v="2020-04-18T00:00:00"/>
    <x v="1"/>
    <n v="43"/>
    <n v="-316"/>
    <x v="3"/>
    <n v="-43"/>
    <x v="1"/>
  </r>
  <r>
    <x v="427"/>
    <d v="2020-01-15T00:00:00"/>
    <x v="0"/>
    <n v="280"/>
    <n v="280"/>
    <x v="0"/>
    <n v="280"/>
    <x v="0"/>
  </r>
  <r>
    <x v="427"/>
    <d v="2020-02-04T00:00:00"/>
    <x v="1"/>
    <n v="364"/>
    <n v="-84"/>
    <x v="2"/>
    <n v="-364"/>
    <x v="1"/>
  </r>
  <r>
    <x v="427"/>
    <d v="2020-02-06T00:00:00"/>
    <x v="1"/>
    <n v="176"/>
    <n v="-260"/>
    <x v="2"/>
    <n v="-176"/>
    <x v="1"/>
  </r>
  <r>
    <x v="427"/>
    <d v="2020-02-15T00:00:00"/>
    <x v="0"/>
    <n v="599"/>
    <n v="339"/>
    <x v="2"/>
    <n v="599"/>
    <x v="0"/>
  </r>
  <r>
    <x v="427"/>
    <d v="2020-02-27T00:00:00"/>
    <x v="0"/>
    <n v="348"/>
    <n v="687"/>
    <x v="2"/>
    <n v="348"/>
    <x v="0"/>
  </r>
  <r>
    <x v="427"/>
    <d v="2020-03-03T00:00:00"/>
    <x v="0"/>
    <n v="530"/>
    <n v="1217"/>
    <x v="1"/>
    <n v="530"/>
    <x v="0"/>
  </r>
  <r>
    <x v="428"/>
    <d v="2020-01-21T00:00:00"/>
    <x v="0"/>
    <n v="82"/>
    <n v="82"/>
    <x v="0"/>
    <n v="82"/>
    <x v="0"/>
  </r>
  <r>
    <x v="428"/>
    <d v="2020-02-14T00:00:00"/>
    <x v="1"/>
    <n v="128"/>
    <n v="-46"/>
    <x v="2"/>
    <n v="-128"/>
    <x v="1"/>
  </r>
  <r>
    <x v="428"/>
    <d v="2020-02-19T00:00:00"/>
    <x v="0"/>
    <n v="831"/>
    <n v="785"/>
    <x v="2"/>
    <n v="831"/>
    <x v="0"/>
  </r>
  <r>
    <x v="428"/>
    <d v="2020-02-25T00:00:00"/>
    <x v="1"/>
    <n v="312"/>
    <n v="473"/>
    <x v="2"/>
    <n v="-312"/>
    <x v="0"/>
  </r>
  <r>
    <x v="428"/>
    <d v="2020-03-02T00:00:00"/>
    <x v="0"/>
    <n v="256"/>
    <n v="729"/>
    <x v="1"/>
    <n v="256"/>
    <x v="0"/>
  </r>
  <r>
    <x v="428"/>
    <d v="2020-03-02T00:00:00"/>
    <x v="2"/>
    <n v="611"/>
    <n v="118"/>
    <x v="1"/>
    <n v="-611"/>
    <x v="0"/>
  </r>
  <r>
    <x v="428"/>
    <d v="2020-03-02T00:00:00"/>
    <x v="1"/>
    <n v="164"/>
    <n v="-46"/>
    <x v="1"/>
    <n v="-164"/>
    <x v="1"/>
  </r>
  <r>
    <x v="428"/>
    <d v="2020-04-04T00:00:00"/>
    <x v="2"/>
    <n v="855"/>
    <n v="-901"/>
    <x v="3"/>
    <n v="-855"/>
    <x v="1"/>
  </r>
  <r>
    <x v="429"/>
    <d v="2020-01-20T00:00:00"/>
    <x v="0"/>
    <n v="829"/>
    <n v="829"/>
    <x v="0"/>
    <n v="829"/>
    <x v="0"/>
  </r>
  <r>
    <x v="429"/>
    <d v="2020-01-25T00:00:00"/>
    <x v="2"/>
    <n v="449"/>
    <n v="380"/>
    <x v="0"/>
    <n v="-449"/>
    <x v="0"/>
  </r>
  <r>
    <x v="429"/>
    <d v="2020-01-29T00:00:00"/>
    <x v="2"/>
    <n v="388"/>
    <n v="-8"/>
    <x v="0"/>
    <n v="-388"/>
    <x v="1"/>
  </r>
  <r>
    <x v="429"/>
    <d v="2020-02-26T00:00:00"/>
    <x v="1"/>
    <n v="332"/>
    <n v="-340"/>
    <x v="2"/>
    <n v="-332"/>
    <x v="1"/>
  </r>
  <r>
    <x v="429"/>
    <d v="2020-02-29T00:00:00"/>
    <x v="0"/>
    <n v="743"/>
    <n v="403"/>
    <x v="2"/>
    <n v="743"/>
    <x v="0"/>
  </r>
  <r>
    <x v="429"/>
    <d v="2020-03-09T00:00:00"/>
    <x v="2"/>
    <n v="968"/>
    <n v="-565"/>
    <x v="1"/>
    <n v="-968"/>
    <x v="1"/>
  </r>
  <r>
    <x v="429"/>
    <d v="2020-03-23T00:00:00"/>
    <x v="1"/>
    <n v="761"/>
    <n v="-1326"/>
    <x v="1"/>
    <n v="-761"/>
    <x v="1"/>
  </r>
  <r>
    <x v="430"/>
    <d v="2020-01-11T00:00:00"/>
    <x v="0"/>
    <n v="101"/>
    <n v="101"/>
    <x v="0"/>
    <n v="101"/>
    <x v="0"/>
  </r>
  <r>
    <x v="430"/>
    <d v="2020-01-18T00:00:00"/>
    <x v="0"/>
    <n v="158"/>
    <n v="259"/>
    <x v="0"/>
    <n v="158"/>
    <x v="0"/>
  </r>
  <r>
    <x v="430"/>
    <d v="2020-01-20T00:00:00"/>
    <x v="1"/>
    <n v="659"/>
    <n v="-400"/>
    <x v="0"/>
    <n v="-659"/>
    <x v="1"/>
  </r>
  <r>
    <x v="430"/>
    <d v="2020-02-20T00:00:00"/>
    <x v="1"/>
    <n v="739"/>
    <n v="-1139"/>
    <x v="2"/>
    <n v="-739"/>
    <x v="1"/>
  </r>
  <r>
    <x v="431"/>
    <d v="2020-01-26T00:00:00"/>
    <x v="1"/>
    <n v="817"/>
    <n v="-817"/>
    <x v="0"/>
    <n v="-817"/>
    <x v="1"/>
  </r>
  <r>
    <x v="431"/>
    <d v="2020-01-26T00:00:00"/>
    <x v="0"/>
    <n v="637"/>
    <n v="-180"/>
    <x v="0"/>
    <n v="637"/>
    <x v="1"/>
  </r>
  <r>
    <x v="431"/>
    <d v="2020-01-27T00:00:00"/>
    <x v="0"/>
    <n v="572"/>
    <n v="392"/>
    <x v="0"/>
    <n v="572"/>
    <x v="0"/>
  </r>
  <r>
    <x v="431"/>
    <d v="2020-02-08T00:00:00"/>
    <x v="0"/>
    <n v="772"/>
    <n v="1164"/>
    <x v="2"/>
    <n v="772"/>
    <x v="0"/>
  </r>
  <r>
    <x v="431"/>
    <d v="2020-02-08T00:00:00"/>
    <x v="2"/>
    <n v="758"/>
    <n v="406"/>
    <x v="2"/>
    <n v="-758"/>
    <x v="0"/>
  </r>
  <r>
    <x v="431"/>
    <d v="2020-02-10T00:00:00"/>
    <x v="2"/>
    <n v="836"/>
    <n v="-430"/>
    <x v="2"/>
    <n v="-836"/>
    <x v="1"/>
  </r>
  <r>
    <x v="431"/>
    <d v="2020-02-12T00:00:00"/>
    <x v="1"/>
    <n v="46"/>
    <n v="-476"/>
    <x v="2"/>
    <n v="-46"/>
    <x v="1"/>
  </r>
  <r>
    <x v="431"/>
    <d v="2020-02-14T00:00:00"/>
    <x v="0"/>
    <n v="984"/>
    <n v="508"/>
    <x v="2"/>
    <n v="984"/>
    <x v="0"/>
  </r>
  <r>
    <x v="431"/>
    <d v="2020-02-25T00:00:00"/>
    <x v="0"/>
    <n v="478"/>
    <n v="986"/>
    <x v="2"/>
    <n v="478"/>
    <x v="0"/>
  </r>
  <r>
    <x v="431"/>
    <d v="2020-03-15T00:00:00"/>
    <x v="0"/>
    <n v="907"/>
    <n v="1893"/>
    <x v="1"/>
    <n v="907"/>
    <x v="0"/>
  </r>
  <r>
    <x v="431"/>
    <d v="2020-03-31T00:00:00"/>
    <x v="1"/>
    <n v="930"/>
    <n v="963"/>
    <x v="1"/>
    <n v="-930"/>
    <x v="0"/>
  </r>
  <r>
    <x v="431"/>
    <d v="2020-04-01T00:00:00"/>
    <x v="0"/>
    <n v="177"/>
    <n v="1140"/>
    <x v="3"/>
    <n v="177"/>
    <x v="0"/>
  </r>
  <r>
    <x v="431"/>
    <d v="2020-04-01T00:00:00"/>
    <x v="0"/>
    <n v="509"/>
    <n v="1649"/>
    <x v="3"/>
    <n v="509"/>
    <x v="0"/>
  </r>
  <r>
    <x v="431"/>
    <d v="2020-04-01T00:00:00"/>
    <x v="0"/>
    <n v="658"/>
    <n v="2307"/>
    <x v="3"/>
    <n v="658"/>
    <x v="0"/>
  </r>
  <r>
    <x v="431"/>
    <d v="2020-04-03T00:00:00"/>
    <x v="0"/>
    <n v="337"/>
    <n v="2644"/>
    <x v="3"/>
    <n v="337"/>
    <x v="0"/>
  </r>
  <r>
    <x v="431"/>
    <d v="2020-04-03T00:00:00"/>
    <x v="0"/>
    <n v="38"/>
    <n v="2682"/>
    <x v="3"/>
    <n v="38"/>
    <x v="0"/>
  </r>
  <r>
    <x v="431"/>
    <d v="2020-04-12T00:00:00"/>
    <x v="1"/>
    <n v="565"/>
    <n v="2117"/>
    <x v="3"/>
    <n v="-565"/>
    <x v="0"/>
  </r>
  <r>
    <x v="431"/>
    <d v="2020-04-20T00:00:00"/>
    <x v="0"/>
    <n v="318"/>
    <n v="2435"/>
    <x v="3"/>
    <n v="318"/>
    <x v="0"/>
  </r>
  <r>
    <x v="432"/>
    <d v="2020-01-15T00:00:00"/>
    <x v="0"/>
    <n v="142"/>
    <n v="142"/>
    <x v="0"/>
    <n v="142"/>
    <x v="0"/>
  </r>
  <r>
    <x v="432"/>
    <d v="2020-01-27T00:00:00"/>
    <x v="0"/>
    <n v="287"/>
    <n v="429"/>
    <x v="0"/>
    <n v="287"/>
    <x v="0"/>
  </r>
  <r>
    <x v="432"/>
    <d v="2020-01-29T00:00:00"/>
    <x v="0"/>
    <n v="454"/>
    <n v="883"/>
    <x v="0"/>
    <n v="454"/>
    <x v="0"/>
  </r>
  <r>
    <x v="432"/>
    <d v="2020-02-02T00:00:00"/>
    <x v="0"/>
    <n v="633"/>
    <n v="1516"/>
    <x v="2"/>
    <n v="633"/>
    <x v="0"/>
  </r>
  <r>
    <x v="432"/>
    <d v="2020-02-14T00:00:00"/>
    <x v="1"/>
    <n v="325"/>
    <n v="1191"/>
    <x v="2"/>
    <n v="-325"/>
    <x v="0"/>
  </r>
  <r>
    <x v="432"/>
    <d v="2020-02-28T00:00:00"/>
    <x v="0"/>
    <n v="95"/>
    <n v="1286"/>
    <x v="2"/>
    <n v="95"/>
    <x v="0"/>
  </r>
  <r>
    <x v="432"/>
    <d v="2020-03-24T00:00:00"/>
    <x v="2"/>
    <n v="626"/>
    <n v="660"/>
    <x v="1"/>
    <n v="-626"/>
    <x v="0"/>
  </r>
  <r>
    <x v="433"/>
    <d v="2020-01-14T00:00:00"/>
    <x v="0"/>
    <n v="686"/>
    <n v="686"/>
    <x v="0"/>
    <n v="686"/>
    <x v="0"/>
  </r>
  <r>
    <x v="433"/>
    <d v="2020-01-16T00:00:00"/>
    <x v="0"/>
    <n v="316"/>
    <n v="1002"/>
    <x v="0"/>
    <n v="316"/>
    <x v="0"/>
  </r>
  <r>
    <x v="433"/>
    <d v="2020-01-29T00:00:00"/>
    <x v="2"/>
    <n v="775"/>
    <n v="227"/>
    <x v="0"/>
    <n v="-775"/>
    <x v="0"/>
  </r>
  <r>
    <x v="433"/>
    <d v="2020-01-31T00:00:00"/>
    <x v="0"/>
    <n v="896"/>
    <n v="1123"/>
    <x v="0"/>
    <n v="896"/>
    <x v="0"/>
  </r>
  <r>
    <x v="433"/>
    <d v="2020-02-08T00:00:00"/>
    <x v="1"/>
    <n v="781"/>
    <n v="342"/>
    <x v="2"/>
    <n v="-781"/>
    <x v="0"/>
  </r>
  <r>
    <x v="433"/>
    <d v="2020-02-12T00:00:00"/>
    <x v="2"/>
    <n v="191"/>
    <n v="151"/>
    <x v="2"/>
    <n v="-191"/>
    <x v="0"/>
  </r>
  <r>
    <x v="433"/>
    <d v="2020-02-17T00:00:00"/>
    <x v="1"/>
    <n v="734"/>
    <n v="-583"/>
    <x v="2"/>
    <n v="-734"/>
    <x v="1"/>
  </r>
  <r>
    <x v="433"/>
    <d v="2020-02-18T00:00:00"/>
    <x v="0"/>
    <n v="906"/>
    <n v="323"/>
    <x v="2"/>
    <n v="906"/>
    <x v="0"/>
  </r>
  <r>
    <x v="433"/>
    <d v="2020-02-27T00:00:00"/>
    <x v="1"/>
    <n v="440"/>
    <n v="-117"/>
    <x v="2"/>
    <n v="-440"/>
    <x v="1"/>
  </r>
  <r>
    <x v="433"/>
    <d v="2020-03-06T00:00:00"/>
    <x v="0"/>
    <n v="792"/>
    <n v="675"/>
    <x v="1"/>
    <n v="792"/>
    <x v="0"/>
  </r>
  <r>
    <x v="433"/>
    <d v="2020-03-06T00:00:00"/>
    <x v="2"/>
    <n v="437"/>
    <n v="238"/>
    <x v="1"/>
    <n v="-437"/>
    <x v="0"/>
  </r>
  <r>
    <x v="433"/>
    <d v="2020-03-10T00:00:00"/>
    <x v="2"/>
    <n v="758"/>
    <n v="-520"/>
    <x v="1"/>
    <n v="-758"/>
    <x v="1"/>
  </r>
  <r>
    <x v="433"/>
    <d v="2020-03-15T00:00:00"/>
    <x v="1"/>
    <n v="620"/>
    <n v="-1140"/>
    <x v="1"/>
    <n v="-620"/>
    <x v="1"/>
  </r>
  <r>
    <x v="433"/>
    <d v="2020-03-17T00:00:00"/>
    <x v="1"/>
    <n v="509"/>
    <n v="-1649"/>
    <x v="1"/>
    <n v="-509"/>
    <x v="1"/>
  </r>
  <r>
    <x v="433"/>
    <d v="2020-03-18T00:00:00"/>
    <x v="2"/>
    <n v="539"/>
    <n v="-2188"/>
    <x v="1"/>
    <n v="-539"/>
    <x v="1"/>
  </r>
  <r>
    <x v="433"/>
    <d v="2020-03-21T00:00:00"/>
    <x v="1"/>
    <n v="466"/>
    <n v="-2654"/>
    <x v="1"/>
    <n v="-466"/>
    <x v="1"/>
  </r>
  <r>
    <x v="433"/>
    <d v="2020-03-25T00:00:00"/>
    <x v="0"/>
    <n v="288"/>
    <n v="-2366"/>
    <x v="1"/>
    <n v="288"/>
    <x v="1"/>
  </r>
  <r>
    <x v="433"/>
    <d v="2020-04-02T00:00:00"/>
    <x v="1"/>
    <n v="141"/>
    <n v="-2507"/>
    <x v="3"/>
    <n v="-141"/>
    <x v="1"/>
  </r>
  <r>
    <x v="433"/>
    <d v="2020-04-07T00:00:00"/>
    <x v="0"/>
    <n v="692"/>
    <n v="-1815"/>
    <x v="3"/>
    <n v="692"/>
    <x v="1"/>
  </r>
  <r>
    <x v="434"/>
    <d v="2020-01-01T00:00:00"/>
    <x v="0"/>
    <n v="627"/>
    <n v="627"/>
    <x v="0"/>
    <n v="627"/>
    <x v="0"/>
  </r>
  <r>
    <x v="434"/>
    <d v="2020-01-02T00:00:00"/>
    <x v="1"/>
    <n v="778"/>
    <n v="-151"/>
    <x v="0"/>
    <n v="-778"/>
    <x v="1"/>
  </r>
  <r>
    <x v="434"/>
    <d v="2020-01-03T00:00:00"/>
    <x v="0"/>
    <n v="702"/>
    <n v="551"/>
    <x v="0"/>
    <n v="702"/>
    <x v="0"/>
  </r>
  <r>
    <x v="434"/>
    <d v="2020-01-05T00:00:00"/>
    <x v="2"/>
    <n v="965"/>
    <n v="-414"/>
    <x v="0"/>
    <n v="-965"/>
    <x v="1"/>
  </r>
  <r>
    <x v="434"/>
    <d v="2020-01-05T00:00:00"/>
    <x v="0"/>
    <n v="118"/>
    <n v="-296"/>
    <x v="0"/>
    <n v="118"/>
    <x v="1"/>
  </r>
  <r>
    <x v="434"/>
    <d v="2020-01-06T00:00:00"/>
    <x v="0"/>
    <n v="419"/>
    <n v="123"/>
    <x v="0"/>
    <n v="419"/>
    <x v="0"/>
  </r>
  <r>
    <x v="434"/>
    <d v="2020-01-07T00:00:00"/>
    <x v="0"/>
    <n v="20"/>
    <n v="143"/>
    <x v="0"/>
    <n v="20"/>
    <x v="0"/>
  </r>
  <r>
    <x v="434"/>
    <d v="2020-01-07T00:00:00"/>
    <x v="1"/>
    <n v="543"/>
    <n v="-400"/>
    <x v="0"/>
    <n v="-543"/>
    <x v="1"/>
  </r>
  <r>
    <x v="434"/>
    <d v="2020-01-17T00:00:00"/>
    <x v="0"/>
    <n v="534"/>
    <n v="134"/>
    <x v="0"/>
    <n v="534"/>
    <x v="0"/>
  </r>
  <r>
    <x v="434"/>
    <d v="2020-01-23T00:00:00"/>
    <x v="1"/>
    <n v="542"/>
    <n v="-408"/>
    <x v="0"/>
    <n v="-542"/>
    <x v="1"/>
  </r>
  <r>
    <x v="434"/>
    <d v="2020-01-25T00:00:00"/>
    <x v="2"/>
    <n v="921"/>
    <n v="-1329"/>
    <x v="0"/>
    <n v="-921"/>
    <x v="1"/>
  </r>
  <r>
    <x v="434"/>
    <d v="2020-02-13T00:00:00"/>
    <x v="0"/>
    <n v="386"/>
    <n v="-943"/>
    <x v="2"/>
    <n v="386"/>
    <x v="1"/>
  </r>
  <r>
    <x v="434"/>
    <d v="2020-02-14T00:00:00"/>
    <x v="0"/>
    <n v="337"/>
    <n v="-606"/>
    <x v="2"/>
    <n v="337"/>
    <x v="1"/>
  </r>
  <r>
    <x v="434"/>
    <d v="2020-02-26T00:00:00"/>
    <x v="0"/>
    <n v="568"/>
    <n v="-38"/>
    <x v="2"/>
    <n v="568"/>
    <x v="1"/>
  </r>
  <r>
    <x v="434"/>
    <d v="2020-03-09T00:00:00"/>
    <x v="2"/>
    <n v="382"/>
    <n v="-420"/>
    <x v="1"/>
    <n v="-382"/>
    <x v="1"/>
  </r>
  <r>
    <x v="434"/>
    <d v="2020-03-11T00:00:00"/>
    <x v="2"/>
    <n v="599"/>
    <n v="-1019"/>
    <x v="1"/>
    <n v="-599"/>
    <x v="1"/>
  </r>
  <r>
    <x v="434"/>
    <d v="2020-03-17T00:00:00"/>
    <x v="1"/>
    <n v="310"/>
    <n v="-1329"/>
    <x v="1"/>
    <n v="-310"/>
    <x v="1"/>
  </r>
  <r>
    <x v="434"/>
    <d v="2020-03-18T00:00:00"/>
    <x v="1"/>
    <n v="108"/>
    <n v="-1437"/>
    <x v="1"/>
    <n v="-108"/>
    <x v="1"/>
  </r>
  <r>
    <x v="434"/>
    <d v="2020-03-23T00:00:00"/>
    <x v="2"/>
    <n v="545"/>
    <n v="-1982"/>
    <x v="1"/>
    <n v="-545"/>
    <x v="1"/>
  </r>
  <r>
    <x v="434"/>
    <d v="2020-03-23T00:00:00"/>
    <x v="0"/>
    <n v="33"/>
    <n v="-1949"/>
    <x v="1"/>
    <n v="33"/>
    <x v="1"/>
  </r>
  <r>
    <x v="434"/>
    <d v="2020-03-25T00:00:00"/>
    <x v="0"/>
    <n v="508"/>
    <n v="-1441"/>
    <x v="1"/>
    <n v="508"/>
    <x v="1"/>
  </r>
  <r>
    <x v="434"/>
    <d v="2020-03-28T00:00:00"/>
    <x v="0"/>
    <n v="265"/>
    <n v="-1176"/>
    <x v="1"/>
    <n v="265"/>
    <x v="1"/>
  </r>
  <r>
    <x v="435"/>
    <d v="2020-01-05T00:00:00"/>
    <x v="0"/>
    <n v="401"/>
    <n v="401"/>
    <x v="0"/>
    <n v="401"/>
    <x v="0"/>
  </r>
  <r>
    <x v="435"/>
    <d v="2020-01-16T00:00:00"/>
    <x v="0"/>
    <n v="516"/>
    <n v="917"/>
    <x v="0"/>
    <n v="516"/>
    <x v="0"/>
  </r>
  <r>
    <x v="435"/>
    <d v="2020-02-05T00:00:00"/>
    <x v="1"/>
    <n v="31"/>
    <n v="886"/>
    <x v="2"/>
    <n v="-31"/>
    <x v="0"/>
  </r>
  <r>
    <x v="435"/>
    <d v="2020-03-03T00:00:00"/>
    <x v="1"/>
    <n v="304"/>
    <n v="582"/>
    <x v="1"/>
    <n v="-304"/>
    <x v="0"/>
  </r>
  <r>
    <x v="435"/>
    <d v="2020-03-09T00:00:00"/>
    <x v="2"/>
    <n v="248"/>
    <n v="334"/>
    <x v="1"/>
    <n v="-248"/>
    <x v="0"/>
  </r>
  <r>
    <x v="435"/>
    <d v="2020-03-13T00:00:00"/>
    <x v="2"/>
    <n v="917"/>
    <n v="-583"/>
    <x v="1"/>
    <n v="-917"/>
    <x v="1"/>
  </r>
  <r>
    <x v="435"/>
    <d v="2020-03-29T00:00:00"/>
    <x v="1"/>
    <n v="93"/>
    <n v="-676"/>
    <x v="1"/>
    <n v="-93"/>
    <x v="1"/>
  </r>
  <r>
    <x v="436"/>
    <d v="2020-01-05T00:00:00"/>
    <x v="0"/>
    <n v="935"/>
    <n v="935"/>
    <x v="0"/>
    <n v="935"/>
    <x v="0"/>
  </r>
  <r>
    <x v="436"/>
    <d v="2020-01-05T00:00:00"/>
    <x v="2"/>
    <n v="951"/>
    <n v="-16"/>
    <x v="0"/>
    <n v="-951"/>
    <x v="1"/>
  </r>
  <r>
    <x v="436"/>
    <d v="2020-01-17T00:00:00"/>
    <x v="2"/>
    <n v="345"/>
    <n v="-361"/>
    <x v="0"/>
    <n v="-345"/>
    <x v="1"/>
  </r>
  <r>
    <x v="436"/>
    <d v="2020-02-11T00:00:00"/>
    <x v="2"/>
    <n v="80"/>
    <n v="-441"/>
    <x v="2"/>
    <n v="-80"/>
    <x v="1"/>
  </r>
  <r>
    <x v="436"/>
    <d v="2020-02-11T00:00:00"/>
    <x v="1"/>
    <n v="657"/>
    <n v="-1098"/>
    <x v="2"/>
    <n v="-657"/>
    <x v="1"/>
  </r>
  <r>
    <x v="436"/>
    <d v="2020-02-12T00:00:00"/>
    <x v="1"/>
    <n v="439"/>
    <n v="-1537"/>
    <x v="2"/>
    <n v="-439"/>
    <x v="1"/>
  </r>
  <r>
    <x v="436"/>
    <d v="2020-03-16T00:00:00"/>
    <x v="1"/>
    <n v="86"/>
    <n v="-1623"/>
    <x v="1"/>
    <n v="-86"/>
    <x v="1"/>
  </r>
  <r>
    <x v="436"/>
    <d v="2020-03-17T00:00:00"/>
    <x v="0"/>
    <n v="305"/>
    <n v="-1318"/>
    <x v="1"/>
    <n v="305"/>
    <x v="1"/>
  </r>
  <r>
    <x v="436"/>
    <d v="2020-04-02T00:00:00"/>
    <x v="0"/>
    <n v="184"/>
    <n v="-1134"/>
    <x v="3"/>
    <n v="184"/>
    <x v="1"/>
  </r>
  <r>
    <x v="437"/>
    <d v="2020-01-01T00:00:00"/>
    <x v="0"/>
    <n v="261"/>
    <n v="261"/>
    <x v="0"/>
    <n v="261"/>
    <x v="0"/>
  </r>
  <r>
    <x v="437"/>
    <d v="2020-01-12T00:00:00"/>
    <x v="0"/>
    <n v="705"/>
    <n v="966"/>
    <x v="0"/>
    <n v="705"/>
    <x v="0"/>
  </r>
  <r>
    <x v="437"/>
    <d v="2020-01-13T00:00:00"/>
    <x v="2"/>
    <n v="68"/>
    <n v="898"/>
    <x v="0"/>
    <n v="-68"/>
    <x v="0"/>
  </r>
  <r>
    <x v="437"/>
    <d v="2020-01-20T00:00:00"/>
    <x v="2"/>
    <n v="538"/>
    <n v="360"/>
    <x v="0"/>
    <n v="-538"/>
    <x v="0"/>
  </r>
  <r>
    <x v="437"/>
    <d v="2020-01-31T00:00:00"/>
    <x v="0"/>
    <n v="957"/>
    <n v="1317"/>
    <x v="0"/>
    <n v="957"/>
    <x v="0"/>
  </r>
  <r>
    <x v="437"/>
    <d v="2020-02-01T00:00:00"/>
    <x v="1"/>
    <n v="93"/>
    <n v="1224"/>
    <x v="2"/>
    <n v="-93"/>
    <x v="0"/>
  </r>
  <r>
    <x v="437"/>
    <d v="2020-02-12T00:00:00"/>
    <x v="2"/>
    <n v="159"/>
    <n v="1065"/>
    <x v="2"/>
    <n v="-159"/>
    <x v="0"/>
  </r>
  <r>
    <x v="437"/>
    <d v="2020-02-13T00:00:00"/>
    <x v="0"/>
    <n v="890"/>
    <n v="1955"/>
    <x v="2"/>
    <n v="890"/>
    <x v="0"/>
  </r>
  <r>
    <x v="437"/>
    <d v="2020-02-26T00:00:00"/>
    <x v="0"/>
    <n v="858"/>
    <n v="2813"/>
    <x v="2"/>
    <n v="858"/>
    <x v="0"/>
  </r>
  <r>
    <x v="437"/>
    <d v="2020-03-07T00:00:00"/>
    <x v="0"/>
    <n v="273"/>
    <n v="3086"/>
    <x v="1"/>
    <n v="273"/>
    <x v="0"/>
  </r>
  <r>
    <x v="437"/>
    <d v="2020-03-08T00:00:00"/>
    <x v="2"/>
    <n v="802"/>
    <n v="2284"/>
    <x v="1"/>
    <n v="-802"/>
    <x v="0"/>
  </r>
  <r>
    <x v="437"/>
    <d v="2020-03-25T00:00:00"/>
    <x v="1"/>
    <n v="861"/>
    <n v="1423"/>
    <x v="1"/>
    <n v="-861"/>
    <x v="0"/>
  </r>
  <r>
    <x v="438"/>
    <d v="2020-01-26T00:00:00"/>
    <x v="0"/>
    <n v="430"/>
    <n v="430"/>
    <x v="0"/>
    <n v="430"/>
    <x v="0"/>
  </r>
  <r>
    <x v="438"/>
    <d v="2020-03-04T00:00:00"/>
    <x v="2"/>
    <n v="916"/>
    <n v="-486"/>
    <x v="1"/>
    <n v="-916"/>
    <x v="1"/>
  </r>
  <r>
    <x v="438"/>
    <d v="2020-03-13T00:00:00"/>
    <x v="0"/>
    <n v="105"/>
    <n v="-381"/>
    <x v="1"/>
    <n v="105"/>
    <x v="1"/>
  </r>
  <r>
    <x v="438"/>
    <d v="2020-04-12T00:00:00"/>
    <x v="0"/>
    <n v="699"/>
    <n v="318"/>
    <x v="3"/>
    <n v="699"/>
    <x v="0"/>
  </r>
  <r>
    <x v="439"/>
    <d v="2020-01-03T00:00:00"/>
    <x v="0"/>
    <n v="45"/>
    <n v="45"/>
    <x v="0"/>
    <n v="45"/>
    <x v="0"/>
  </r>
  <r>
    <x v="439"/>
    <d v="2020-01-04T00:00:00"/>
    <x v="2"/>
    <n v="168"/>
    <n v="-123"/>
    <x v="0"/>
    <n v="-168"/>
    <x v="1"/>
  </r>
  <r>
    <x v="439"/>
    <d v="2020-02-18T00:00:00"/>
    <x v="0"/>
    <n v="269"/>
    <n v="146"/>
    <x v="2"/>
    <n v="269"/>
    <x v="0"/>
  </r>
  <r>
    <x v="439"/>
    <d v="2020-03-04T00:00:00"/>
    <x v="0"/>
    <n v="585"/>
    <n v="731"/>
    <x v="1"/>
    <n v="585"/>
    <x v="0"/>
  </r>
  <r>
    <x v="439"/>
    <d v="2020-03-26T00:00:00"/>
    <x v="2"/>
    <n v="241"/>
    <n v="490"/>
    <x v="1"/>
    <n v="-241"/>
    <x v="0"/>
  </r>
  <r>
    <x v="440"/>
    <d v="2020-01-12T00:00:00"/>
    <x v="0"/>
    <n v="418"/>
    <n v="418"/>
    <x v="0"/>
    <n v="418"/>
    <x v="0"/>
  </r>
  <r>
    <x v="440"/>
    <d v="2020-01-13T00:00:00"/>
    <x v="2"/>
    <n v="207"/>
    <n v="211"/>
    <x v="0"/>
    <n v="-207"/>
    <x v="0"/>
  </r>
  <r>
    <x v="440"/>
    <d v="2020-01-18T00:00:00"/>
    <x v="2"/>
    <n v="540"/>
    <n v="-329"/>
    <x v="0"/>
    <n v="-540"/>
    <x v="1"/>
  </r>
  <r>
    <x v="440"/>
    <d v="2020-02-03T00:00:00"/>
    <x v="0"/>
    <n v="177"/>
    <n v="-152"/>
    <x v="2"/>
    <n v="177"/>
    <x v="1"/>
  </r>
  <r>
    <x v="440"/>
    <d v="2020-02-05T00:00:00"/>
    <x v="0"/>
    <n v="919"/>
    <n v="767"/>
    <x v="2"/>
    <n v="919"/>
    <x v="0"/>
  </r>
  <r>
    <x v="440"/>
    <d v="2020-02-06T00:00:00"/>
    <x v="0"/>
    <n v="363"/>
    <n v="1130"/>
    <x v="2"/>
    <n v="363"/>
    <x v="0"/>
  </r>
  <r>
    <x v="440"/>
    <d v="2020-02-17T00:00:00"/>
    <x v="2"/>
    <n v="195"/>
    <n v="935"/>
    <x v="2"/>
    <n v="-195"/>
    <x v="0"/>
  </r>
  <r>
    <x v="440"/>
    <d v="2020-02-24T00:00:00"/>
    <x v="1"/>
    <n v="190"/>
    <n v="745"/>
    <x v="2"/>
    <n v="-190"/>
    <x v="0"/>
  </r>
  <r>
    <x v="440"/>
    <d v="2020-03-06T00:00:00"/>
    <x v="2"/>
    <n v="229"/>
    <n v="516"/>
    <x v="1"/>
    <n v="-229"/>
    <x v="0"/>
  </r>
  <r>
    <x v="440"/>
    <d v="2020-03-16T00:00:00"/>
    <x v="1"/>
    <n v="634"/>
    <n v="-118"/>
    <x v="1"/>
    <n v="-634"/>
    <x v="1"/>
  </r>
  <r>
    <x v="440"/>
    <d v="2020-03-18T00:00:00"/>
    <x v="0"/>
    <n v="37"/>
    <n v="-81"/>
    <x v="1"/>
    <n v="37"/>
    <x v="1"/>
  </r>
  <r>
    <x v="440"/>
    <d v="2020-03-20T00:00:00"/>
    <x v="1"/>
    <n v="917"/>
    <n v="-998"/>
    <x v="1"/>
    <n v="-917"/>
    <x v="1"/>
  </r>
  <r>
    <x v="440"/>
    <d v="2020-03-24T00:00:00"/>
    <x v="0"/>
    <n v="856"/>
    <n v="-142"/>
    <x v="1"/>
    <n v="856"/>
    <x v="1"/>
  </r>
  <r>
    <x v="440"/>
    <d v="2020-03-24T00:00:00"/>
    <x v="0"/>
    <n v="8"/>
    <n v="-134"/>
    <x v="1"/>
    <n v="8"/>
    <x v="1"/>
  </r>
  <r>
    <x v="440"/>
    <d v="2020-03-25T00:00:00"/>
    <x v="2"/>
    <n v="535"/>
    <n v="-669"/>
    <x v="1"/>
    <n v="-535"/>
    <x v="1"/>
  </r>
  <r>
    <x v="440"/>
    <d v="2020-04-02T00:00:00"/>
    <x v="1"/>
    <n v="8"/>
    <n v="-677"/>
    <x v="3"/>
    <n v="-8"/>
    <x v="1"/>
  </r>
  <r>
    <x v="440"/>
    <d v="2020-04-04T00:00:00"/>
    <x v="0"/>
    <n v="392"/>
    <n v="-285"/>
    <x v="3"/>
    <n v="392"/>
    <x v="1"/>
  </r>
  <r>
    <x v="440"/>
    <d v="2020-04-04T00:00:00"/>
    <x v="1"/>
    <n v="520"/>
    <n v="-805"/>
    <x v="3"/>
    <n v="-520"/>
    <x v="1"/>
  </r>
  <r>
    <x v="440"/>
    <d v="2020-04-08T00:00:00"/>
    <x v="2"/>
    <n v="24"/>
    <n v="-829"/>
    <x v="3"/>
    <n v="-24"/>
    <x v="1"/>
  </r>
  <r>
    <x v="440"/>
    <d v="2020-04-09T00:00:00"/>
    <x v="0"/>
    <n v="237"/>
    <n v="-592"/>
    <x v="3"/>
    <n v="237"/>
    <x v="1"/>
  </r>
  <r>
    <x v="440"/>
    <d v="2020-04-10T00:00:00"/>
    <x v="1"/>
    <n v="206"/>
    <n v="-798"/>
    <x v="3"/>
    <n v="-206"/>
    <x v="1"/>
  </r>
  <r>
    <x v="441"/>
    <d v="2020-01-26T00:00:00"/>
    <x v="0"/>
    <n v="553"/>
    <n v="553"/>
    <x v="0"/>
    <n v="553"/>
    <x v="0"/>
  </r>
  <r>
    <x v="441"/>
    <d v="2020-01-27T00:00:00"/>
    <x v="1"/>
    <n v="881"/>
    <n v="-328"/>
    <x v="0"/>
    <n v="-881"/>
    <x v="1"/>
  </r>
  <r>
    <x v="441"/>
    <d v="2020-01-28T00:00:00"/>
    <x v="0"/>
    <n v="470"/>
    <n v="142"/>
    <x v="0"/>
    <n v="470"/>
    <x v="0"/>
  </r>
  <r>
    <x v="441"/>
    <d v="2020-02-11T00:00:00"/>
    <x v="1"/>
    <n v="835"/>
    <n v="-693"/>
    <x v="2"/>
    <n v="-835"/>
    <x v="1"/>
  </r>
  <r>
    <x v="441"/>
    <d v="2020-02-11T00:00:00"/>
    <x v="1"/>
    <n v="240"/>
    <n v="-933"/>
    <x v="2"/>
    <n v="-240"/>
    <x v="1"/>
  </r>
  <r>
    <x v="441"/>
    <d v="2020-02-20T00:00:00"/>
    <x v="2"/>
    <n v="156"/>
    <n v="-1089"/>
    <x v="2"/>
    <n v="-156"/>
    <x v="1"/>
  </r>
  <r>
    <x v="441"/>
    <d v="2020-02-20T00:00:00"/>
    <x v="2"/>
    <n v="361"/>
    <n v="-1450"/>
    <x v="2"/>
    <n v="-361"/>
    <x v="1"/>
  </r>
  <r>
    <x v="441"/>
    <d v="2020-02-21T00:00:00"/>
    <x v="1"/>
    <n v="638"/>
    <n v="-2088"/>
    <x v="2"/>
    <n v="-638"/>
    <x v="1"/>
  </r>
  <r>
    <x v="441"/>
    <d v="2020-02-23T00:00:00"/>
    <x v="1"/>
    <n v="810"/>
    <n v="-2898"/>
    <x v="2"/>
    <n v="-810"/>
    <x v="1"/>
  </r>
  <r>
    <x v="441"/>
    <d v="2020-03-02T00:00:00"/>
    <x v="2"/>
    <n v="728"/>
    <n v="-3626"/>
    <x v="1"/>
    <n v="-728"/>
    <x v="1"/>
  </r>
  <r>
    <x v="441"/>
    <d v="2020-03-02T00:00:00"/>
    <x v="2"/>
    <n v="745"/>
    <n v="-4371"/>
    <x v="1"/>
    <n v="-745"/>
    <x v="1"/>
  </r>
  <r>
    <x v="441"/>
    <d v="2020-03-09T00:00:00"/>
    <x v="1"/>
    <n v="661"/>
    <n v="-5032"/>
    <x v="1"/>
    <n v="-661"/>
    <x v="1"/>
  </r>
  <r>
    <x v="441"/>
    <d v="2020-03-13T00:00:00"/>
    <x v="0"/>
    <n v="741"/>
    <n v="-4291"/>
    <x v="1"/>
    <n v="741"/>
    <x v="1"/>
  </r>
  <r>
    <x v="441"/>
    <d v="2020-03-19T00:00:00"/>
    <x v="2"/>
    <n v="309"/>
    <n v="-4600"/>
    <x v="1"/>
    <n v="-309"/>
    <x v="1"/>
  </r>
  <r>
    <x v="441"/>
    <d v="2020-03-20T00:00:00"/>
    <x v="2"/>
    <n v="824"/>
    <n v="-5424"/>
    <x v="1"/>
    <n v="-824"/>
    <x v="1"/>
  </r>
  <r>
    <x v="441"/>
    <d v="2020-03-31T00:00:00"/>
    <x v="0"/>
    <n v="904"/>
    <n v="-4520"/>
    <x v="1"/>
    <n v="904"/>
    <x v="1"/>
  </r>
  <r>
    <x v="441"/>
    <d v="2020-04-04T00:00:00"/>
    <x v="1"/>
    <n v="938"/>
    <n v="-5458"/>
    <x v="3"/>
    <n v="-938"/>
    <x v="1"/>
  </r>
  <r>
    <x v="441"/>
    <d v="2020-04-06T00:00:00"/>
    <x v="1"/>
    <n v="385"/>
    <n v="-5843"/>
    <x v="3"/>
    <n v="-385"/>
    <x v="1"/>
  </r>
  <r>
    <x v="441"/>
    <d v="2020-04-15T00:00:00"/>
    <x v="0"/>
    <n v="359"/>
    <n v="-5484"/>
    <x v="3"/>
    <n v="359"/>
    <x v="1"/>
  </r>
  <r>
    <x v="441"/>
    <d v="2020-04-21T00:00:00"/>
    <x v="0"/>
    <n v="824"/>
    <n v="-4660"/>
    <x v="3"/>
    <n v="824"/>
    <x v="1"/>
  </r>
  <r>
    <x v="441"/>
    <d v="2020-04-24T00:00:00"/>
    <x v="2"/>
    <n v="839"/>
    <n v="-5499"/>
    <x v="3"/>
    <n v="-839"/>
    <x v="1"/>
  </r>
  <r>
    <x v="442"/>
    <d v="2020-01-28T00:00:00"/>
    <x v="0"/>
    <n v="760"/>
    <n v="760"/>
    <x v="0"/>
    <n v="760"/>
    <x v="0"/>
  </r>
  <r>
    <x v="442"/>
    <d v="2020-02-21T00:00:00"/>
    <x v="2"/>
    <n v="57"/>
    <n v="703"/>
    <x v="2"/>
    <n v="-57"/>
    <x v="0"/>
  </r>
  <r>
    <x v="442"/>
    <d v="2020-02-23T00:00:00"/>
    <x v="2"/>
    <n v="592"/>
    <n v="111"/>
    <x v="2"/>
    <n v="-592"/>
    <x v="0"/>
  </r>
  <r>
    <x v="442"/>
    <d v="2020-02-29T00:00:00"/>
    <x v="0"/>
    <n v="599"/>
    <n v="710"/>
    <x v="2"/>
    <n v="599"/>
    <x v="0"/>
  </r>
  <r>
    <x v="442"/>
    <d v="2020-03-02T00:00:00"/>
    <x v="1"/>
    <n v="845"/>
    <n v="-135"/>
    <x v="1"/>
    <n v="-845"/>
    <x v="1"/>
  </r>
  <r>
    <x v="442"/>
    <d v="2020-03-22T00:00:00"/>
    <x v="1"/>
    <n v="377"/>
    <n v="-512"/>
    <x v="1"/>
    <n v="-377"/>
    <x v="1"/>
  </r>
  <r>
    <x v="442"/>
    <d v="2020-03-28T00:00:00"/>
    <x v="0"/>
    <n v="561"/>
    <n v="49"/>
    <x v="1"/>
    <n v="561"/>
    <x v="0"/>
  </r>
  <r>
    <x v="442"/>
    <d v="2020-03-31T00:00:00"/>
    <x v="1"/>
    <n v="408"/>
    <n v="-359"/>
    <x v="1"/>
    <n v="-408"/>
    <x v="1"/>
  </r>
  <r>
    <x v="442"/>
    <d v="2020-04-04T00:00:00"/>
    <x v="0"/>
    <n v="348"/>
    <n v="-11"/>
    <x v="3"/>
    <n v="348"/>
    <x v="1"/>
  </r>
  <r>
    <x v="443"/>
    <d v="2020-01-10T00:00:00"/>
    <x v="0"/>
    <n v="669"/>
    <n v="669"/>
    <x v="0"/>
    <n v="669"/>
    <x v="0"/>
  </r>
  <r>
    <x v="443"/>
    <d v="2020-01-11T00:00:00"/>
    <x v="1"/>
    <n v="586"/>
    <n v="83"/>
    <x v="0"/>
    <n v="-586"/>
    <x v="0"/>
  </r>
  <r>
    <x v="443"/>
    <d v="2020-02-02T00:00:00"/>
    <x v="1"/>
    <n v="14"/>
    <n v="69"/>
    <x v="2"/>
    <n v="-14"/>
    <x v="0"/>
  </r>
  <r>
    <x v="443"/>
    <d v="2020-02-09T00:00:00"/>
    <x v="2"/>
    <n v="805"/>
    <n v="-736"/>
    <x v="2"/>
    <n v="-805"/>
    <x v="1"/>
  </r>
  <r>
    <x v="443"/>
    <d v="2020-02-10T00:00:00"/>
    <x v="2"/>
    <n v="442"/>
    <n v="-1178"/>
    <x v="2"/>
    <n v="-442"/>
    <x v="1"/>
  </r>
  <r>
    <x v="443"/>
    <d v="2020-03-07T00:00:00"/>
    <x v="0"/>
    <n v="906"/>
    <n v="-272"/>
    <x v="1"/>
    <n v="906"/>
    <x v="1"/>
  </r>
  <r>
    <x v="443"/>
    <d v="2020-03-09T00:00:00"/>
    <x v="0"/>
    <n v="822"/>
    <n v="550"/>
    <x v="1"/>
    <n v="822"/>
    <x v="0"/>
  </r>
  <r>
    <x v="443"/>
    <d v="2020-03-25T00:00:00"/>
    <x v="1"/>
    <n v="378"/>
    <n v="172"/>
    <x v="1"/>
    <n v="-378"/>
    <x v="0"/>
  </r>
  <r>
    <x v="443"/>
    <d v="2020-03-30T00:00:00"/>
    <x v="2"/>
    <n v="671"/>
    <n v="-499"/>
    <x v="1"/>
    <n v="-671"/>
    <x v="1"/>
  </r>
  <r>
    <x v="443"/>
    <d v="2020-04-08T00:00:00"/>
    <x v="2"/>
    <n v="321"/>
    <n v="-820"/>
    <x v="3"/>
    <n v="-321"/>
    <x v="1"/>
  </r>
  <r>
    <x v="444"/>
    <d v="2020-01-25T00:00:00"/>
    <x v="0"/>
    <n v="832"/>
    <n v="832"/>
    <x v="0"/>
    <n v="832"/>
    <x v="0"/>
  </r>
  <r>
    <x v="444"/>
    <d v="2020-01-25T00:00:00"/>
    <x v="0"/>
    <n v="836"/>
    <n v="1668"/>
    <x v="0"/>
    <n v="836"/>
    <x v="0"/>
  </r>
  <r>
    <x v="444"/>
    <d v="2020-01-26T00:00:00"/>
    <x v="1"/>
    <n v="635"/>
    <n v="1033"/>
    <x v="0"/>
    <n v="-635"/>
    <x v="0"/>
  </r>
  <r>
    <x v="444"/>
    <d v="2020-01-29T00:00:00"/>
    <x v="0"/>
    <n v="331"/>
    <n v="1364"/>
    <x v="0"/>
    <n v="331"/>
    <x v="0"/>
  </r>
  <r>
    <x v="444"/>
    <d v="2020-02-06T00:00:00"/>
    <x v="0"/>
    <n v="471"/>
    <n v="1835"/>
    <x v="2"/>
    <n v="471"/>
    <x v="0"/>
  </r>
  <r>
    <x v="444"/>
    <d v="2020-02-07T00:00:00"/>
    <x v="1"/>
    <n v="982"/>
    <n v="853"/>
    <x v="2"/>
    <n v="-982"/>
    <x v="0"/>
  </r>
  <r>
    <x v="444"/>
    <d v="2020-02-12T00:00:00"/>
    <x v="2"/>
    <n v="374"/>
    <n v="479"/>
    <x v="2"/>
    <n v="-374"/>
    <x v="0"/>
  </r>
  <r>
    <x v="444"/>
    <d v="2020-02-17T00:00:00"/>
    <x v="0"/>
    <n v="415"/>
    <n v="894"/>
    <x v="2"/>
    <n v="415"/>
    <x v="0"/>
  </r>
  <r>
    <x v="444"/>
    <d v="2020-03-05T00:00:00"/>
    <x v="2"/>
    <n v="144"/>
    <n v="750"/>
    <x v="1"/>
    <n v="-144"/>
    <x v="0"/>
  </r>
  <r>
    <x v="444"/>
    <d v="2020-03-05T00:00:00"/>
    <x v="0"/>
    <n v="428"/>
    <n v="1178"/>
    <x v="1"/>
    <n v="428"/>
    <x v="0"/>
  </r>
  <r>
    <x v="444"/>
    <d v="2020-03-11T00:00:00"/>
    <x v="2"/>
    <n v="454"/>
    <n v="724"/>
    <x v="1"/>
    <n v="-454"/>
    <x v="0"/>
  </r>
  <r>
    <x v="444"/>
    <d v="2020-04-01T00:00:00"/>
    <x v="2"/>
    <n v="395"/>
    <n v="329"/>
    <x v="3"/>
    <n v="-395"/>
    <x v="0"/>
  </r>
  <r>
    <x v="444"/>
    <d v="2020-04-06T00:00:00"/>
    <x v="1"/>
    <n v="303"/>
    <n v="26"/>
    <x v="3"/>
    <n v="-303"/>
    <x v="0"/>
  </r>
  <r>
    <x v="444"/>
    <d v="2020-04-17T00:00:00"/>
    <x v="0"/>
    <n v="663"/>
    <n v="689"/>
    <x v="3"/>
    <n v="663"/>
    <x v="0"/>
  </r>
  <r>
    <x v="444"/>
    <d v="2020-04-17T00:00:00"/>
    <x v="2"/>
    <n v="371"/>
    <n v="318"/>
    <x v="3"/>
    <n v="-371"/>
    <x v="0"/>
  </r>
  <r>
    <x v="444"/>
    <d v="2020-04-20T00:00:00"/>
    <x v="0"/>
    <n v="477"/>
    <n v="795"/>
    <x v="3"/>
    <n v="477"/>
    <x v="0"/>
  </r>
  <r>
    <x v="444"/>
    <d v="2020-04-22T00:00:00"/>
    <x v="2"/>
    <n v="483"/>
    <n v="312"/>
    <x v="3"/>
    <n v="-483"/>
    <x v="0"/>
  </r>
  <r>
    <x v="445"/>
    <d v="2020-01-15T00:00:00"/>
    <x v="0"/>
    <n v="412"/>
    <n v="412"/>
    <x v="0"/>
    <n v="412"/>
    <x v="0"/>
  </r>
  <r>
    <x v="445"/>
    <d v="2020-03-04T00:00:00"/>
    <x v="2"/>
    <n v="837"/>
    <n v="-425"/>
    <x v="1"/>
    <n v="-837"/>
    <x v="1"/>
  </r>
  <r>
    <x v="445"/>
    <d v="2020-03-23T00:00:00"/>
    <x v="0"/>
    <n v="372"/>
    <n v="-53"/>
    <x v="1"/>
    <n v="372"/>
    <x v="1"/>
  </r>
  <r>
    <x v="445"/>
    <d v="2020-04-03T00:00:00"/>
    <x v="0"/>
    <n v="458"/>
    <n v="405"/>
    <x v="3"/>
    <n v="458"/>
    <x v="0"/>
  </r>
  <r>
    <x v="446"/>
    <d v="2020-01-03T00:00:00"/>
    <x v="0"/>
    <n v="188"/>
    <n v="188"/>
    <x v="0"/>
    <n v="188"/>
    <x v="0"/>
  </r>
  <r>
    <x v="446"/>
    <d v="2020-01-05T00:00:00"/>
    <x v="0"/>
    <n v="303"/>
    <n v="491"/>
    <x v="0"/>
    <n v="303"/>
    <x v="0"/>
  </r>
  <r>
    <x v="446"/>
    <d v="2020-01-05T00:00:00"/>
    <x v="0"/>
    <n v="761"/>
    <n v="1252"/>
    <x v="0"/>
    <n v="761"/>
    <x v="0"/>
  </r>
  <r>
    <x v="446"/>
    <d v="2020-01-14T00:00:00"/>
    <x v="1"/>
    <n v="172"/>
    <n v="1080"/>
    <x v="0"/>
    <n v="-172"/>
    <x v="0"/>
  </r>
  <r>
    <x v="446"/>
    <d v="2020-01-15T00:00:00"/>
    <x v="0"/>
    <n v="761"/>
    <n v="1841"/>
    <x v="0"/>
    <n v="761"/>
    <x v="0"/>
  </r>
  <r>
    <x v="446"/>
    <d v="2020-01-20T00:00:00"/>
    <x v="2"/>
    <n v="657"/>
    <n v="1184"/>
    <x v="0"/>
    <n v="-657"/>
    <x v="0"/>
  </r>
  <r>
    <x v="446"/>
    <d v="2020-01-23T00:00:00"/>
    <x v="0"/>
    <n v="11"/>
    <n v="1195"/>
    <x v="0"/>
    <n v="11"/>
    <x v="0"/>
  </r>
  <r>
    <x v="446"/>
    <d v="2020-02-22T00:00:00"/>
    <x v="2"/>
    <n v="758"/>
    <n v="437"/>
    <x v="2"/>
    <n v="-758"/>
    <x v="0"/>
  </r>
  <r>
    <x v="446"/>
    <d v="2020-02-28T00:00:00"/>
    <x v="2"/>
    <n v="396"/>
    <n v="41"/>
    <x v="2"/>
    <n v="-396"/>
    <x v="0"/>
  </r>
  <r>
    <x v="446"/>
    <d v="2020-03-13T00:00:00"/>
    <x v="2"/>
    <n v="539"/>
    <n v="-498"/>
    <x v="1"/>
    <n v="-539"/>
    <x v="1"/>
  </r>
  <r>
    <x v="446"/>
    <d v="2020-03-19T00:00:00"/>
    <x v="2"/>
    <n v="816"/>
    <n v="-1314"/>
    <x v="1"/>
    <n v="-816"/>
    <x v="1"/>
  </r>
  <r>
    <x v="446"/>
    <d v="2020-03-24T00:00:00"/>
    <x v="0"/>
    <n v="24"/>
    <n v="-1290"/>
    <x v="1"/>
    <n v="24"/>
    <x v="1"/>
  </r>
  <r>
    <x v="447"/>
    <d v="2020-01-30T00:00:00"/>
    <x v="0"/>
    <n v="759"/>
    <n v="759"/>
    <x v="0"/>
    <n v="759"/>
    <x v="0"/>
  </r>
  <r>
    <x v="447"/>
    <d v="2020-01-31T00:00:00"/>
    <x v="0"/>
    <n v="601"/>
    <n v="1360"/>
    <x v="0"/>
    <n v="601"/>
    <x v="0"/>
  </r>
  <r>
    <x v="447"/>
    <d v="2020-02-05T00:00:00"/>
    <x v="2"/>
    <n v="948"/>
    <n v="412"/>
    <x v="2"/>
    <n v="-948"/>
    <x v="0"/>
  </r>
  <r>
    <x v="447"/>
    <d v="2020-02-07T00:00:00"/>
    <x v="1"/>
    <n v="737"/>
    <n v="-325"/>
    <x v="2"/>
    <n v="-737"/>
    <x v="1"/>
  </r>
  <r>
    <x v="447"/>
    <d v="2020-02-12T00:00:00"/>
    <x v="0"/>
    <n v="566"/>
    <n v="241"/>
    <x v="2"/>
    <n v="566"/>
    <x v="0"/>
  </r>
  <r>
    <x v="447"/>
    <d v="2020-02-22T00:00:00"/>
    <x v="2"/>
    <n v="416"/>
    <n v="-175"/>
    <x v="2"/>
    <n v="-416"/>
    <x v="1"/>
  </r>
  <r>
    <x v="447"/>
    <d v="2020-02-27T00:00:00"/>
    <x v="2"/>
    <n v="734"/>
    <n v="-909"/>
    <x v="2"/>
    <n v="-734"/>
    <x v="1"/>
  </r>
  <r>
    <x v="447"/>
    <d v="2020-03-04T00:00:00"/>
    <x v="0"/>
    <n v="334"/>
    <n v="-575"/>
    <x v="1"/>
    <n v="334"/>
    <x v="1"/>
  </r>
  <r>
    <x v="447"/>
    <d v="2020-03-06T00:00:00"/>
    <x v="0"/>
    <n v="135"/>
    <n v="-440"/>
    <x v="1"/>
    <n v="135"/>
    <x v="1"/>
  </r>
  <r>
    <x v="447"/>
    <d v="2020-03-20T00:00:00"/>
    <x v="2"/>
    <n v="497"/>
    <n v="-937"/>
    <x v="1"/>
    <n v="-497"/>
    <x v="1"/>
  </r>
  <r>
    <x v="447"/>
    <d v="2020-03-25T00:00:00"/>
    <x v="1"/>
    <n v="882"/>
    <n v="-1819"/>
    <x v="1"/>
    <n v="-882"/>
    <x v="1"/>
  </r>
  <r>
    <x v="447"/>
    <d v="2020-03-29T00:00:00"/>
    <x v="2"/>
    <n v="247"/>
    <n v="-2066"/>
    <x v="1"/>
    <n v="-247"/>
    <x v="1"/>
  </r>
  <r>
    <x v="447"/>
    <d v="2020-03-29T00:00:00"/>
    <x v="0"/>
    <n v="24"/>
    <n v="-2042"/>
    <x v="1"/>
    <n v="24"/>
    <x v="1"/>
  </r>
  <r>
    <x v="447"/>
    <d v="2020-04-01T00:00:00"/>
    <x v="0"/>
    <n v="511"/>
    <n v="-1531"/>
    <x v="3"/>
    <n v="511"/>
    <x v="1"/>
  </r>
  <r>
    <x v="447"/>
    <d v="2020-04-03T00:00:00"/>
    <x v="0"/>
    <n v="339"/>
    <n v="-1192"/>
    <x v="3"/>
    <n v="339"/>
    <x v="1"/>
  </r>
  <r>
    <x v="447"/>
    <d v="2020-04-03T00:00:00"/>
    <x v="0"/>
    <n v="176"/>
    <n v="-1016"/>
    <x v="3"/>
    <n v="176"/>
    <x v="1"/>
  </r>
  <r>
    <x v="447"/>
    <d v="2020-04-05T00:00:00"/>
    <x v="2"/>
    <n v="667"/>
    <n v="-1683"/>
    <x v="3"/>
    <n v="-667"/>
    <x v="1"/>
  </r>
  <r>
    <x v="447"/>
    <d v="2020-04-21T00:00:00"/>
    <x v="1"/>
    <n v="795"/>
    <n v="-2478"/>
    <x v="3"/>
    <n v="-795"/>
    <x v="1"/>
  </r>
  <r>
    <x v="447"/>
    <d v="2020-04-21T00:00:00"/>
    <x v="0"/>
    <n v="817"/>
    <n v="-1661"/>
    <x v="3"/>
    <n v="817"/>
    <x v="1"/>
  </r>
  <r>
    <x v="447"/>
    <d v="2020-04-27T00:00:00"/>
    <x v="2"/>
    <n v="34"/>
    <n v="-1695"/>
    <x v="3"/>
    <n v="-34"/>
    <x v="1"/>
  </r>
  <r>
    <x v="447"/>
    <d v="2020-04-27T00:00:00"/>
    <x v="2"/>
    <n v="723"/>
    <n v="-2418"/>
    <x v="3"/>
    <n v="-723"/>
    <x v="1"/>
  </r>
  <r>
    <x v="448"/>
    <d v="2020-01-06T00:00:00"/>
    <x v="0"/>
    <n v="352"/>
    <n v="352"/>
    <x v="0"/>
    <n v="352"/>
    <x v="0"/>
  </r>
  <r>
    <x v="448"/>
    <d v="2020-01-07T00:00:00"/>
    <x v="2"/>
    <n v="476"/>
    <n v="-124"/>
    <x v="0"/>
    <n v="-476"/>
    <x v="1"/>
  </r>
  <r>
    <x v="448"/>
    <d v="2020-01-13T00:00:00"/>
    <x v="1"/>
    <n v="753"/>
    <n v="-877"/>
    <x v="0"/>
    <n v="-753"/>
    <x v="1"/>
  </r>
  <r>
    <x v="448"/>
    <d v="2020-01-16T00:00:00"/>
    <x v="1"/>
    <n v="393"/>
    <n v="-1270"/>
    <x v="0"/>
    <n v="-393"/>
    <x v="1"/>
  </r>
  <r>
    <x v="448"/>
    <d v="2020-01-20T00:00:00"/>
    <x v="1"/>
    <n v="324"/>
    <n v="-1594"/>
    <x v="0"/>
    <n v="-324"/>
    <x v="1"/>
  </r>
  <r>
    <x v="448"/>
    <d v="2020-01-23T00:00:00"/>
    <x v="2"/>
    <n v="831"/>
    <n v="-2425"/>
    <x v="0"/>
    <n v="-831"/>
    <x v="1"/>
  </r>
  <r>
    <x v="448"/>
    <d v="2020-01-30T00:00:00"/>
    <x v="2"/>
    <n v="539"/>
    <n v="-2964"/>
    <x v="0"/>
    <n v="-539"/>
    <x v="1"/>
  </r>
  <r>
    <x v="448"/>
    <d v="2020-01-31T00:00:00"/>
    <x v="2"/>
    <n v="136"/>
    <n v="-3100"/>
    <x v="0"/>
    <n v="-136"/>
    <x v="1"/>
  </r>
  <r>
    <x v="448"/>
    <d v="2020-02-05T00:00:00"/>
    <x v="1"/>
    <n v="493"/>
    <n v="-3593"/>
    <x v="2"/>
    <n v="-493"/>
    <x v="1"/>
  </r>
  <r>
    <x v="448"/>
    <d v="2020-02-13T00:00:00"/>
    <x v="1"/>
    <n v="289"/>
    <n v="-3882"/>
    <x v="2"/>
    <n v="-289"/>
    <x v="1"/>
  </r>
  <r>
    <x v="448"/>
    <d v="2020-02-13T00:00:00"/>
    <x v="2"/>
    <n v="792"/>
    <n v="-4674"/>
    <x v="2"/>
    <n v="-792"/>
    <x v="1"/>
  </r>
  <r>
    <x v="448"/>
    <d v="2020-02-17T00:00:00"/>
    <x v="0"/>
    <n v="746"/>
    <n v="-3928"/>
    <x v="2"/>
    <n v="746"/>
    <x v="1"/>
  </r>
  <r>
    <x v="448"/>
    <d v="2020-03-29T00:00:00"/>
    <x v="0"/>
    <n v="883"/>
    <n v="-3045"/>
    <x v="1"/>
    <n v="883"/>
    <x v="1"/>
  </r>
  <r>
    <x v="449"/>
    <d v="2020-01-11T00:00:00"/>
    <x v="0"/>
    <n v="890"/>
    <n v="890"/>
    <x v="0"/>
    <n v="890"/>
    <x v="0"/>
  </r>
  <r>
    <x v="449"/>
    <d v="2020-01-12T00:00:00"/>
    <x v="2"/>
    <n v="366"/>
    <n v="524"/>
    <x v="0"/>
    <n v="-366"/>
    <x v="0"/>
  </r>
  <r>
    <x v="449"/>
    <d v="2020-01-17T00:00:00"/>
    <x v="0"/>
    <n v="883"/>
    <n v="1407"/>
    <x v="0"/>
    <n v="883"/>
    <x v="0"/>
  </r>
  <r>
    <x v="449"/>
    <d v="2020-01-30T00:00:00"/>
    <x v="2"/>
    <n v="938"/>
    <n v="469"/>
    <x v="0"/>
    <n v="-938"/>
    <x v="0"/>
  </r>
  <r>
    <x v="449"/>
    <d v="2020-02-16T00:00:00"/>
    <x v="1"/>
    <n v="628"/>
    <n v="-159"/>
    <x v="2"/>
    <n v="-628"/>
    <x v="1"/>
  </r>
  <r>
    <x v="449"/>
    <d v="2020-03-03T00:00:00"/>
    <x v="2"/>
    <n v="578"/>
    <n v="-737"/>
    <x v="1"/>
    <n v="-578"/>
    <x v="1"/>
  </r>
  <r>
    <x v="449"/>
    <d v="2020-04-05T00:00:00"/>
    <x v="0"/>
    <n v="701"/>
    <n v="-36"/>
    <x v="3"/>
    <n v="701"/>
    <x v="1"/>
  </r>
  <r>
    <x v="450"/>
    <d v="2020-01-30T00:00:00"/>
    <x v="0"/>
    <n v="910"/>
    <n v="910"/>
    <x v="0"/>
    <n v="910"/>
    <x v="0"/>
  </r>
  <r>
    <x v="450"/>
    <d v="2020-02-06T00:00:00"/>
    <x v="1"/>
    <n v="853"/>
    <n v="57"/>
    <x v="2"/>
    <n v="-853"/>
    <x v="0"/>
  </r>
  <r>
    <x v="450"/>
    <d v="2020-02-19T00:00:00"/>
    <x v="2"/>
    <n v="563"/>
    <n v="-506"/>
    <x v="2"/>
    <n v="-563"/>
    <x v="1"/>
  </r>
  <r>
    <x v="450"/>
    <d v="2020-02-28T00:00:00"/>
    <x v="2"/>
    <n v="807"/>
    <n v="-1313"/>
    <x v="2"/>
    <n v="-807"/>
    <x v="1"/>
  </r>
  <r>
    <x v="450"/>
    <d v="2020-03-13T00:00:00"/>
    <x v="0"/>
    <n v="668"/>
    <n v="-645"/>
    <x v="1"/>
    <n v="668"/>
    <x v="1"/>
  </r>
  <r>
    <x v="450"/>
    <d v="2020-04-06T00:00:00"/>
    <x v="2"/>
    <n v="117"/>
    <n v="-762"/>
    <x v="3"/>
    <n v="-117"/>
    <x v="1"/>
  </r>
  <r>
    <x v="450"/>
    <d v="2020-04-09T00:00:00"/>
    <x v="2"/>
    <n v="595"/>
    <n v="-1357"/>
    <x v="3"/>
    <n v="-595"/>
    <x v="1"/>
  </r>
  <r>
    <x v="450"/>
    <d v="2020-04-19T00:00:00"/>
    <x v="0"/>
    <n v="601"/>
    <n v="-756"/>
    <x v="3"/>
    <n v="601"/>
    <x v="1"/>
  </r>
  <r>
    <x v="451"/>
    <d v="2020-01-01T00:00:00"/>
    <x v="0"/>
    <n v="441"/>
    <n v="441"/>
    <x v="0"/>
    <n v="441"/>
    <x v="0"/>
  </r>
  <r>
    <x v="451"/>
    <d v="2020-01-07T00:00:00"/>
    <x v="0"/>
    <n v="919"/>
    <n v="1360"/>
    <x v="0"/>
    <n v="919"/>
    <x v="0"/>
  </r>
  <r>
    <x v="451"/>
    <d v="2020-02-15T00:00:00"/>
    <x v="1"/>
    <n v="718"/>
    <n v="642"/>
    <x v="2"/>
    <n v="-718"/>
    <x v="0"/>
  </r>
  <r>
    <x v="451"/>
    <d v="2020-02-15T00:00:00"/>
    <x v="0"/>
    <n v="865"/>
    <n v="1507"/>
    <x v="2"/>
    <n v="865"/>
    <x v="0"/>
  </r>
  <r>
    <x v="451"/>
    <d v="2020-02-19T00:00:00"/>
    <x v="0"/>
    <n v="536"/>
    <n v="2043"/>
    <x v="2"/>
    <n v="536"/>
    <x v="0"/>
  </r>
  <r>
    <x v="451"/>
    <d v="2020-02-26T00:00:00"/>
    <x v="0"/>
    <n v="154"/>
    <n v="2197"/>
    <x v="2"/>
    <n v="154"/>
    <x v="0"/>
  </r>
  <r>
    <x v="451"/>
    <d v="2020-02-27T00:00:00"/>
    <x v="2"/>
    <n v="543"/>
    <n v="1654"/>
    <x v="2"/>
    <n v="-543"/>
    <x v="0"/>
  </r>
  <r>
    <x v="451"/>
    <d v="2020-03-09T00:00:00"/>
    <x v="0"/>
    <n v="416"/>
    <n v="2070"/>
    <x v="1"/>
    <n v="416"/>
    <x v="0"/>
  </r>
  <r>
    <x v="451"/>
    <d v="2020-03-27T00:00:00"/>
    <x v="1"/>
    <n v="457"/>
    <n v="1613"/>
    <x v="1"/>
    <n v="-457"/>
    <x v="0"/>
  </r>
  <r>
    <x v="452"/>
    <d v="2020-01-25T00:00:00"/>
    <x v="0"/>
    <n v="638"/>
    <n v="638"/>
    <x v="0"/>
    <n v="638"/>
    <x v="0"/>
  </r>
  <r>
    <x v="452"/>
    <d v="2020-02-04T00:00:00"/>
    <x v="0"/>
    <n v="171"/>
    <n v="809"/>
    <x v="2"/>
    <n v="171"/>
    <x v="0"/>
  </r>
  <r>
    <x v="452"/>
    <d v="2020-02-16T00:00:00"/>
    <x v="1"/>
    <n v="765"/>
    <n v="44"/>
    <x v="2"/>
    <n v="-765"/>
    <x v="0"/>
  </r>
  <r>
    <x v="452"/>
    <d v="2020-02-22T00:00:00"/>
    <x v="0"/>
    <n v="386"/>
    <n v="430"/>
    <x v="2"/>
    <n v="386"/>
    <x v="0"/>
  </r>
  <r>
    <x v="452"/>
    <d v="2020-02-27T00:00:00"/>
    <x v="0"/>
    <n v="381"/>
    <n v="811"/>
    <x v="2"/>
    <n v="381"/>
    <x v="0"/>
  </r>
  <r>
    <x v="452"/>
    <d v="2020-03-01T00:00:00"/>
    <x v="2"/>
    <n v="5"/>
    <n v="806"/>
    <x v="1"/>
    <n v="-5"/>
    <x v="0"/>
  </r>
  <r>
    <x v="452"/>
    <d v="2020-03-14T00:00:00"/>
    <x v="1"/>
    <n v="652"/>
    <n v="154"/>
    <x v="1"/>
    <n v="-652"/>
    <x v="0"/>
  </r>
  <r>
    <x v="452"/>
    <d v="2020-03-20T00:00:00"/>
    <x v="2"/>
    <n v="134"/>
    <n v="20"/>
    <x v="1"/>
    <n v="-134"/>
    <x v="0"/>
  </r>
  <r>
    <x v="452"/>
    <d v="2020-03-26T00:00:00"/>
    <x v="2"/>
    <n v="615"/>
    <n v="-595"/>
    <x v="1"/>
    <n v="-615"/>
    <x v="1"/>
  </r>
  <r>
    <x v="452"/>
    <d v="2020-04-13T00:00:00"/>
    <x v="1"/>
    <n v="127"/>
    <n v="-722"/>
    <x v="3"/>
    <n v="-127"/>
    <x v="1"/>
  </r>
  <r>
    <x v="452"/>
    <d v="2020-04-21T00:00:00"/>
    <x v="0"/>
    <n v="839"/>
    <n v="117"/>
    <x v="3"/>
    <n v="839"/>
    <x v="0"/>
  </r>
  <r>
    <x v="453"/>
    <d v="2020-01-08T00:00:00"/>
    <x v="0"/>
    <n v="603"/>
    <n v="603"/>
    <x v="0"/>
    <n v="603"/>
    <x v="0"/>
  </r>
  <r>
    <x v="453"/>
    <d v="2020-01-16T00:00:00"/>
    <x v="0"/>
    <n v="409"/>
    <n v="1012"/>
    <x v="0"/>
    <n v="409"/>
    <x v="0"/>
  </r>
  <r>
    <x v="453"/>
    <d v="2020-01-28T00:00:00"/>
    <x v="1"/>
    <n v="120"/>
    <n v="892"/>
    <x v="0"/>
    <n v="-120"/>
    <x v="0"/>
  </r>
  <r>
    <x v="453"/>
    <d v="2020-01-29T00:00:00"/>
    <x v="1"/>
    <n v="881"/>
    <n v="11"/>
    <x v="0"/>
    <n v="-881"/>
    <x v="0"/>
  </r>
  <r>
    <x v="453"/>
    <d v="2020-02-01T00:00:00"/>
    <x v="0"/>
    <n v="678"/>
    <n v="689"/>
    <x v="2"/>
    <n v="678"/>
    <x v="0"/>
  </r>
  <r>
    <x v="453"/>
    <d v="2020-02-01T00:00:00"/>
    <x v="0"/>
    <n v="622"/>
    <n v="1311"/>
    <x v="2"/>
    <n v="622"/>
    <x v="0"/>
  </r>
  <r>
    <x v="453"/>
    <d v="2020-02-26T00:00:00"/>
    <x v="0"/>
    <n v="852"/>
    <n v="2163"/>
    <x v="2"/>
    <n v="852"/>
    <x v="0"/>
  </r>
  <r>
    <x v="453"/>
    <d v="2020-03-01T00:00:00"/>
    <x v="2"/>
    <n v="471"/>
    <n v="1692"/>
    <x v="1"/>
    <n v="-471"/>
    <x v="0"/>
  </r>
  <r>
    <x v="453"/>
    <d v="2020-03-01T00:00:00"/>
    <x v="1"/>
    <n v="309"/>
    <n v="1383"/>
    <x v="1"/>
    <n v="-309"/>
    <x v="0"/>
  </r>
  <r>
    <x v="453"/>
    <d v="2020-03-04T00:00:00"/>
    <x v="0"/>
    <n v="411"/>
    <n v="1794"/>
    <x v="1"/>
    <n v="411"/>
    <x v="0"/>
  </r>
  <r>
    <x v="453"/>
    <d v="2020-03-10T00:00:00"/>
    <x v="0"/>
    <n v="342"/>
    <n v="2136"/>
    <x v="1"/>
    <n v="342"/>
    <x v="0"/>
  </r>
  <r>
    <x v="453"/>
    <d v="2020-03-27T00:00:00"/>
    <x v="0"/>
    <n v="48"/>
    <n v="2184"/>
    <x v="1"/>
    <n v="48"/>
    <x v="0"/>
  </r>
  <r>
    <x v="453"/>
    <d v="2020-03-31T00:00:00"/>
    <x v="0"/>
    <n v="800"/>
    <n v="2984"/>
    <x v="1"/>
    <n v="800"/>
    <x v="0"/>
  </r>
  <r>
    <x v="453"/>
    <d v="2020-03-31T00:00:00"/>
    <x v="1"/>
    <n v="883"/>
    <n v="2101"/>
    <x v="1"/>
    <n v="-883"/>
    <x v="0"/>
  </r>
  <r>
    <x v="454"/>
    <d v="2020-01-07T00:00:00"/>
    <x v="0"/>
    <n v="329"/>
    <n v="329"/>
    <x v="0"/>
    <n v="329"/>
    <x v="0"/>
  </r>
  <r>
    <x v="454"/>
    <d v="2020-03-09T00:00:00"/>
    <x v="2"/>
    <n v="887"/>
    <n v="-558"/>
    <x v="1"/>
    <n v="-887"/>
    <x v="1"/>
  </r>
  <r>
    <x v="454"/>
    <d v="2020-03-25T00:00:00"/>
    <x v="0"/>
    <n v="327"/>
    <n v="-231"/>
    <x v="1"/>
    <n v="327"/>
    <x v="1"/>
  </r>
  <r>
    <x v="455"/>
    <d v="2020-01-07T00:00:00"/>
    <x v="0"/>
    <n v="753"/>
    <n v="753"/>
    <x v="0"/>
    <n v="753"/>
    <x v="0"/>
  </r>
  <r>
    <x v="455"/>
    <d v="2020-01-09T00:00:00"/>
    <x v="0"/>
    <n v="561"/>
    <n v="1314"/>
    <x v="0"/>
    <n v="561"/>
    <x v="0"/>
  </r>
  <r>
    <x v="455"/>
    <d v="2020-02-01T00:00:00"/>
    <x v="2"/>
    <n v="480"/>
    <n v="834"/>
    <x v="2"/>
    <n v="-480"/>
    <x v="0"/>
  </r>
  <r>
    <x v="455"/>
    <d v="2020-02-09T00:00:00"/>
    <x v="0"/>
    <n v="351"/>
    <n v="1185"/>
    <x v="2"/>
    <n v="351"/>
    <x v="0"/>
  </r>
  <r>
    <x v="455"/>
    <d v="2020-02-14T00:00:00"/>
    <x v="0"/>
    <n v="910"/>
    <n v="2095"/>
    <x v="2"/>
    <n v="910"/>
    <x v="0"/>
  </r>
  <r>
    <x v="455"/>
    <d v="2020-02-17T00:00:00"/>
    <x v="2"/>
    <n v="537"/>
    <n v="1558"/>
    <x v="2"/>
    <n v="-537"/>
    <x v="0"/>
  </r>
  <r>
    <x v="455"/>
    <d v="2020-02-20T00:00:00"/>
    <x v="0"/>
    <n v="622"/>
    <n v="2180"/>
    <x v="2"/>
    <n v="622"/>
    <x v="0"/>
  </r>
  <r>
    <x v="455"/>
    <d v="2020-02-21T00:00:00"/>
    <x v="2"/>
    <n v="892"/>
    <n v="1288"/>
    <x v="2"/>
    <n v="-892"/>
    <x v="0"/>
  </r>
  <r>
    <x v="455"/>
    <d v="2020-02-24T00:00:00"/>
    <x v="0"/>
    <n v="460"/>
    <n v="1748"/>
    <x v="2"/>
    <n v="460"/>
    <x v="0"/>
  </r>
  <r>
    <x v="455"/>
    <d v="2020-02-25T00:00:00"/>
    <x v="2"/>
    <n v="521"/>
    <n v="1227"/>
    <x v="2"/>
    <n v="-521"/>
    <x v="0"/>
  </r>
  <r>
    <x v="455"/>
    <d v="2020-02-26T00:00:00"/>
    <x v="1"/>
    <n v="483"/>
    <n v="744"/>
    <x v="2"/>
    <n v="-483"/>
    <x v="0"/>
  </r>
  <r>
    <x v="455"/>
    <d v="2020-03-05T00:00:00"/>
    <x v="0"/>
    <n v="665"/>
    <n v="1409"/>
    <x v="1"/>
    <n v="665"/>
    <x v="0"/>
  </r>
  <r>
    <x v="455"/>
    <d v="2020-03-13T00:00:00"/>
    <x v="1"/>
    <n v="952"/>
    <n v="457"/>
    <x v="1"/>
    <n v="-952"/>
    <x v="0"/>
  </r>
  <r>
    <x v="455"/>
    <d v="2020-03-20T00:00:00"/>
    <x v="1"/>
    <n v="743"/>
    <n v="-286"/>
    <x v="1"/>
    <n v="-743"/>
    <x v="1"/>
  </r>
  <r>
    <x v="455"/>
    <d v="2020-03-20T00:00:00"/>
    <x v="0"/>
    <n v="403"/>
    <n v="117"/>
    <x v="1"/>
    <n v="403"/>
    <x v="0"/>
  </r>
  <r>
    <x v="455"/>
    <d v="2020-03-21T00:00:00"/>
    <x v="0"/>
    <n v="278"/>
    <n v="395"/>
    <x v="1"/>
    <n v="278"/>
    <x v="0"/>
  </r>
  <r>
    <x v="455"/>
    <d v="2020-03-28T00:00:00"/>
    <x v="2"/>
    <n v="450"/>
    <n v="-55"/>
    <x v="1"/>
    <n v="-450"/>
    <x v="1"/>
  </r>
  <r>
    <x v="455"/>
    <d v="2020-04-03T00:00:00"/>
    <x v="0"/>
    <n v="270"/>
    <n v="215"/>
    <x v="3"/>
    <n v="270"/>
    <x v="0"/>
  </r>
  <r>
    <x v="455"/>
    <d v="2020-04-03T00:00:00"/>
    <x v="2"/>
    <n v="203"/>
    <n v="12"/>
    <x v="3"/>
    <n v="-203"/>
    <x v="0"/>
  </r>
  <r>
    <x v="456"/>
    <d v="2020-01-23T00:00:00"/>
    <x v="0"/>
    <n v="657"/>
    <n v="657"/>
    <x v="0"/>
    <n v="657"/>
    <x v="0"/>
  </r>
  <r>
    <x v="456"/>
    <d v="2020-01-24T00:00:00"/>
    <x v="2"/>
    <n v="462"/>
    <n v="195"/>
    <x v="0"/>
    <n v="-462"/>
    <x v="0"/>
  </r>
  <r>
    <x v="456"/>
    <d v="2020-02-12T00:00:00"/>
    <x v="0"/>
    <n v="300"/>
    <n v="495"/>
    <x v="2"/>
    <n v="300"/>
    <x v="0"/>
  </r>
  <r>
    <x v="456"/>
    <d v="2020-02-26T00:00:00"/>
    <x v="2"/>
    <n v="729"/>
    <n v="-234"/>
    <x v="2"/>
    <n v="-729"/>
    <x v="1"/>
  </r>
  <r>
    <x v="456"/>
    <d v="2020-03-13T00:00:00"/>
    <x v="0"/>
    <n v="341"/>
    <n v="107"/>
    <x v="1"/>
    <n v="341"/>
    <x v="0"/>
  </r>
  <r>
    <x v="456"/>
    <d v="2020-03-18T00:00:00"/>
    <x v="0"/>
    <n v="248"/>
    <n v="355"/>
    <x v="1"/>
    <n v="248"/>
    <x v="0"/>
  </r>
  <r>
    <x v="456"/>
    <d v="2020-03-20T00:00:00"/>
    <x v="1"/>
    <n v="962"/>
    <n v="-607"/>
    <x v="1"/>
    <n v="-962"/>
    <x v="1"/>
  </r>
  <r>
    <x v="456"/>
    <d v="2020-03-30T00:00:00"/>
    <x v="1"/>
    <n v="107"/>
    <n v="-714"/>
    <x v="1"/>
    <n v="-107"/>
    <x v="1"/>
  </r>
  <r>
    <x v="456"/>
    <d v="2020-04-13T00:00:00"/>
    <x v="0"/>
    <n v="467"/>
    <n v="-247"/>
    <x v="3"/>
    <n v="467"/>
    <x v="1"/>
  </r>
  <r>
    <x v="456"/>
    <d v="2020-04-19T00:00:00"/>
    <x v="1"/>
    <n v="471"/>
    <n v="-718"/>
    <x v="3"/>
    <n v="-471"/>
    <x v="1"/>
  </r>
  <r>
    <x v="457"/>
    <d v="2020-01-04T00:00:00"/>
    <x v="0"/>
    <n v="715"/>
    <n v="715"/>
    <x v="0"/>
    <n v="715"/>
    <x v="0"/>
  </r>
  <r>
    <x v="457"/>
    <d v="2020-02-14T00:00:00"/>
    <x v="2"/>
    <n v="905"/>
    <n v="-190"/>
    <x v="2"/>
    <n v="-905"/>
    <x v="1"/>
  </r>
  <r>
    <x v="457"/>
    <d v="2020-02-17T00:00:00"/>
    <x v="2"/>
    <n v="463"/>
    <n v="-653"/>
    <x v="2"/>
    <n v="-463"/>
    <x v="1"/>
  </r>
  <r>
    <x v="458"/>
    <d v="2020-01-13T00:00:00"/>
    <x v="0"/>
    <n v="857"/>
    <n v="857"/>
    <x v="0"/>
    <n v="857"/>
    <x v="0"/>
  </r>
  <r>
    <x v="458"/>
    <d v="2020-01-16T00:00:00"/>
    <x v="1"/>
    <n v="611"/>
    <n v="246"/>
    <x v="0"/>
    <n v="-611"/>
    <x v="0"/>
  </r>
  <r>
    <x v="458"/>
    <d v="2020-02-02T00:00:00"/>
    <x v="0"/>
    <n v="168"/>
    <n v="414"/>
    <x v="2"/>
    <n v="168"/>
    <x v="0"/>
  </r>
  <r>
    <x v="458"/>
    <d v="2020-02-13T00:00:00"/>
    <x v="2"/>
    <n v="971"/>
    <n v="-557"/>
    <x v="2"/>
    <n v="-971"/>
    <x v="1"/>
  </r>
  <r>
    <x v="458"/>
    <d v="2020-02-16T00:00:00"/>
    <x v="1"/>
    <n v="456"/>
    <n v="-1013"/>
    <x v="2"/>
    <n v="-456"/>
    <x v="1"/>
  </r>
  <r>
    <x v="458"/>
    <d v="2020-02-17T00:00:00"/>
    <x v="1"/>
    <n v="585"/>
    <n v="-1598"/>
    <x v="2"/>
    <n v="-585"/>
    <x v="1"/>
  </r>
  <r>
    <x v="458"/>
    <d v="2020-02-19T00:00:00"/>
    <x v="0"/>
    <n v="247"/>
    <n v="-1351"/>
    <x v="2"/>
    <n v="247"/>
    <x v="1"/>
  </r>
  <r>
    <x v="458"/>
    <d v="2020-02-23T00:00:00"/>
    <x v="1"/>
    <n v="138"/>
    <n v="-1489"/>
    <x v="2"/>
    <n v="-138"/>
    <x v="1"/>
  </r>
  <r>
    <x v="458"/>
    <d v="2020-02-24T00:00:00"/>
    <x v="1"/>
    <n v="543"/>
    <n v="-2032"/>
    <x v="2"/>
    <n v="-543"/>
    <x v="1"/>
  </r>
  <r>
    <x v="458"/>
    <d v="2020-02-25T00:00:00"/>
    <x v="2"/>
    <n v="880"/>
    <n v="-2912"/>
    <x v="2"/>
    <n v="-880"/>
    <x v="1"/>
  </r>
  <r>
    <x v="458"/>
    <d v="2020-03-01T00:00:00"/>
    <x v="0"/>
    <n v="457"/>
    <n v="-2455"/>
    <x v="1"/>
    <n v="457"/>
    <x v="1"/>
  </r>
  <r>
    <x v="458"/>
    <d v="2020-03-14T00:00:00"/>
    <x v="0"/>
    <n v="15"/>
    <n v="-2440"/>
    <x v="1"/>
    <n v="15"/>
    <x v="1"/>
  </r>
  <r>
    <x v="458"/>
    <d v="2020-03-19T00:00:00"/>
    <x v="1"/>
    <n v="394"/>
    <n v="-2834"/>
    <x v="1"/>
    <n v="-394"/>
    <x v="1"/>
  </r>
  <r>
    <x v="459"/>
    <d v="2020-01-29T00:00:00"/>
    <x v="0"/>
    <n v="80"/>
    <n v="80"/>
    <x v="0"/>
    <n v="80"/>
    <x v="0"/>
  </r>
  <r>
    <x v="459"/>
    <d v="2020-02-14T00:00:00"/>
    <x v="0"/>
    <n v="552"/>
    <n v="632"/>
    <x v="2"/>
    <n v="552"/>
    <x v="0"/>
  </r>
  <r>
    <x v="459"/>
    <d v="2020-02-21T00:00:00"/>
    <x v="2"/>
    <n v="966"/>
    <n v="-334"/>
    <x v="2"/>
    <n v="-966"/>
    <x v="1"/>
  </r>
  <r>
    <x v="459"/>
    <d v="2020-02-21T00:00:00"/>
    <x v="0"/>
    <n v="126"/>
    <n v="-208"/>
    <x v="2"/>
    <n v="126"/>
    <x v="1"/>
  </r>
  <r>
    <x v="459"/>
    <d v="2020-02-25T00:00:00"/>
    <x v="2"/>
    <n v="483"/>
    <n v="-691"/>
    <x v="2"/>
    <n v="-483"/>
    <x v="1"/>
  </r>
  <r>
    <x v="459"/>
    <d v="2020-02-26T00:00:00"/>
    <x v="1"/>
    <n v="467"/>
    <n v="-1158"/>
    <x v="2"/>
    <n v="-467"/>
    <x v="1"/>
  </r>
  <r>
    <x v="459"/>
    <d v="2020-03-27T00:00:00"/>
    <x v="1"/>
    <n v="994"/>
    <n v="-2152"/>
    <x v="1"/>
    <n v="-994"/>
    <x v="1"/>
  </r>
  <r>
    <x v="459"/>
    <d v="2020-03-28T00:00:00"/>
    <x v="0"/>
    <n v="977"/>
    <n v="-1175"/>
    <x v="1"/>
    <n v="977"/>
    <x v="1"/>
  </r>
  <r>
    <x v="459"/>
    <d v="2020-04-02T00:00:00"/>
    <x v="0"/>
    <n v="848"/>
    <n v="-327"/>
    <x v="3"/>
    <n v="848"/>
    <x v="1"/>
  </r>
  <r>
    <x v="460"/>
    <d v="2020-01-01T00:00:00"/>
    <x v="0"/>
    <n v="840"/>
    <n v="840"/>
    <x v="0"/>
    <n v="840"/>
    <x v="0"/>
  </r>
  <r>
    <x v="460"/>
    <d v="2020-01-01T00:00:00"/>
    <x v="0"/>
    <n v="788"/>
    <n v="1628"/>
    <x v="0"/>
    <n v="788"/>
    <x v="0"/>
  </r>
  <r>
    <x v="460"/>
    <d v="2020-01-10T00:00:00"/>
    <x v="0"/>
    <n v="752"/>
    <n v="2380"/>
    <x v="0"/>
    <n v="752"/>
    <x v="0"/>
  </r>
  <r>
    <x v="460"/>
    <d v="2020-01-18T00:00:00"/>
    <x v="0"/>
    <n v="386"/>
    <n v="2766"/>
    <x v="0"/>
    <n v="386"/>
    <x v="0"/>
  </r>
  <r>
    <x v="460"/>
    <d v="2020-01-18T00:00:00"/>
    <x v="2"/>
    <n v="158"/>
    <n v="2608"/>
    <x v="0"/>
    <n v="-158"/>
    <x v="0"/>
  </r>
  <r>
    <x v="460"/>
    <d v="2020-01-19T00:00:00"/>
    <x v="0"/>
    <n v="400"/>
    <n v="3008"/>
    <x v="0"/>
    <n v="400"/>
    <x v="0"/>
  </r>
  <r>
    <x v="460"/>
    <d v="2020-01-21T00:00:00"/>
    <x v="1"/>
    <n v="736"/>
    <n v="2272"/>
    <x v="0"/>
    <n v="-736"/>
    <x v="0"/>
  </r>
  <r>
    <x v="460"/>
    <d v="2020-01-21T00:00:00"/>
    <x v="2"/>
    <n v="5"/>
    <n v="2267"/>
    <x v="0"/>
    <n v="-5"/>
    <x v="0"/>
  </r>
  <r>
    <x v="460"/>
    <d v="2020-02-05T00:00:00"/>
    <x v="0"/>
    <n v="901"/>
    <n v="3168"/>
    <x v="2"/>
    <n v="901"/>
    <x v="0"/>
  </r>
  <r>
    <x v="460"/>
    <d v="2020-02-06T00:00:00"/>
    <x v="2"/>
    <n v="508"/>
    <n v="2660"/>
    <x v="2"/>
    <n v="-508"/>
    <x v="0"/>
  </r>
  <r>
    <x v="460"/>
    <d v="2020-02-09T00:00:00"/>
    <x v="0"/>
    <n v="771"/>
    <n v="3431"/>
    <x v="2"/>
    <n v="771"/>
    <x v="0"/>
  </r>
  <r>
    <x v="460"/>
    <d v="2020-03-04T00:00:00"/>
    <x v="1"/>
    <n v="219"/>
    <n v="3212"/>
    <x v="1"/>
    <n v="-219"/>
    <x v="0"/>
  </r>
  <r>
    <x v="461"/>
    <d v="2020-01-26T00:00:00"/>
    <x v="2"/>
    <n v="106"/>
    <n v="-106"/>
    <x v="0"/>
    <n v="-106"/>
    <x v="1"/>
  </r>
  <r>
    <x v="461"/>
    <d v="2020-01-26T00:00:00"/>
    <x v="0"/>
    <n v="614"/>
    <n v="508"/>
    <x v="0"/>
    <n v="614"/>
    <x v="0"/>
  </r>
  <r>
    <x v="461"/>
    <d v="2020-01-27T00:00:00"/>
    <x v="2"/>
    <n v="106"/>
    <n v="402"/>
    <x v="0"/>
    <n v="-106"/>
    <x v="0"/>
  </r>
  <r>
    <x v="461"/>
    <d v="2020-01-30T00:00:00"/>
    <x v="0"/>
    <n v="505"/>
    <n v="907"/>
    <x v="0"/>
    <n v="505"/>
    <x v="0"/>
  </r>
  <r>
    <x v="461"/>
    <d v="2020-02-05T00:00:00"/>
    <x v="0"/>
    <n v="641"/>
    <n v="1548"/>
    <x v="2"/>
    <n v="641"/>
    <x v="0"/>
  </r>
  <r>
    <x v="461"/>
    <d v="2020-02-06T00:00:00"/>
    <x v="2"/>
    <n v="77"/>
    <n v="1471"/>
    <x v="2"/>
    <n v="-77"/>
    <x v="0"/>
  </r>
  <r>
    <x v="461"/>
    <d v="2020-02-07T00:00:00"/>
    <x v="1"/>
    <n v="912"/>
    <n v="559"/>
    <x v="2"/>
    <n v="-912"/>
    <x v="0"/>
  </r>
  <r>
    <x v="461"/>
    <d v="2020-02-08T00:00:00"/>
    <x v="0"/>
    <n v="249"/>
    <n v="808"/>
    <x v="2"/>
    <n v="249"/>
    <x v="0"/>
  </r>
  <r>
    <x v="461"/>
    <d v="2020-02-14T00:00:00"/>
    <x v="2"/>
    <n v="239"/>
    <n v="569"/>
    <x v="2"/>
    <n v="-239"/>
    <x v="0"/>
  </r>
  <r>
    <x v="461"/>
    <d v="2020-02-15T00:00:00"/>
    <x v="2"/>
    <n v="579"/>
    <n v="-10"/>
    <x v="2"/>
    <n v="-579"/>
    <x v="1"/>
  </r>
  <r>
    <x v="461"/>
    <d v="2020-03-02T00:00:00"/>
    <x v="1"/>
    <n v="386"/>
    <n v="-396"/>
    <x v="1"/>
    <n v="-386"/>
    <x v="1"/>
  </r>
  <r>
    <x v="461"/>
    <d v="2020-03-02T00:00:00"/>
    <x v="2"/>
    <n v="359"/>
    <n v="-755"/>
    <x v="1"/>
    <n v="-359"/>
    <x v="1"/>
  </r>
  <r>
    <x v="461"/>
    <d v="2020-03-03T00:00:00"/>
    <x v="0"/>
    <n v="144"/>
    <n v="-611"/>
    <x v="1"/>
    <n v="144"/>
    <x v="1"/>
  </r>
  <r>
    <x v="461"/>
    <d v="2020-03-03T00:00:00"/>
    <x v="2"/>
    <n v="713"/>
    <n v="-1324"/>
    <x v="1"/>
    <n v="-713"/>
    <x v="1"/>
  </r>
  <r>
    <x v="461"/>
    <d v="2020-03-19T00:00:00"/>
    <x v="0"/>
    <n v="610"/>
    <n v="-714"/>
    <x v="1"/>
    <n v="610"/>
    <x v="1"/>
  </r>
  <r>
    <x v="461"/>
    <d v="2020-03-27T00:00:00"/>
    <x v="2"/>
    <n v="117"/>
    <n v="-831"/>
    <x v="1"/>
    <n v="-117"/>
    <x v="1"/>
  </r>
  <r>
    <x v="461"/>
    <d v="2020-04-01T00:00:00"/>
    <x v="1"/>
    <n v="200"/>
    <n v="-1031"/>
    <x v="3"/>
    <n v="-200"/>
    <x v="1"/>
  </r>
  <r>
    <x v="461"/>
    <d v="2020-04-10T00:00:00"/>
    <x v="2"/>
    <n v="510"/>
    <n v="-1541"/>
    <x v="3"/>
    <n v="-510"/>
    <x v="1"/>
  </r>
  <r>
    <x v="461"/>
    <d v="2020-04-13T00:00:00"/>
    <x v="2"/>
    <n v="994"/>
    <n v="-2535"/>
    <x v="3"/>
    <n v="-994"/>
    <x v="1"/>
  </r>
  <r>
    <x v="461"/>
    <d v="2020-04-18T00:00:00"/>
    <x v="0"/>
    <n v="801"/>
    <n v="-1734"/>
    <x v="3"/>
    <n v="801"/>
    <x v="1"/>
  </r>
  <r>
    <x v="461"/>
    <d v="2020-04-18T00:00:00"/>
    <x v="0"/>
    <n v="339"/>
    <n v="-1395"/>
    <x v="3"/>
    <n v="339"/>
    <x v="1"/>
  </r>
  <r>
    <x v="462"/>
    <d v="2020-01-21T00:00:00"/>
    <x v="0"/>
    <n v="881"/>
    <n v="881"/>
    <x v="0"/>
    <n v="881"/>
    <x v="0"/>
  </r>
  <r>
    <x v="462"/>
    <d v="2020-01-27T00:00:00"/>
    <x v="0"/>
    <n v="285"/>
    <n v="1166"/>
    <x v="0"/>
    <n v="285"/>
    <x v="0"/>
  </r>
  <r>
    <x v="462"/>
    <d v="2020-02-02T00:00:00"/>
    <x v="1"/>
    <n v="760"/>
    <n v="406"/>
    <x v="2"/>
    <n v="-760"/>
    <x v="0"/>
  </r>
  <r>
    <x v="462"/>
    <d v="2020-02-13T00:00:00"/>
    <x v="0"/>
    <n v="81"/>
    <n v="487"/>
    <x v="2"/>
    <n v="81"/>
    <x v="0"/>
  </r>
  <r>
    <x v="462"/>
    <d v="2020-02-16T00:00:00"/>
    <x v="2"/>
    <n v="835"/>
    <n v="-348"/>
    <x v="2"/>
    <n v="-835"/>
    <x v="1"/>
  </r>
  <r>
    <x v="462"/>
    <d v="2020-02-25T00:00:00"/>
    <x v="0"/>
    <n v="660"/>
    <n v="312"/>
    <x v="2"/>
    <n v="660"/>
    <x v="0"/>
  </r>
  <r>
    <x v="462"/>
    <d v="2020-03-07T00:00:00"/>
    <x v="0"/>
    <n v="822"/>
    <n v="1134"/>
    <x v="1"/>
    <n v="822"/>
    <x v="0"/>
  </r>
  <r>
    <x v="462"/>
    <d v="2020-03-08T00:00:00"/>
    <x v="2"/>
    <n v="542"/>
    <n v="592"/>
    <x v="1"/>
    <n v="-542"/>
    <x v="0"/>
  </r>
  <r>
    <x v="462"/>
    <d v="2020-03-08T00:00:00"/>
    <x v="2"/>
    <n v="731"/>
    <n v="-139"/>
    <x v="1"/>
    <n v="-731"/>
    <x v="1"/>
  </r>
  <r>
    <x v="462"/>
    <d v="2020-03-10T00:00:00"/>
    <x v="0"/>
    <n v="444"/>
    <n v="305"/>
    <x v="1"/>
    <n v="444"/>
    <x v="0"/>
  </r>
  <r>
    <x v="462"/>
    <d v="2020-03-17T00:00:00"/>
    <x v="0"/>
    <n v="102"/>
    <n v="407"/>
    <x v="1"/>
    <n v="102"/>
    <x v="0"/>
  </r>
  <r>
    <x v="462"/>
    <d v="2020-03-30T00:00:00"/>
    <x v="0"/>
    <n v="266"/>
    <n v="673"/>
    <x v="1"/>
    <n v="266"/>
    <x v="0"/>
  </r>
  <r>
    <x v="462"/>
    <d v="2020-04-16T00:00:00"/>
    <x v="1"/>
    <n v="393"/>
    <n v="280"/>
    <x v="3"/>
    <n v="-393"/>
    <x v="0"/>
  </r>
  <r>
    <x v="463"/>
    <d v="2020-01-17T00:00:00"/>
    <x v="0"/>
    <n v="953"/>
    <n v="953"/>
    <x v="0"/>
    <n v="953"/>
    <x v="0"/>
  </r>
  <r>
    <x v="463"/>
    <d v="2020-03-24T00:00:00"/>
    <x v="1"/>
    <n v="609"/>
    <n v="344"/>
    <x v="1"/>
    <n v="-609"/>
    <x v="0"/>
  </r>
  <r>
    <x v="463"/>
    <d v="2020-03-27T00:00:00"/>
    <x v="2"/>
    <n v="855"/>
    <n v="-511"/>
    <x v="1"/>
    <n v="-855"/>
    <x v="1"/>
  </r>
  <r>
    <x v="463"/>
    <d v="2020-04-11T00:00:00"/>
    <x v="1"/>
    <n v="983"/>
    <n v="-1494"/>
    <x v="3"/>
    <n v="-983"/>
    <x v="1"/>
  </r>
  <r>
    <x v="464"/>
    <d v="2020-01-28T00:00:00"/>
    <x v="0"/>
    <n v="955"/>
    <n v="955"/>
    <x v="0"/>
    <n v="955"/>
    <x v="0"/>
  </r>
  <r>
    <x v="464"/>
    <d v="2020-02-01T00:00:00"/>
    <x v="2"/>
    <n v="766"/>
    <n v="189"/>
    <x v="2"/>
    <n v="-766"/>
    <x v="0"/>
  </r>
  <r>
    <x v="464"/>
    <d v="2020-02-11T00:00:00"/>
    <x v="0"/>
    <n v="775"/>
    <n v="964"/>
    <x v="2"/>
    <n v="775"/>
    <x v="0"/>
  </r>
  <r>
    <x v="464"/>
    <d v="2020-02-18T00:00:00"/>
    <x v="2"/>
    <n v="34"/>
    <n v="930"/>
    <x v="2"/>
    <n v="-34"/>
    <x v="0"/>
  </r>
  <r>
    <x v="464"/>
    <d v="2020-02-22T00:00:00"/>
    <x v="0"/>
    <n v="238"/>
    <n v="1168"/>
    <x v="2"/>
    <n v="238"/>
    <x v="0"/>
  </r>
  <r>
    <x v="464"/>
    <d v="2020-02-26T00:00:00"/>
    <x v="0"/>
    <n v="821"/>
    <n v="1989"/>
    <x v="2"/>
    <n v="821"/>
    <x v="0"/>
  </r>
  <r>
    <x v="464"/>
    <d v="2020-03-25T00:00:00"/>
    <x v="1"/>
    <n v="483"/>
    <n v="1506"/>
    <x v="1"/>
    <n v="-483"/>
    <x v="0"/>
  </r>
  <r>
    <x v="464"/>
    <d v="2020-04-06T00:00:00"/>
    <x v="1"/>
    <n v="156"/>
    <n v="1350"/>
    <x v="3"/>
    <n v="-156"/>
    <x v="0"/>
  </r>
  <r>
    <x v="465"/>
    <d v="2020-01-17T00:00:00"/>
    <x v="0"/>
    <n v="80"/>
    <n v="80"/>
    <x v="0"/>
    <n v="80"/>
    <x v="0"/>
  </r>
  <r>
    <x v="465"/>
    <d v="2020-02-11T00:00:00"/>
    <x v="0"/>
    <n v="143"/>
    <n v="223"/>
    <x v="2"/>
    <n v="143"/>
    <x v="0"/>
  </r>
  <r>
    <x v="465"/>
    <d v="2020-02-15T00:00:00"/>
    <x v="1"/>
    <n v="991"/>
    <n v="-768"/>
    <x v="2"/>
    <n v="-991"/>
    <x v="1"/>
  </r>
  <r>
    <x v="465"/>
    <d v="2020-02-17T00:00:00"/>
    <x v="2"/>
    <n v="288"/>
    <n v="-1056"/>
    <x v="2"/>
    <n v="-288"/>
    <x v="1"/>
  </r>
  <r>
    <x v="465"/>
    <d v="2020-02-27T00:00:00"/>
    <x v="2"/>
    <n v="923"/>
    <n v="-1979"/>
    <x v="2"/>
    <n v="-923"/>
    <x v="1"/>
  </r>
  <r>
    <x v="465"/>
    <d v="2020-03-17T00:00:00"/>
    <x v="0"/>
    <n v="63"/>
    <n v="-1916"/>
    <x v="1"/>
    <n v="63"/>
    <x v="1"/>
  </r>
  <r>
    <x v="465"/>
    <d v="2020-03-19T00:00:00"/>
    <x v="2"/>
    <n v="197"/>
    <n v="-2113"/>
    <x v="1"/>
    <n v="-197"/>
    <x v="1"/>
  </r>
  <r>
    <x v="466"/>
    <d v="2020-01-19T00:00:00"/>
    <x v="0"/>
    <n v="738"/>
    <n v="738"/>
    <x v="0"/>
    <n v="738"/>
    <x v="0"/>
  </r>
  <r>
    <x v="466"/>
    <d v="2020-01-20T00:00:00"/>
    <x v="0"/>
    <n v="786"/>
    <n v="1524"/>
    <x v="0"/>
    <n v="786"/>
    <x v="0"/>
  </r>
  <r>
    <x v="466"/>
    <d v="2020-01-20T00:00:00"/>
    <x v="0"/>
    <n v="432"/>
    <n v="1956"/>
    <x v="0"/>
    <n v="432"/>
    <x v="0"/>
  </r>
  <r>
    <x v="466"/>
    <d v="2020-01-24T00:00:00"/>
    <x v="0"/>
    <n v="314"/>
    <n v="2270"/>
    <x v="0"/>
    <n v="314"/>
    <x v="0"/>
  </r>
  <r>
    <x v="466"/>
    <d v="2020-01-29T00:00:00"/>
    <x v="1"/>
    <n v="514"/>
    <n v="1756"/>
    <x v="0"/>
    <n v="-514"/>
    <x v="0"/>
  </r>
  <r>
    <x v="466"/>
    <d v="2020-01-29T00:00:00"/>
    <x v="0"/>
    <n v="238"/>
    <n v="1994"/>
    <x v="0"/>
    <n v="238"/>
    <x v="0"/>
  </r>
  <r>
    <x v="466"/>
    <d v="2020-02-07T00:00:00"/>
    <x v="0"/>
    <n v="1"/>
    <n v="1995"/>
    <x v="2"/>
    <n v="1"/>
    <x v="0"/>
  </r>
  <r>
    <x v="466"/>
    <d v="2020-02-14T00:00:00"/>
    <x v="0"/>
    <n v="968"/>
    <n v="2963"/>
    <x v="2"/>
    <n v="968"/>
    <x v="0"/>
  </r>
  <r>
    <x v="466"/>
    <d v="2020-02-16T00:00:00"/>
    <x v="0"/>
    <n v="556"/>
    <n v="3519"/>
    <x v="2"/>
    <n v="556"/>
    <x v="0"/>
  </r>
  <r>
    <x v="466"/>
    <d v="2020-02-19T00:00:00"/>
    <x v="0"/>
    <n v="819"/>
    <n v="4338"/>
    <x v="2"/>
    <n v="819"/>
    <x v="0"/>
  </r>
  <r>
    <x v="466"/>
    <d v="2020-02-21T00:00:00"/>
    <x v="2"/>
    <n v="173"/>
    <n v="4165"/>
    <x v="2"/>
    <n v="-173"/>
    <x v="0"/>
  </r>
  <r>
    <x v="466"/>
    <d v="2020-02-22T00:00:00"/>
    <x v="2"/>
    <n v="612"/>
    <n v="3553"/>
    <x v="2"/>
    <n v="-612"/>
    <x v="0"/>
  </r>
  <r>
    <x v="466"/>
    <d v="2020-02-27T00:00:00"/>
    <x v="0"/>
    <n v="29"/>
    <n v="3582"/>
    <x v="2"/>
    <n v="29"/>
    <x v="0"/>
  </r>
  <r>
    <x v="466"/>
    <d v="2020-03-03T00:00:00"/>
    <x v="2"/>
    <n v="978"/>
    <n v="2604"/>
    <x v="1"/>
    <n v="-978"/>
    <x v="0"/>
  </r>
  <r>
    <x v="466"/>
    <d v="2020-03-06T00:00:00"/>
    <x v="0"/>
    <n v="852"/>
    <n v="3456"/>
    <x v="1"/>
    <n v="852"/>
    <x v="0"/>
  </r>
  <r>
    <x v="466"/>
    <d v="2020-03-10T00:00:00"/>
    <x v="1"/>
    <n v="129"/>
    <n v="3327"/>
    <x v="1"/>
    <n v="-129"/>
    <x v="0"/>
  </r>
  <r>
    <x v="466"/>
    <d v="2020-03-12T00:00:00"/>
    <x v="1"/>
    <n v="809"/>
    <n v="2518"/>
    <x v="1"/>
    <n v="-809"/>
    <x v="0"/>
  </r>
  <r>
    <x v="466"/>
    <d v="2020-03-12T00:00:00"/>
    <x v="1"/>
    <n v="368"/>
    <n v="2150"/>
    <x v="1"/>
    <n v="-368"/>
    <x v="0"/>
  </r>
  <r>
    <x v="466"/>
    <d v="2020-03-26T00:00:00"/>
    <x v="0"/>
    <n v="116"/>
    <n v="2266"/>
    <x v="1"/>
    <n v="116"/>
    <x v="0"/>
  </r>
  <r>
    <x v="466"/>
    <d v="2020-03-28T00:00:00"/>
    <x v="0"/>
    <n v="488"/>
    <n v="2754"/>
    <x v="1"/>
    <n v="488"/>
    <x v="0"/>
  </r>
  <r>
    <x v="466"/>
    <d v="2020-04-03T00:00:00"/>
    <x v="2"/>
    <n v="691"/>
    <n v="2063"/>
    <x v="3"/>
    <n v="-691"/>
    <x v="0"/>
  </r>
  <r>
    <x v="466"/>
    <d v="2020-04-06T00:00:00"/>
    <x v="2"/>
    <n v="873"/>
    <n v="1190"/>
    <x v="3"/>
    <n v="-873"/>
    <x v="0"/>
  </r>
  <r>
    <x v="467"/>
    <d v="2020-01-25T00:00:00"/>
    <x v="0"/>
    <n v="939"/>
    <n v="939"/>
    <x v="0"/>
    <n v="939"/>
    <x v="0"/>
  </r>
  <r>
    <x v="467"/>
    <d v="2020-01-29T00:00:00"/>
    <x v="1"/>
    <n v="900"/>
    <n v="39"/>
    <x v="0"/>
    <n v="-900"/>
    <x v="0"/>
  </r>
  <r>
    <x v="467"/>
    <d v="2020-02-14T00:00:00"/>
    <x v="1"/>
    <n v="902"/>
    <n v="-863"/>
    <x v="2"/>
    <n v="-902"/>
    <x v="1"/>
  </r>
  <r>
    <x v="467"/>
    <d v="2020-02-19T00:00:00"/>
    <x v="0"/>
    <n v="708"/>
    <n v="-155"/>
    <x v="2"/>
    <n v="708"/>
    <x v="1"/>
  </r>
  <r>
    <x v="467"/>
    <d v="2020-03-02T00:00:00"/>
    <x v="0"/>
    <n v="40"/>
    <n v="-115"/>
    <x v="1"/>
    <n v="40"/>
    <x v="1"/>
  </r>
  <r>
    <x v="467"/>
    <d v="2020-03-02T00:00:00"/>
    <x v="2"/>
    <n v="26"/>
    <n v="-141"/>
    <x v="1"/>
    <n v="-26"/>
    <x v="1"/>
  </r>
  <r>
    <x v="467"/>
    <d v="2020-03-18T00:00:00"/>
    <x v="1"/>
    <n v="776"/>
    <n v="-917"/>
    <x v="1"/>
    <n v="-776"/>
    <x v="1"/>
  </r>
  <r>
    <x v="468"/>
    <d v="2020-01-17T00:00:00"/>
    <x v="0"/>
    <n v="297"/>
    <n v="297"/>
    <x v="0"/>
    <n v="297"/>
    <x v="0"/>
  </r>
  <r>
    <x v="468"/>
    <d v="2020-01-30T00:00:00"/>
    <x v="0"/>
    <n v="89"/>
    <n v="386"/>
    <x v="0"/>
    <n v="89"/>
    <x v="0"/>
  </r>
  <r>
    <x v="468"/>
    <d v="2020-02-04T00:00:00"/>
    <x v="0"/>
    <n v="914"/>
    <n v="1300"/>
    <x v="2"/>
    <n v="914"/>
    <x v="0"/>
  </r>
  <r>
    <x v="468"/>
    <d v="2020-02-13T00:00:00"/>
    <x v="0"/>
    <n v="140"/>
    <n v="1440"/>
    <x v="2"/>
    <n v="140"/>
    <x v="0"/>
  </r>
  <r>
    <x v="468"/>
    <d v="2020-02-17T00:00:00"/>
    <x v="2"/>
    <n v="630"/>
    <n v="810"/>
    <x v="2"/>
    <n v="-630"/>
    <x v="0"/>
  </r>
  <r>
    <x v="468"/>
    <d v="2020-02-21T00:00:00"/>
    <x v="0"/>
    <n v="883"/>
    <n v="1693"/>
    <x v="2"/>
    <n v="883"/>
    <x v="0"/>
  </r>
  <r>
    <x v="468"/>
    <d v="2020-02-28T00:00:00"/>
    <x v="0"/>
    <n v="468"/>
    <n v="2161"/>
    <x v="2"/>
    <n v="468"/>
    <x v="0"/>
  </r>
  <r>
    <x v="468"/>
    <d v="2020-03-01T00:00:00"/>
    <x v="2"/>
    <n v="789"/>
    <n v="1372"/>
    <x v="1"/>
    <n v="-789"/>
    <x v="0"/>
  </r>
  <r>
    <x v="468"/>
    <d v="2020-03-03T00:00:00"/>
    <x v="2"/>
    <n v="295"/>
    <n v="1077"/>
    <x v="1"/>
    <n v="-295"/>
    <x v="0"/>
  </r>
  <r>
    <x v="468"/>
    <d v="2020-03-08T00:00:00"/>
    <x v="0"/>
    <n v="437"/>
    <n v="1514"/>
    <x v="1"/>
    <n v="437"/>
    <x v="0"/>
  </r>
  <r>
    <x v="468"/>
    <d v="2020-03-08T00:00:00"/>
    <x v="1"/>
    <n v="761"/>
    <n v="753"/>
    <x v="1"/>
    <n v="-761"/>
    <x v="0"/>
  </r>
  <r>
    <x v="468"/>
    <d v="2020-03-23T00:00:00"/>
    <x v="0"/>
    <n v="15"/>
    <n v="768"/>
    <x v="1"/>
    <n v="15"/>
    <x v="0"/>
  </r>
  <r>
    <x v="468"/>
    <d v="2020-03-24T00:00:00"/>
    <x v="1"/>
    <n v="703"/>
    <n v="65"/>
    <x v="1"/>
    <n v="-703"/>
    <x v="0"/>
  </r>
  <r>
    <x v="468"/>
    <d v="2020-03-26T00:00:00"/>
    <x v="1"/>
    <n v="867"/>
    <n v="-802"/>
    <x v="1"/>
    <n v="-867"/>
    <x v="1"/>
  </r>
  <r>
    <x v="468"/>
    <d v="2020-04-10T00:00:00"/>
    <x v="1"/>
    <n v="735"/>
    <n v="-1537"/>
    <x v="3"/>
    <n v="-735"/>
    <x v="1"/>
  </r>
  <r>
    <x v="469"/>
    <d v="2020-01-08T00:00:00"/>
    <x v="0"/>
    <n v="942"/>
    <n v="942"/>
    <x v="0"/>
    <n v="942"/>
    <x v="0"/>
  </r>
  <r>
    <x v="469"/>
    <d v="2020-01-18T00:00:00"/>
    <x v="2"/>
    <n v="565"/>
    <n v="377"/>
    <x v="0"/>
    <n v="-565"/>
    <x v="0"/>
  </r>
  <r>
    <x v="469"/>
    <d v="2020-02-14T00:00:00"/>
    <x v="2"/>
    <n v="688"/>
    <n v="-311"/>
    <x v="2"/>
    <n v="-688"/>
    <x v="1"/>
  </r>
  <r>
    <x v="470"/>
    <d v="2020-01-13T00:00:00"/>
    <x v="0"/>
    <n v="781"/>
    <n v="781"/>
    <x v="0"/>
    <n v="781"/>
    <x v="0"/>
  </r>
  <r>
    <x v="470"/>
    <d v="2020-03-02T00:00:00"/>
    <x v="0"/>
    <n v="197"/>
    <n v="978"/>
    <x v="1"/>
    <n v="197"/>
    <x v="0"/>
  </r>
  <r>
    <x v="470"/>
    <d v="2020-03-07T00:00:00"/>
    <x v="0"/>
    <n v="211"/>
    <n v="1189"/>
    <x v="1"/>
    <n v="211"/>
    <x v="0"/>
  </r>
  <r>
    <x v="470"/>
    <d v="2020-03-09T00:00:00"/>
    <x v="0"/>
    <n v="49"/>
    <n v="1238"/>
    <x v="1"/>
    <n v="49"/>
    <x v="0"/>
  </r>
  <r>
    <x v="470"/>
    <d v="2020-04-09T00:00:00"/>
    <x v="0"/>
    <n v="649"/>
    <n v="1887"/>
    <x v="3"/>
    <n v="649"/>
    <x v="0"/>
  </r>
  <r>
    <x v="471"/>
    <d v="2020-01-18T00:00:00"/>
    <x v="0"/>
    <n v="495"/>
    <n v="495"/>
    <x v="0"/>
    <n v="495"/>
    <x v="0"/>
  </r>
  <r>
    <x v="471"/>
    <d v="2020-01-19T00:00:00"/>
    <x v="2"/>
    <n v="527"/>
    <n v="-32"/>
    <x v="0"/>
    <n v="-527"/>
    <x v="1"/>
  </r>
  <r>
    <x v="471"/>
    <d v="2020-01-29T00:00:00"/>
    <x v="0"/>
    <n v="843"/>
    <n v="811"/>
    <x v="0"/>
    <n v="843"/>
    <x v="0"/>
  </r>
  <r>
    <x v="471"/>
    <d v="2020-02-01T00:00:00"/>
    <x v="1"/>
    <n v="347"/>
    <n v="464"/>
    <x v="2"/>
    <n v="-347"/>
    <x v="0"/>
  </r>
  <r>
    <x v="471"/>
    <d v="2020-02-11T00:00:00"/>
    <x v="1"/>
    <n v="666"/>
    <n v="-202"/>
    <x v="2"/>
    <n v="-666"/>
    <x v="1"/>
  </r>
  <r>
    <x v="471"/>
    <d v="2020-02-27T00:00:00"/>
    <x v="0"/>
    <n v="87"/>
    <n v="-115"/>
    <x v="2"/>
    <n v="87"/>
    <x v="1"/>
  </r>
  <r>
    <x v="471"/>
    <d v="2020-03-05T00:00:00"/>
    <x v="0"/>
    <n v="78"/>
    <n v="-37"/>
    <x v="1"/>
    <n v="78"/>
    <x v="1"/>
  </r>
  <r>
    <x v="471"/>
    <d v="2020-03-06T00:00:00"/>
    <x v="2"/>
    <n v="499"/>
    <n v="-536"/>
    <x v="1"/>
    <n v="-499"/>
    <x v="1"/>
  </r>
  <r>
    <x v="471"/>
    <d v="2020-03-08T00:00:00"/>
    <x v="0"/>
    <n v="362"/>
    <n v="-174"/>
    <x v="1"/>
    <n v="362"/>
    <x v="1"/>
  </r>
  <r>
    <x v="471"/>
    <d v="2020-03-20T00:00:00"/>
    <x v="0"/>
    <n v="182"/>
    <n v="8"/>
    <x v="1"/>
    <n v="182"/>
    <x v="0"/>
  </r>
  <r>
    <x v="471"/>
    <d v="2020-03-21T00:00:00"/>
    <x v="2"/>
    <n v="513"/>
    <n v="-505"/>
    <x v="1"/>
    <n v="-513"/>
    <x v="1"/>
  </r>
  <r>
    <x v="471"/>
    <d v="2020-03-30T00:00:00"/>
    <x v="0"/>
    <n v="537"/>
    <n v="32"/>
    <x v="1"/>
    <n v="537"/>
    <x v="0"/>
  </r>
  <r>
    <x v="471"/>
    <d v="2020-04-01T00:00:00"/>
    <x v="1"/>
    <n v="865"/>
    <n v="-833"/>
    <x v="3"/>
    <n v="-865"/>
    <x v="1"/>
  </r>
  <r>
    <x v="471"/>
    <d v="2020-04-01T00:00:00"/>
    <x v="1"/>
    <n v="12"/>
    <n v="-845"/>
    <x v="3"/>
    <n v="-12"/>
    <x v="1"/>
  </r>
  <r>
    <x v="471"/>
    <d v="2020-04-04T00:00:00"/>
    <x v="0"/>
    <n v="405"/>
    <n v="-440"/>
    <x v="3"/>
    <n v="405"/>
    <x v="1"/>
  </r>
  <r>
    <x v="471"/>
    <d v="2020-04-06T00:00:00"/>
    <x v="1"/>
    <n v="903"/>
    <n v="-1343"/>
    <x v="3"/>
    <n v="-903"/>
    <x v="1"/>
  </r>
  <r>
    <x v="471"/>
    <d v="2020-04-07T00:00:00"/>
    <x v="0"/>
    <n v="557"/>
    <n v="-786"/>
    <x v="3"/>
    <n v="557"/>
    <x v="1"/>
  </r>
  <r>
    <x v="471"/>
    <d v="2020-04-07T00:00:00"/>
    <x v="0"/>
    <n v="115"/>
    <n v="-671"/>
    <x v="3"/>
    <n v="115"/>
    <x v="1"/>
  </r>
  <r>
    <x v="471"/>
    <d v="2020-04-08T00:00:00"/>
    <x v="0"/>
    <n v="418"/>
    <n v="-253"/>
    <x v="3"/>
    <n v="418"/>
    <x v="1"/>
  </r>
  <r>
    <x v="471"/>
    <d v="2020-04-14T00:00:00"/>
    <x v="0"/>
    <n v="920"/>
    <n v="667"/>
    <x v="3"/>
    <n v="920"/>
    <x v="0"/>
  </r>
  <r>
    <x v="471"/>
    <d v="2020-04-16T00:00:00"/>
    <x v="1"/>
    <n v="449"/>
    <n v="218"/>
    <x v="3"/>
    <n v="-449"/>
    <x v="0"/>
  </r>
  <r>
    <x v="472"/>
    <d v="2020-01-17T00:00:00"/>
    <x v="0"/>
    <n v="657"/>
    <n v="657"/>
    <x v="0"/>
    <n v="657"/>
    <x v="0"/>
  </r>
  <r>
    <x v="472"/>
    <d v="2020-01-27T00:00:00"/>
    <x v="0"/>
    <n v="909"/>
    <n v="1566"/>
    <x v="0"/>
    <n v="909"/>
    <x v="0"/>
  </r>
  <r>
    <x v="472"/>
    <d v="2020-01-29T00:00:00"/>
    <x v="1"/>
    <n v="834"/>
    <n v="732"/>
    <x v="0"/>
    <n v="-834"/>
    <x v="0"/>
  </r>
  <r>
    <x v="472"/>
    <d v="2020-01-31T00:00:00"/>
    <x v="1"/>
    <n v="915"/>
    <n v="-183"/>
    <x v="0"/>
    <n v="-915"/>
    <x v="1"/>
  </r>
  <r>
    <x v="472"/>
    <d v="2020-02-06T00:00:00"/>
    <x v="2"/>
    <n v="244"/>
    <n v="-427"/>
    <x v="2"/>
    <n v="-244"/>
    <x v="1"/>
  </r>
  <r>
    <x v="472"/>
    <d v="2020-02-26T00:00:00"/>
    <x v="2"/>
    <n v="437"/>
    <n v="-864"/>
    <x v="2"/>
    <n v="-437"/>
    <x v="1"/>
  </r>
  <r>
    <x v="472"/>
    <d v="2020-03-01T00:00:00"/>
    <x v="1"/>
    <n v="900"/>
    <n v="-1764"/>
    <x v="1"/>
    <n v="-900"/>
    <x v="1"/>
  </r>
  <r>
    <x v="472"/>
    <d v="2020-03-04T00:00:00"/>
    <x v="2"/>
    <n v="168"/>
    <n v="-1932"/>
    <x v="1"/>
    <n v="-168"/>
    <x v="1"/>
  </r>
  <r>
    <x v="472"/>
    <d v="2020-03-10T00:00:00"/>
    <x v="2"/>
    <n v="954"/>
    <n v="-2886"/>
    <x v="1"/>
    <n v="-954"/>
    <x v="1"/>
  </r>
  <r>
    <x v="472"/>
    <d v="2020-03-12T00:00:00"/>
    <x v="0"/>
    <n v="375"/>
    <n v="-2511"/>
    <x v="1"/>
    <n v="375"/>
    <x v="1"/>
  </r>
  <r>
    <x v="472"/>
    <d v="2020-03-16T00:00:00"/>
    <x v="1"/>
    <n v="709"/>
    <n v="-3220"/>
    <x v="1"/>
    <n v="-709"/>
    <x v="1"/>
  </r>
  <r>
    <x v="472"/>
    <d v="2020-03-28T00:00:00"/>
    <x v="1"/>
    <n v="116"/>
    <n v="-3336"/>
    <x v="1"/>
    <n v="-116"/>
    <x v="1"/>
  </r>
  <r>
    <x v="472"/>
    <d v="2020-03-30T00:00:00"/>
    <x v="2"/>
    <n v="303"/>
    <n v="-3639"/>
    <x v="1"/>
    <n v="-303"/>
    <x v="1"/>
  </r>
  <r>
    <x v="472"/>
    <d v="2020-03-31T00:00:00"/>
    <x v="0"/>
    <n v="9"/>
    <n v="-3630"/>
    <x v="1"/>
    <n v="9"/>
    <x v="1"/>
  </r>
  <r>
    <x v="472"/>
    <d v="2020-04-02T00:00:00"/>
    <x v="1"/>
    <n v="578"/>
    <n v="-4208"/>
    <x v="3"/>
    <n v="-578"/>
    <x v="1"/>
  </r>
  <r>
    <x v="472"/>
    <d v="2020-04-05T00:00:00"/>
    <x v="2"/>
    <n v="721"/>
    <n v="-4929"/>
    <x v="3"/>
    <n v="-721"/>
    <x v="1"/>
  </r>
  <r>
    <x v="472"/>
    <d v="2020-04-08T00:00:00"/>
    <x v="2"/>
    <n v="843"/>
    <n v="-5772"/>
    <x v="3"/>
    <n v="-843"/>
    <x v="1"/>
  </r>
  <r>
    <x v="473"/>
    <d v="2020-01-02T00:00:00"/>
    <x v="0"/>
    <n v="928"/>
    <n v="928"/>
    <x v="0"/>
    <n v="928"/>
    <x v="0"/>
  </r>
  <r>
    <x v="473"/>
    <d v="2020-02-08T00:00:00"/>
    <x v="2"/>
    <n v="789"/>
    <n v="139"/>
    <x v="2"/>
    <n v="-789"/>
    <x v="0"/>
  </r>
  <r>
    <x v="473"/>
    <d v="2020-03-08T00:00:00"/>
    <x v="2"/>
    <n v="398"/>
    <n v="-259"/>
    <x v="1"/>
    <n v="-398"/>
    <x v="1"/>
  </r>
  <r>
    <x v="474"/>
    <d v="2020-01-03T00:00:00"/>
    <x v="0"/>
    <n v="552"/>
    <n v="552"/>
    <x v="0"/>
    <n v="552"/>
    <x v="0"/>
  </r>
  <r>
    <x v="474"/>
    <d v="2020-01-09T00:00:00"/>
    <x v="0"/>
    <n v="713"/>
    <n v="1265"/>
    <x v="0"/>
    <n v="713"/>
    <x v="0"/>
  </r>
  <r>
    <x v="474"/>
    <d v="2020-01-10T00:00:00"/>
    <x v="2"/>
    <n v="981"/>
    <n v="284"/>
    <x v="0"/>
    <n v="-981"/>
    <x v="0"/>
  </r>
  <r>
    <x v="474"/>
    <d v="2020-01-10T00:00:00"/>
    <x v="2"/>
    <n v="476"/>
    <n v="-192"/>
    <x v="0"/>
    <n v="-476"/>
    <x v="1"/>
  </r>
  <r>
    <x v="474"/>
    <d v="2020-01-17T00:00:00"/>
    <x v="1"/>
    <n v="72"/>
    <n v="-264"/>
    <x v="0"/>
    <n v="-72"/>
    <x v="1"/>
  </r>
  <r>
    <x v="474"/>
    <d v="2020-01-21T00:00:00"/>
    <x v="0"/>
    <n v="525"/>
    <n v="261"/>
    <x v="0"/>
    <n v="525"/>
    <x v="0"/>
  </r>
  <r>
    <x v="474"/>
    <d v="2020-01-23T00:00:00"/>
    <x v="2"/>
    <n v="849"/>
    <n v="-588"/>
    <x v="0"/>
    <n v="-849"/>
    <x v="1"/>
  </r>
  <r>
    <x v="474"/>
    <d v="2020-01-26T00:00:00"/>
    <x v="1"/>
    <n v="85"/>
    <n v="-673"/>
    <x v="0"/>
    <n v="-85"/>
    <x v="1"/>
  </r>
  <r>
    <x v="474"/>
    <d v="2020-02-11T00:00:00"/>
    <x v="0"/>
    <n v="222"/>
    <n v="-451"/>
    <x v="2"/>
    <n v="222"/>
    <x v="1"/>
  </r>
  <r>
    <x v="474"/>
    <d v="2020-02-13T00:00:00"/>
    <x v="1"/>
    <n v="614"/>
    <n v="-1065"/>
    <x v="2"/>
    <n v="-614"/>
    <x v="1"/>
  </r>
  <r>
    <x v="474"/>
    <d v="2020-02-28T00:00:00"/>
    <x v="2"/>
    <n v="952"/>
    <n v="-2017"/>
    <x v="2"/>
    <n v="-952"/>
    <x v="1"/>
  </r>
  <r>
    <x v="474"/>
    <d v="2020-02-28T00:00:00"/>
    <x v="0"/>
    <n v="51"/>
    <n v="-1966"/>
    <x v="2"/>
    <n v="51"/>
    <x v="1"/>
  </r>
  <r>
    <x v="474"/>
    <d v="2020-03-01T00:00:00"/>
    <x v="2"/>
    <n v="970"/>
    <n v="-2936"/>
    <x v="1"/>
    <n v="-970"/>
    <x v="1"/>
  </r>
  <r>
    <x v="474"/>
    <d v="2020-03-03T00:00:00"/>
    <x v="1"/>
    <n v="710"/>
    <n v="-3646"/>
    <x v="1"/>
    <n v="-710"/>
    <x v="1"/>
  </r>
  <r>
    <x v="474"/>
    <d v="2020-03-05T00:00:00"/>
    <x v="2"/>
    <n v="523"/>
    <n v="-4169"/>
    <x v="1"/>
    <n v="-523"/>
    <x v="1"/>
  </r>
  <r>
    <x v="474"/>
    <d v="2020-03-16T00:00:00"/>
    <x v="2"/>
    <n v="522"/>
    <n v="-4691"/>
    <x v="1"/>
    <n v="-522"/>
    <x v="1"/>
  </r>
  <r>
    <x v="474"/>
    <d v="2020-03-19T00:00:00"/>
    <x v="1"/>
    <n v="4"/>
    <n v="-4695"/>
    <x v="1"/>
    <n v="-4"/>
    <x v="1"/>
  </r>
  <r>
    <x v="474"/>
    <d v="2020-03-20T00:00:00"/>
    <x v="2"/>
    <n v="535"/>
    <n v="-5230"/>
    <x v="1"/>
    <n v="-535"/>
    <x v="1"/>
  </r>
  <r>
    <x v="474"/>
    <d v="2020-03-24T00:00:00"/>
    <x v="0"/>
    <n v="596"/>
    <n v="-4634"/>
    <x v="1"/>
    <n v="596"/>
    <x v="1"/>
  </r>
  <r>
    <x v="474"/>
    <d v="2020-03-28T00:00:00"/>
    <x v="1"/>
    <n v="439"/>
    <n v="-5073"/>
    <x v="1"/>
    <n v="-439"/>
    <x v="1"/>
  </r>
  <r>
    <x v="475"/>
    <d v="2020-01-27T00:00:00"/>
    <x v="0"/>
    <n v="392"/>
    <n v="392"/>
    <x v="0"/>
    <n v="392"/>
    <x v="0"/>
  </r>
  <r>
    <x v="475"/>
    <d v="2020-01-31T00:00:00"/>
    <x v="2"/>
    <n v="868"/>
    <n v="-476"/>
    <x v="0"/>
    <n v="-868"/>
    <x v="1"/>
  </r>
  <r>
    <x v="475"/>
    <d v="2020-02-15T00:00:00"/>
    <x v="0"/>
    <n v="567"/>
    <n v="91"/>
    <x v="2"/>
    <n v="567"/>
    <x v="0"/>
  </r>
  <r>
    <x v="475"/>
    <d v="2020-02-17T00:00:00"/>
    <x v="1"/>
    <n v="227"/>
    <n v="-136"/>
    <x v="2"/>
    <n v="-227"/>
    <x v="1"/>
  </r>
  <r>
    <x v="475"/>
    <d v="2020-02-17T00:00:00"/>
    <x v="1"/>
    <n v="314"/>
    <n v="-450"/>
    <x v="2"/>
    <n v="-314"/>
    <x v="1"/>
  </r>
  <r>
    <x v="475"/>
    <d v="2020-02-18T00:00:00"/>
    <x v="1"/>
    <n v="826"/>
    <n v="-1276"/>
    <x v="2"/>
    <n v="-826"/>
    <x v="1"/>
  </r>
  <r>
    <x v="475"/>
    <d v="2020-02-19T00:00:00"/>
    <x v="1"/>
    <n v="689"/>
    <n v="-1965"/>
    <x v="2"/>
    <n v="-689"/>
    <x v="1"/>
  </r>
  <r>
    <x v="475"/>
    <d v="2020-02-26T00:00:00"/>
    <x v="2"/>
    <n v="507"/>
    <n v="-2472"/>
    <x v="2"/>
    <n v="-507"/>
    <x v="1"/>
  </r>
  <r>
    <x v="475"/>
    <d v="2020-02-28T00:00:00"/>
    <x v="0"/>
    <n v="469"/>
    <n v="-2003"/>
    <x v="2"/>
    <n v="469"/>
    <x v="1"/>
  </r>
  <r>
    <x v="475"/>
    <d v="2020-03-03T00:00:00"/>
    <x v="0"/>
    <n v="551"/>
    <n v="-1452"/>
    <x v="1"/>
    <n v="551"/>
    <x v="1"/>
  </r>
  <r>
    <x v="475"/>
    <d v="2020-03-10T00:00:00"/>
    <x v="1"/>
    <n v="395"/>
    <n v="-1847"/>
    <x v="1"/>
    <n v="-395"/>
    <x v="1"/>
  </r>
  <r>
    <x v="475"/>
    <d v="2020-03-21T00:00:00"/>
    <x v="1"/>
    <n v="575"/>
    <n v="-2422"/>
    <x v="1"/>
    <n v="-575"/>
    <x v="1"/>
  </r>
  <r>
    <x v="475"/>
    <d v="2020-03-29T00:00:00"/>
    <x v="2"/>
    <n v="943"/>
    <n v="-3365"/>
    <x v="1"/>
    <n v="-943"/>
    <x v="1"/>
  </r>
  <r>
    <x v="475"/>
    <d v="2020-04-04T00:00:00"/>
    <x v="0"/>
    <n v="851"/>
    <n v="-2514"/>
    <x v="3"/>
    <n v="851"/>
    <x v="1"/>
  </r>
  <r>
    <x v="475"/>
    <d v="2020-04-05T00:00:00"/>
    <x v="1"/>
    <n v="581"/>
    <n v="-3095"/>
    <x v="3"/>
    <n v="-581"/>
    <x v="1"/>
  </r>
  <r>
    <x v="475"/>
    <d v="2020-04-06T00:00:00"/>
    <x v="1"/>
    <n v="916"/>
    <n v="-4011"/>
    <x v="3"/>
    <n v="-916"/>
    <x v="1"/>
  </r>
  <r>
    <x v="475"/>
    <d v="2020-04-09T00:00:00"/>
    <x v="2"/>
    <n v="338"/>
    <n v="-4349"/>
    <x v="3"/>
    <n v="-338"/>
    <x v="1"/>
  </r>
  <r>
    <x v="475"/>
    <d v="2020-04-11T00:00:00"/>
    <x v="1"/>
    <n v="654"/>
    <n v="-5003"/>
    <x v="3"/>
    <n v="-654"/>
    <x v="1"/>
  </r>
  <r>
    <x v="475"/>
    <d v="2020-04-23T00:00:00"/>
    <x v="1"/>
    <n v="898"/>
    <n v="-5901"/>
    <x v="3"/>
    <n v="-898"/>
    <x v="1"/>
  </r>
  <r>
    <x v="475"/>
    <d v="2020-04-25T00:00:00"/>
    <x v="0"/>
    <n v="929"/>
    <n v="-4972"/>
    <x v="3"/>
    <n v="929"/>
    <x v="1"/>
  </r>
  <r>
    <x v="476"/>
    <d v="2020-01-04T00:00:00"/>
    <x v="0"/>
    <n v="101"/>
    <n v="101"/>
    <x v="0"/>
    <n v="101"/>
    <x v="0"/>
  </r>
  <r>
    <x v="476"/>
    <d v="2020-01-06T00:00:00"/>
    <x v="1"/>
    <n v="209"/>
    <n v="-108"/>
    <x v="0"/>
    <n v="-209"/>
    <x v="1"/>
  </r>
  <r>
    <x v="476"/>
    <d v="2020-01-08T00:00:00"/>
    <x v="2"/>
    <n v="589"/>
    <n v="-697"/>
    <x v="0"/>
    <n v="-589"/>
    <x v="1"/>
  </r>
  <r>
    <x v="476"/>
    <d v="2020-01-13T00:00:00"/>
    <x v="2"/>
    <n v="894"/>
    <n v="-1591"/>
    <x v="0"/>
    <n v="-894"/>
    <x v="1"/>
  </r>
  <r>
    <x v="476"/>
    <d v="2020-01-14T00:00:00"/>
    <x v="1"/>
    <n v="235"/>
    <n v="-1826"/>
    <x v="0"/>
    <n v="-235"/>
    <x v="1"/>
  </r>
  <r>
    <x v="476"/>
    <d v="2020-01-22T00:00:00"/>
    <x v="2"/>
    <n v="429"/>
    <n v="-2255"/>
    <x v="0"/>
    <n v="-429"/>
    <x v="1"/>
  </r>
  <r>
    <x v="476"/>
    <d v="2020-01-31T00:00:00"/>
    <x v="2"/>
    <n v="351"/>
    <n v="-2606"/>
    <x v="0"/>
    <n v="-351"/>
    <x v="1"/>
  </r>
  <r>
    <x v="476"/>
    <d v="2020-01-31T00:00:00"/>
    <x v="1"/>
    <n v="428"/>
    <n v="-3034"/>
    <x v="0"/>
    <n v="-428"/>
    <x v="1"/>
  </r>
  <r>
    <x v="476"/>
    <d v="2020-02-02T00:00:00"/>
    <x v="2"/>
    <n v="274"/>
    <n v="-3308"/>
    <x v="2"/>
    <n v="-274"/>
    <x v="1"/>
  </r>
  <r>
    <x v="476"/>
    <d v="2020-02-03T00:00:00"/>
    <x v="2"/>
    <n v="193"/>
    <n v="-3501"/>
    <x v="2"/>
    <n v="-193"/>
    <x v="1"/>
  </r>
  <r>
    <x v="476"/>
    <d v="2020-02-06T00:00:00"/>
    <x v="2"/>
    <n v="935"/>
    <n v="-4436"/>
    <x v="2"/>
    <n v="-935"/>
    <x v="1"/>
  </r>
  <r>
    <x v="476"/>
    <d v="2020-02-29T00:00:00"/>
    <x v="1"/>
    <n v="156"/>
    <n v="-4592"/>
    <x v="2"/>
    <n v="-156"/>
    <x v="1"/>
  </r>
  <r>
    <x v="476"/>
    <d v="2020-03-15T00:00:00"/>
    <x v="2"/>
    <n v="531"/>
    <n v="-5123"/>
    <x v="1"/>
    <n v="-531"/>
    <x v="1"/>
  </r>
  <r>
    <x v="476"/>
    <d v="2020-03-16T00:00:00"/>
    <x v="0"/>
    <n v="624"/>
    <n v="-4499"/>
    <x v="1"/>
    <n v="624"/>
    <x v="1"/>
  </r>
  <r>
    <x v="476"/>
    <d v="2020-03-17T00:00:00"/>
    <x v="2"/>
    <n v="444"/>
    <n v="-4943"/>
    <x v="1"/>
    <n v="-444"/>
    <x v="1"/>
  </r>
  <r>
    <x v="476"/>
    <d v="2020-03-28T00:00:00"/>
    <x v="1"/>
    <n v="849"/>
    <n v="-5792"/>
    <x v="1"/>
    <n v="-849"/>
    <x v="1"/>
  </r>
  <r>
    <x v="476"/>
    <d v="2020-03-29T00:00:00"/>
    <x v="2"/>
    <n v="746"/>
    <n v="-6538"/>
    <x v="1"/>
    <n v="-746"/>
    <x v="1"/>
  </r>
  <r>
    <x v="477"/>
    <d v="2020-01-08T00:00:00"/>
    <x v="0"/>
    <n v="351"/>
    <n v="351"/>
    <x v="0"/>
    <n v="351"/>
    <x v="0"/>
  </r>
  <r>
    <x v="477"/>
    <d v="2020-01-08T00:00:00"/>
    <x v="2"/>
    <n v="8"/>
    <n v="343"/>
    <x v="0"/>
    <n v="-8"/>
    <x v="0"/>
  </r>
  <r>
    <x v="477"/>
    <d v="2020-01-15T00:00:00"/>
    <x v="1"/>
    <n v="88"/>
    <n v="255"/>
    <x v="0"/>
    <n v="-88"/>
    <x v="0"/>
  </r>
  <r>
    <x v="477"/>
    <d v="2020-01-26T00:00:00"/>
    <x v="1"/>
    <n v="967"/>
    <n v="-712"/>
    <x v="0"/>
    <n v="-967"/>
    <x v="1"/>
  </r>
  <r>
    <x v="477"/>
    <d v="2020-02-05T00:00:00"/>
    <x v="0"/>
    <n v="844"/>
    <n v="132"/>
    <x v="2"/>
    <n v="844"/>
    <x v="0"/>
  </r>
  <r>
    <x v="477"/>
    <d v="2020-02-18T00:00:00"/>
    <x v="0"/>
    <n v="968"/>
    <n v="1100"/>
    <x v="2"/>
    <n v="968"/>
    <x v="0"/>
  </r>
  <r>
    <x v="477"/>
    <d v="2020-02-22T00:00:00"/>
    <x v="0"/>
    <n v="761"/>
    <n v="1861"/>
    <x v="2"/>
    <n v="761"/>
    <x v="0"/>
  </r>
  <r>
    <x v="477"/>
    <d v="2020-02-26T00:00:00"/>
    <x v="0"/>
    <n v="330"/>
    <n v="2191"/>
    <x v="2"/>
    <n v="330"/>
    <x v="0"/>
  </r>
  <r>
    <x v="477"/>
    <d v="2020-02-29T00:00:00"/>
    <x v="0"/>
    <n v="87"/>
    <n v="2278"/>
    <x v="2"/>
    <n v="87"/>
    <x v="0"/>
  </r>
  <r>
    <x v="477"/>
    <d v="2020-03-03T00:00:00"/>
    <x v="0"/>
    <n v="434"/>
    <n v="2712"/>
    <x v="1"/>
    <n v="434"/>
    <x v="0"/>
  </r>
  <r>
    <x v="477"/>
    <d v="2020-03-07T00:00:00"/>
    <x v="0"/>
    <n v="55"/>
    <n v="2767"/>
    <x v="1"/>
    <n v="55"/>
    <x v="0"/>
  </r>
  <r>
    <x v="477"/>
    <d v="2020-03-09T00:00:00"/>
    <x v="2"/>
    <n v="680"/>
    <n v="2087"/>
    <x v="1"/>
    <n v="-680"/>
    <x v="0"/>
  </r>
  <r>
    <x v="478"/>
    <d v="2020-01-23T00:00:00"/>
    <x v="0"/>
    <n v="320"/>
    <n v="320"/>
    <x v="0"/>
    <n v="320"/>
    <x v="0"/>
  </r>
  <r>
    <x v="478"/>
    <d v="2020-02-29T00:00:00"/>
    <x v="1"/>
    <n v="647"/>
    <n v="-327"/>
    <x v="2"/>
    <n v="-647"/>
    <x v="1"/>
  </r>
  <r>
    <x v="478"/>
    <d v="2020-03-31T00:00:00"/>
    <x v="0"/>
    <n v="840"/>
    <n v="513"/>
    <x v="1"/>
    <n v="840"/>
    <x v="0"/>
  </r>
  <r>
    <x v="479"/>
    <d v="2020-01-29T00:00:00"/>
    <x v="0"/>
    <n v="522"/>
    <n v="522"/>
    <x v="0"/>
    <n v="522"/>
    <x v="0"/>
  </r>
  <r>
    <x v="479"/>
    <d v="2020-03-22T00:00:00"/>
    <x v="1"/>
    <n v="757"/>
    <n v="-235"/>
    <x v="1"/>
    <n v="-757"/>
    <x v="1"/>
  </r>
  <r>
    <x v="479"/>
    <d v="2020-04-11T00:00:00"/>
    <x v="0"/>
    <n v="553"/>
    <n v="318"/>
    <x v="3"/>
    <n v="553"/>
    <x v="0"/>
  </r>
  <r>
    <x v="479"/>
    <d v="2020-04-14T00:00:00"/>
    <x v="1"/>
    <n v="478"/>
    <n v="-160"/>
    <x v="3"/>
    <n v="-478"/>
    <x v="1"/>
  </r>
  <r>
    <x v="479"/>
    <d v="2020-04-21T00:00:00"/>
    <x v="2"/>
    <n v="5"/>
    <n v="-165"/>
    <x v="3"/>
    <n v="-5"/>
    <x v="1"/>
  </r>
  <r>
    <x v="480"/>
    <d v="2020-01-02T00:00:00"/>
    <x v="0"/>
    <n v="42"/>
    <n v="42"/>
    <x v="0"/>
    <n v="42"/>
    <x v="0"/>
  </r>
  <r>
    <x v="480"/>
    <d v="2020-01-08T00:00:00"/>
    <x v="1"/>
    <n v="606"/>
    <n v="-564"/>
    <x v="0"/>
    <n v="-606"/>
    <x v="1"/>
  </r>
  <r>
    <x v="480"/>
    <d v="2020-01-08T00:00:00"/>
    <x v="1"/>
    <n v="790"/>
    <n v="-1354"/>
    <x v="0"/>
    <n v="-790"/>
    <x v="1"/>
  </r>
  <r>
    <x v="480"/>
    <d v="2020-01-13T00:00:00"/>
    <x v="2"/>
    <n v="42"/>
    <n v="-1396"/>
    <x v="0"/>
    <n v="-42"/>
    <x v="1"/>
  </r>
  <r>
    <x v="480"/>
    <d v="2020-02-10T00:00:00"/>
    <x v="2"/>
    <n v="879"/>
    <n v="-2275"/>
    <x v="2"/>
    <n v="-879"/>
    <x v="1"/>
  </r>
  <r>
    <x v="480"/>
    <d v="2020-02-17T00:00:00"/>
    <x v="2"/>
    <n v="123"/>
    <n v="-2398"/>
    <x v="2"/>
    <n v="-123"/>
    <x v="1"/>
  </r>
  <r>
    <x v="480"/>
    <d v="2020-02-27T00:00:00"/>
    <x v="1"/>
    <n v="507"/>
    <n v="-2905"/>
    <x v="2"/>
    <n v="-507"/>
    <x v="1"/>
  </r>
  <r>
    <x v="480"/>
    <d v="2020-03-09T00:00:00"/>
    <x v="2"/>
    <n v="431"/>
    <n v="-3336"/>
    <x v="1"/>
    <n v="-431"/>
    <x v="1"/>
  </r>
  <r>
    <x v="480"/>
    <d v="2020-03-16T00:00:00"/>
    <x v="2"/>
    <n v="179"/>
    <n v="-3515"/>
    <x v="1"/>
    <n v="-179"/>
    <x v="1"/>
  </r>
  <r>
    <x v="480"/>
    <d v="2020-03-16T00:00:00"/>
    <x v="2"/>
    <n v="726"/>
    <n v="-4241"/>
    <x v="1"/>
    <n v="-726"/>
    <x v="1"/>
  </r>
  <r>
    <x v="480"/>
    <d v="2020-03-25T00:00:00"/>
    <x v="0"/>
    <n v="39"/>
    <n v="-4202"/>
    <x v="1"/>
    <n v="39"/>
    <x v="1"/>
  </r>
  <r>
    <x v="480"/>
    <d v="2020-03-29T00:00:00"/>
    <x v="0"/>
    <n v="808"/>
    <n v="-3394"/>
    <x v="1"/>
    <n v="808"/>
    <x v="1"/>
  </r>
  <r>
    <x v="481"/>
    <d v="2020-01-01T00:00:00"/>
    <x v="0"/>
    <n v="674"/>
    <n v="674"/>
    <x v="0"/>
    <n v="674"/>
    <x v="0"/>
  </r>
  <r>
    <x v="481"/>
    <d v="2020-01-06T00:00:00"/>
    <x v="2"/>
    <n v="547"/>
    <n v="127"/>
    <x v="0"/>
    <n v="-547"/>
    <x v="0"/>
  </r>
  <r>
    <x v="481"/>
    <d v="2020-01-09T00:00:00"/>
    <x v="2"/>
    <n v="60"/>
    <n v="67"/>
    <x v="0"/>
    <n v="-60"/>
    <x v="0"/>
  </r>
  <r>
    <x v="481"/>
    <d v="2020-01-19T00:00:00"/>
    <x v="0"/>
    <n v="764"/>
    <n v="831"/>
    <x v="0"/>
    <n v="764"/>
    <x v="0"/>
  </r>
  <r>
    <x v="481"/>
    <d v="2020-01-29T00:00:00"/>
    <x v="2"/>
    <n v="445"/>
    <n v="386"/>
    <x v="0"/>
    <n v="-445"/>
    <x v="0"/>
  </r>
  <r>
    <x v="481"/>
    <d v="2020-02-04T00:00:00"/>
    <x v="2"/>
    <n v="656"/>
    <n v="-270"/>
    <x v="2"/>
    <n v="-656"/>
    <x v="1"/>
  </r>
  <r>
    <x v="481"/>
    <d v="2020-02-19T00:00:00"/>
    <x v="2"/>
    <n v="26"/>
    <n v="-296"/>
    <x v="2"/>
    <n v="-26"/>
    <x v="1"/>
  </r>
  <r>
    <x v="481"/>
    <d v="2020-02-22T00:00:00"/>
    <x v="2"/>
    <n v="597"/>
    <n v="-893"/>
    <x v="2"/>
    <n v="-597"/>
    <x v="1"/>
  </r>
  <r>
    <x v="481"/>
    <d v="2020-02-25T00:00:00"/>
    <x v="0"/>
    <n v="206"/>
    <n v="-687"/>
    <x v="2"/>
    <n v="206"/>
    <x v="1"/>
  </r>
  <r>
    <x v="481"/>
    <d v="2020-03-05T00:00:00"/>
    <x v="1"/>
    <n v="646"/>
    <n v="-1333"/>
    <x v="1"/>
    <n v="-646"/>
    <x v="1"/>
  </r>
  <r>
    <x v="481"/>
    <d v="2020-03-05T00:00:00"/>
    <x v="0"/>
    <n v="413"/>
    <n v="-920"/>
    <x v="1"/>
    <n v="413"/>
    <x v="1"/>
  </r>
  <r>
    <x v="481"/>
    <d v="2020-03-05T00:00:00"/>
    <x v="2"/>
    <n v="336"/>
    <n v="-1256"/>
    <x v="1"/>
    <n v="-336"/>
    <x v="1"/>
  </r>
  <r>
    <x v="482"/>
    <d v="2020-01-18T00:00:00"/>
    <x v="0"/>
    <n v="481"/>
    <n v="481"/>
    <x v="0"/>
    <n v="481"/>
    <x v="0"/>
  </r>
  <r>
    <x v="482"/>
    <d v="2020-01-24T00:00:00"/>
    <x v="0"/>
    <n v="588"/>
    <n v="1069"/>
    <x v="0"/>
    <n v="588"/>
    <x v="0"/>
  </r>
  <r>
    <x v="482"/>
    <d v="2020-01-24T00:00:00"/>
    <x v="0"/>
    <n v="126"/>
    <n v="1195"/>
    <x v="0"/>
    <n v="126"/>
    <x v="0"/>
  </r>
  <r>
    <x v="482"/>
    <d v="2020-01-27T00:00:00"/>
    <x v="1"/>
    <n v="36"/>
    <n v="1159"/>
    <x v="0"/>
    <n v="-36"/>
    <x v="0"/>
  </r>
  <r>
    <x v="482"/>
    <d v="2020-01-30T00:00:00"/>
    <x v="0"/>
    <n v="879"/>
    <n v="2038"/>
    <x v="0"/>
    <n v="879"/>
    <x v="0"/>
  </r>
  <r>
    <x v="482"/>
    <d v="2020-03-06T00:00:00"/>
    <x v="2"/>
    <n v="371"/>
    <n v="1667"/>
    <x v="1"/>
    <n v="-371"/>
    <x v="0"/>
  </r>
  <r>
    <x v="482"/>
    <d v="2020-03-06T00:00:00"/>
    <x v="0"/>
    <n v="837"/>
    <n v="2504"/>
    <x v="1"/>
    <n v="837"/>
    <x v="0"/>
  </r>
  <r>
    <x v="482"/>
    <d v="2020-03-07T00:00:00"/>
    <x v="0"/>
    <n v="299"/>
    <n v="2803"/>
    <x v="1"/>
    <n v="299"/>
    <x v="0"/>
  </r>
  <r>
    <x v="482"/>
    <d v="2020-03-12T00:00:00"/>
    <x v="2"/>
    <n v="892"/>
    <n v="1911"/>
    <x v="1"/>
    <n v="-892"/>
    <x v="0"/>
  </r>
  <r>
    <x v="482"/>
    <d v="2020-03-14T00:00:00"/>
    <x v="2"/>
    <n v="199"/>
    <n v="1712"/>
    <x v="1"/>
    <n v="-199"/>
    <x v="0"/>
  </r>
  <r>
    <x v="482"/>
    <d v="2020-03-28T00:00:00"/>
    <x v="2"/>
    <n v="975"/>
    <n v="737"/>
    <x v="1"/>
    <n v="-975"/>
    <x v="0"/>
  </r>
  <r>
    <x v="482"/>
    <d v="2020-03-30T00:00:00"/>
    <x v="2"/>
    <n v="926"/>
    <n v="-189"/>
    <x v="1"/>
    <n v="-926"/>
    <x v="1"/>
  </r>
  <r>
    <x v="482"/>
    <d v="2020-04-03T00:00:00"/>
    <x v="0"/>
    <n v="293"/>
    <n v="104"/>
    <x v="3"/>
    <n v="293"/>
    <x v="0"/>
  </r>
  <r>
    <x v="482"/>
    <d v="2020-04-14T00:00:00"/>
    <x v="0"/>
    <n v="650"/>
    <n v="754"/>
    <x v="3"/>
    <n v="650"/>
    <x v="0"/>
  </r>
  <r>
    <x v="482"/>
    <d v="2020-04-15T00:00:00"/>
    <x v="0"/>
    <n v="576"/>
    <n v="1330"/>
    <x v="3"/>
    <n v="576"/>
    <x v="0"/>
  </r>
  <r>
    <x v="483"/>
    <d v="2020-01-28T00:00:00"/>
    <x v="0"/>
    <n v="871"/>
    <n v="871"/>
    <x v="0"/>
    <n v="871"/>
    <x v="0"/>
  </r>
  <r>
    <x v="483"/>
    <d v="2020-03-23T00:00:00"/>
    <x v="2"/>
    <n v="56"/>
    <n v="815"/>
    <x v="1"/>
    <n v="-56"/>
    <x v="0"/>
  </r>
  <r>
    <x v="483"/>
    <d v="2020-03-25T00:00:00"/>
    <x v="0"/>
    <n v="981"/>
    <n v="1796"/>
    <x v="1"/>
    <n v="981"/>
    <x v="0"/>
  </r>
  <r>
    <x v="484"/>
    <d v="2020-01-03T00:00:00"/>
    <x v="0"/>
    <n v="524"/>
    <n v="524"/>
    <x v="0"/>
    <n v="524"/>
    <x v="0"/>
  </r>
  <r>
    <x v="484"/>
    <d v="2020-01-21T00:00:00"/>
    <x v="1"/>
    <n v="508"/>
    <n v="16"/>
    <x v="0"/>
    <n v="-508"/>
    <x v="0"/>
  </r>
  <r>
    <x v="484"/>
    <d v="2020-02-11T00:00:00"/>
    <x v="0"/>
    <n v="827"/>
    <n v="843"/>
    <x v="2"/>
    <n v="827"/>
    <x v="0"/>
  </r>
  <r>
    <x v="484"/>
    <d v="2020-02-17T00:00:00"/>
    <x v="0"/>
    <n v="664"/>
    <n v="1507"/>
    <x v="2"/>
    <n v="664"/>
    <x v="0"/>
  </r>
  <r>
    <x v="484"/>
    <d v="2020-03-01T00:00:00"/>
    <x v="0"/>
    <n v="877"/>
    <n v="2384"/>
    <x v="1"/>
    <n v="877"/>
    <x v="0"/>
  </r>
  <r>
    <x v="484"/>
    <d v="2020-03-14T00:00:00"/>
    <x v="2"/>
    <n v="802"/>
    <n v="1582"/>
    <x v="1"/>
    <n v="-802"/>
    <x v="0"/>
  </r>
  <r>
    <x v="484"/>
    <d v="2020-03-24T00:00:00"/>
    <x v="0"/>
    <n v="620"/>
    <n v="2202"/>
    <x v="1"/>
    <n v="620"/>
    <x v="0"/>
  </r>
  <r>
    <x v="485"/>
    <d v="2020-01-11T00:00:00"/>
    <x v="0"/>
    <n v="412"/>
    <n v="412"/>
    <x v="0"/>
    <n v="412"/>
    <x v="0"/>
  </r>
  <r>
    <x v="485"/>
    <d v="2020-01-21T00:00:00"/>
    <x v="2"/>
    <n v="308"/>
    <n v="104"/>
    <x v="0"/>
    <n v="-308"/>
    <x v="0"/>
  </r>
  <r>
    <x v="485"/>
    <d v="2020-01-22T00:00:00"/>
    <x v="1"/>
    <n v="854"/>
    <n v="-750"/>
    <x v="0"/>
    <n v="-854"/>
    <x v="1"/>
  </r>
  <r>
    <x v="485"/>
    <d v="2020-01-30T00:00:00"/>
    <x v="2"/>
    <n v="882"/>
    <n v="-1632"/>
    <x v="0"/>
    <n v="-882"/>
    <x v="1"/>
  </r>
  <r>
    <x v="485"/>
    <d v="2020-02-08T00:00:00"/>
    <x v="2"/>
    <n v="618"/>
    <n v="-2250"/>
    <x v="2"/>
    <n v="-618"/>
    <x v="1"/>
  </r>
  <r>
    <x v="485"/>
    <d v="2020-03-10T00:00:00"/>
    <x v="2"/>
    <n v="858"/>
    <n v="-3108"/>
    <x v="1"/>
    <n v="-858"/>
    <x v="1"/>
  </r>
  <r>
    <x v="486"/>
    <d v="2020-01-15T00:00:00"/>
    <x v="0"/>
    <n v="39"/>
    <n v="39"/>
    <x v="0"/>
    <n v="39"/>
    <x v="0"/>
  </r>
  <r>
    <x v="486"/>
    <d v="2020-01-17T00:00:00"/>
    <x v="0"/>
    <n v="24"/>
    <n v="63"/>
    <x v="0"/>
    <n v="24"/>
    <x v="0"/>
  </r>
  <r>
    <x v="486"/>
    <d v="2020-01-18T00:00:00"/>
    <x v="0"/>
    <n v="372"/>
    <n v="435"/>
    <x v="0"/>
    <n v="372"/>
    <x v="0"/>
  </r>
  <r>
    <x v="486"/>
    <d v="2020-01-25T00:00:00"/>
    <x v="1"/>
    <n v="451"/>
    <n v="-16"/>
    <x v="0"/>
    <n v="-451"/>
    <x v="1"/>
  </r>
  <r>
    <x v="486"/>
    <d v="2020-01-31T00:00:00"/>
    <x v="1"/>
    <n v="556"/>
    <n v="-572"/>
    <x v="0"/>
    <n v="-556"/>
    <x v="1"/>
  </r>
  <r>
    <x v="486"/>
    <d v="2020-02-03T00:00:00"/>
    <x v="2"/>
    <n v="118"/>
    <n v="-690"/>
    <x v="2"/>
    <n v="-118"/>
    <x v="1"/>
  </r>
  <r>
    <x v="486"/>
    <d v="2020-02-05T00:00:00"/>
    <x v="2"/>
    <n v="620"/>
    <n v="-1310"/>
    <x v="2"/>
    <n v="-620"/>
    <x v="1"/>
  </r>
  <r>
    <x v="486"/>
    <d v="2020-02-05T00:00:00"/>
    <x v="0"/>
    <n v="861"/>
    <n v="-449"/>
    <x v="2"/>
    <n v="861"/>
    <x v="1"/>
  </r>
  <r>
    <x v="486"/>
    <d v="2020-02-06T00:00:00"/>
    <x v="1"/>
    <n v="702"/>
    <n v="-1151"/>
    <x v="2"/>
    <n v="-702"/>
    <x v="1"/>
  </r>
  <r>
    <x v="486"/>
    <d v="2020-02-16T00:00:00"/>
    <x v="0"/>
    <n v="421"/>
    <n v="-730"/>
    <x v="2"/>
    <n v="421"/>
    <x v="1"/>
  </r>
  <r>
    <x v="486"/>
    <d v="2020-02-21T00:00:00"/>
    <x v="0"/>
    <n v="165"/>
    <n v="-565"/>
    <x v="2"/>
    <n v="165"/>
    <x v="1"/>
  </r>
  <r>
    <x v="486"/>
    <d v="2020-02-22T00:00:00"/>
    <x v="0"/>
    <n v="877"/>
    <n v="312"/>
    <x v="2"/>
    <n v="877"/>
    <x v="0"/>
  </r>
  <r>
    <x v="486"/>
    <d v="2020-03-24T00:00:00"/>
    <x v="2"/>
    <n v="150"/>
    <n v="162"/>
    <x v="1"/>
    <n v="-150"/>
    <x v="0"/>
  </r>
  <r>
    <x v="486"/>
    <d v="2020-04-03T00:00:00"/>
    <x v="1"/>
    <n v="965"/>
    <n v="-803"/>
    <x v="3"/>
    <n v="-965"/>
    <x v="1"/>
  </r>
  <r>
    <x v="486"/>
    <d v="2020-04-11T00:00:00"/>
    <x v="0"/>
    <n v="473"/>
    <n v="-330"/>
    <x v="3"/>
    <n v="473"/>
    <x v="1"/>
  </r>
  <r>
    <x v="487"/>
    <d v="2020-01-08T00:00:00"/>
    <x v="0"/>
    <n v="304"/>
    <n v="304"/>
    <x v="0"/>
    <n v="304"/>
    <x v="0"/>
  </r>
  <r>
    <x v="487"/>
    <d v="2020-01-11T00:00:00"/>
    <x v="2"/>
    <n v="547"/>
    <n v="-243"/>
    <x v="0"/>
    <n v="-547"/>
    <x v="1"/>
  </r>
  <r>
    <x v="487"/>
    <d v="2020-02-04T00:00:00"/>
    <x v="0"/>
    <n v="191"/>
    <n v="-52"/>
    <x v="2"/>
    <n v="191"/>
    <x v="1"/>
  </r>
  <r>
    <x v="487"/>
    <d v="2020-02-21T00:00:00"/>
    <x v="0"/>
    <n v="349"/>
    <n v="297"/>
    <x v="2"/>
    <n v="349"/>
    <x v="0"/>
  </r>
  <r>
    <x v="487"/>
    <d v="2020-03-11T00:00:00"/>
    <x v="2"/>
    <n v="709"/>
    <n v="-412"/>
    <x v="1"/>
    <n v="-709"/>
    <x v="1"/>
  </r>
  <r>
    <x v="487"/>
    <d v="2020-04-01T00:00:00"/>
    <x v="0"/>
    <n v="221"/>
    <n v="-191"/>
    <x v="3"/>
    <n v="221"/>
    <x v="1"/>
  </r>
  <r>
    <x v="488"/>
    <d v="2020-01-15T00:00:00"/>
    <x v="0"/>
    <n v="556"/>
    <n v="556"/>
    <x v="0"/>
    <n v="556"/>
    <x v="0"/>
  </r>
  <r>
    <x v="488"/>
    <d v="2020-02-10T00:00:00"/>
    <x v="0"/>
    <n v="545"/>
    <n v="1101"/>
    <x v="2"/>
    <n v="545"/>
    <x v="0"/>
  </r>
  <r>
    <x v="488"/>
    <d v="2020-02-16T00:00:00"/>
    <x v="1"/>
    <n v="603"/>
    <n v="498"/>
    <x v="2"/>
    <n v="-603"/>
    <x v="0"/>
  </r>
  <r>
    <x v="488"/>
    <d v="2020-02-17T00:00:00"/>
    <x v="0"/>
    <n v="770"/>
    <n v="1268"/>
    <x v="2"/>
    <n v="770"/>
    <x v="0"/>
  </r>
  <r>
    <x v="488"/>
    <d v="2020-02-28T00:00:00"/>
    <x v="0"/>
    <n v="540"/>
    <n v="1808"/>
    <x v="2"/>
    <n v="540"/>
    <x v="0"/>
  </r>
  <r>
    <x v="488"/>
    <d v="2020-03-09T00:00:00"/>
    <x v="0"/>
    <n v="912"/>
    <n v="2720"/>
    <x v="1"/>
    <n v="912"/>
    <x v="0"/>
  </r>
  <r>
    <x v="488"/>
    <d v="2020-03-10T00:00:00"/>
    <x v="0"/>
    <n v="981"/>
    <n v="3701"/>
    <x v="1"/>
    <n v="981"/>
    <x v="0"/>
  </r>
  <r>
    <x v="488"/>
    <d v="2020-03-23T00:00:00"/>
    <x v="1"/>
    <n v="63"/>
    <n v="3638"/>
    <x v="1"/>
    <n v="-63"/>
    <x v="0"/>
  </r>
  <r>
    <x v="488"/>
    <d v="2020-03-26T00:00:00"/>
    <x v="1"/>
    <n v="527"/>
    <n v="3111"/>
    <x v="1"/>
    <n v="-527"/>
    <x v="0"/>
  </r>
  <r>
    <x v="488"/>
    <d v="2020-03-28T00:00:00"/>
    <x v="0"/>
    <n v="231"/>
    <n v="3342"/>
    <x v="1"/>
    <n v="231"/>
    <x v="0"/>
  </r>
  <r>
    <x v="488"/>
    <d v="2020-04-05T00:00:00"/>
    <x v="2"/>
    <n v="31"/>
    <n v="3311"/>
    <x v="3"/>
    <n v="-31"/>
    <x v="0"/>
  </r>
  <r>
    <x v="488"/>
    <d v="2020-04-09T00:00:00"/>
    <x v="0"/>
    <n v="673"/>
    <n v="3984"/>
    <x v="3"/>
    <n v="673"/>
    <x v="0"/>
  </r>
  <r>
    <x v="488"/>
    <d v="2020-04-10T00:00:00"/>
    <x v="0"/>
    <n v="826"/>
    <n v="4810"/>
    <x v="3"/>
    <n v="826"/>
    <x v="0"/>
  </r>
  <r>
    <x v="488"/>
    <d v="2020-04-11T00:00:00"/>
    <x v="2"/>
    <n v="114"/>
    <n v="4696"/>
    <x v="3"/>
    <n v="-114"/>
    <x v="0"/>
  </r>
  <r>
    <x v="488"/>
    <d v="2020-04-11T00:00:00"/>
    <x v="1"/>
    <n v="66"/>
    <n v="4630"/>
    <x v="3"/>
    <n v="-66"/>
    <x v="0"/>
  </r>
  <r>
    <x v="488"/>
    <d v="2020-04-12T00:00:00"/>
    <x v="0"/>
    <n v="523"/>
    <n v="5153"/>
    <x v="3"/>
    <n v="523"/>
    <x v="0"/>
  </r>
  <r>
    <x v="488"/>
    <d v="2020-04-12T00:00:00"/>
    <x v="0"/>
    <n v="185"/>
    <n v="5338"/>
    <x v="3"/>
    <n v="185"/>
    <x v="0"/>
  </r>
  <r>
    <x v="489"/>
    <d v="2020-01-23T00:00:00"/>
    <x v="0"/>
    <n v="271"/>
    <n v="271"/>
    <x v="0"/>
    <n v="271"/>
    <x v="0"/>
  </r>
  <r>
    <x v="489"/>
    <d v="2020-02-25T00:00:00"/>
    <x v="0"/>
    <n v="447"/>
    <n v="718"/>
    <x v="2"/>
    <n v="447"/>
    <x v="0"/>
  </r>
  <r>
    <x v="489"/>
    <d v="2020-02-28T00:00:00"/>
    <x v="1"/>
    <n v="376"/>
    <n v="342"/>
    <x v="2"/>
    <n v="-376"/>
    <x v="0"/>
  </r>
  <r>
    <x v="489"/>
    <d v="2020-04-07T00:00:00"/>
    <x v="1"/>
    <n v="318"/>
    <n v="24"/>
    <x v="3"/>
    <n v="-318"/>
    <x v="0"/>
  </r>
  <r>
    <x v="490"/>
    <d v="2020-01-08T00:00:00"/>
    <x v="0"/>
    <n v="18"/>
    <n v="18"/>
    <x v="0"/>
    <n v="18"/>
    <x v="0"/>
  </r>
  <r>
    <x v="490"/>
    <d v="2020-01-19T00:00:00"/>
    <x v="2"/>
    <n v="837"/>
    <n v="-819"/>
    <x v="0"/>
    <n v="-837"/>
    <x v="1"/>
  </r>
  <r>
    <x v="490"/>
    <d v="2020-01-27T00:00:00"/>
    <x v="0"/>
    <n v="943"/>
    <n v="124"/>
    <x v="0"/>
    <n v="943"/>
    <x v="0"/>
  </r>
  <r>
    <x v="490"/>
    <d v="2020-01-30T00:00:00"/>
    <x v="1"/>
    <n v="127"/>
    <n v="-3"/>
    <x v="0"/>
    <n v="-127"/>
    <x v="1"/>
  </r>
  <r>
    <x v="490"/>
    <d v="2020-02-07T00:00:00"/>
    <x v="0"/>
    <n v="3"/>
    <n v="0"/>
    <x v="2"/>
    <n v="3"/>
    <x v="0"/>
  </r>
  <r>
    <x v="490"/>
    <d v="2020-02-09T00:00:00"/>
    <x v="0"/>
    <n v="442"/>
    <n v="442"/>
    <x v="2"/>
    <n v="442"/>
    <x v="0"/>
  </r>
  <r>
    <x v="490"/>
    <d v="2020-02-11T00:00:00"/>
    <x v="2"/>
    <n v="656"/>
    <n v="-214"/>
    <x v="2"/>
    <n v="-656"/>
    <x v="1"/>
  </r>
  <r>
    <x v="490"/>
    <d v="2020-02-24T00:00:00"/>
    <x v="0"/>
    <n v="512"/>
    <n v="298"/>
    <x v="2"/>
    <n v="512"/>
    <x v="0"/>
  </r>
  <r>
    <x v="490"/>
    <d v="2020-03-04T00:00:00"/>
    <x v="2"/>
    <n v="334"/>
    <n v="-36"/>
    <x v="1"/>
    <n v="-334"/>
    <x v="1"/>
  </r>
  <r>
    <x v="490"/>
    <d v="2020-03-04T00:00:00"/>
    <x v="2"/>
    <n v="921"/>
    <n v="-957"/>
    <x v="1"/>
    <n v="-921"/>
    <x v="1"/>
  </r>
  <r>
    <x v="490"/>
    <d v="2020-03-08T00:00:00"/>
    <x v="1"/>
    <n v="526"/>
    <n v="-1483"/>
    <x v="1"/>
    <n v="-526"/>
    <x v="1"/>
  </r>
  <r>
    <x v="490"/>
    <d v="2020-03-12T00:00:00"/>
    <x v="0"/>
    <n v="892"/>
    <n v="-591"/>
    <x v="1"/>
    <n v="892"/>
    <x v="1"/>
  </r>
  <r>
    <x v="490"/>
    <d v="2020-03-18T00:00:00"/>
    <x v="2"/>
    <n v="759"/>
    <n v="-1350"/>
    <x v="1"/>
    <n v="-759"/>
    <x v="1"/>
  </r>
  <r>
    <x v="490"/>
    <d v="2020-03-28T00:00:00"/>
    <x v="1"/>
    <n v="969"/>
    <n v="-2319"/>
    <x v="1"/>
    <n v="-969"/>
    <x v="1"/>
  </r>
  <r>
    <x v="491"/>
    <d v="2020-01-05T00:00:00"/>
    <x v="0"/>
    <n v="812"/>
    <n v="812"/>
    <x v="0"/>
    <n v="812"/>
    <x v="0"/>
  </r>
  <r>
    <x v="491"/>
    <d v="2020-01-10T00:00:00"/>
    <x v="1"/>
    <n v="881"/>
    <n v="-69"/>
    <x v="0"/>
    <n v="-881"/>
    <x v="1"/>
  </r>
  <r>
    <x v="491"/>
    <d v="2020-01-13T00:00:00"/>
    <x v="1"/>
    <n v="368"/>
    <n v="-437"/>
    <x v="0"/>
    <n v="-368"/>
    <x v="1"/>
  </r>
  <r>
    <x v="491"/>
    <d v="2020-01-19T00:00:00"/>
    <x v="2"/>
    <n v="418"/>
    <n v="-855"/>
    <x v="0"/>
    <n v="-418"/>
    <x v="1"/>
  </r>
  <r>
    <x v="491"/>
    <d v="2020-01-27T00:00:00"/>
    <x v="1"/>
    <n v="999"/>
    <n v="-1854"/>
    <x v="0"/>
    <n v="-999"/>
    <x v="1"/>
  </r>
  <r>
    <x v="491"/>
    <d v="2020-01-29T00:00:00"/>
    <x v="0"/>
    <n v="171"/>
    <n v="-1683"/>
    <x v="0"/>
    <n v="171"/>
    <x v="1"/>
  </r>
  <r>
    <x v="491"/>
    <d v="2020-01-30T00:00:00"/>
    <x v="0"/>
    <n v="945"/>
    <n v="-738"/>
    <x v="0"/>
    <n v="945"/>
    <x v="1"/>
  </r>
  <r>
    <x v="491"/>
    <d v="2020-02-15T00:00:00"/>
    <x v="2"/>
    <n v="674"/>
    <n v="-1412"/>
    <x v="2"/>
    <n v="-674"/>
    <x v="1"/>
  </r>
  <r>
    <x v="491"/>
    <d v="2020-02-28T00:00:00"/>
    <x v="0"/>
    <n v="13"/>
    <n v="-1399"/>
    <x v="2"/>
    <n v="13"/>
    <x v="1"/>
  </r>
  <r>
    <x v="491"/>
    <d v="2020-03-07T00:00:00"/>
    <x v="1"/>
    <n v="32"/>
    <n v="-1431"/>
    <x v="1"/>
    <n v="-32"/>
    <x v="1"/>
  </r>
  <r>
    <x v="491"/>
    <d v="2020-03-09T00:00:00"/>
    <x v="1"/>
    <n v="53"/>
    <n v="-1484"/>
    <x v="1"/>
    <n v="-53"/>
    <x v="1"/>
  </r>
  <r>
    <x v="491"/>
    <d v="2020-03-10T00:00:00"/>
    <x v="0"/>
    <n v="299"/>
    <n v="-1185"/>
    <x v="1"/>
    <n v="299"/>
    <x v="1"/>
  </r>
  <r>
    <x v="491"/>
    <d v="2020-03-14T00:00:00"/>
    <x v="2"/>
    <n v="367"/>
    <n v="-1552"/>
    <x v="1"/>
    <n v="-367"/>
    <x v="1"/>
  </r>
  <r>
    <x v="491"/>
    <d v="2020-03-27T00:00:00"/>
    <x v="2"/>
    <n v="581"/>
    <n v="-2133"/>
    <x v="1"/>
    <n v="-581"/>
    <x v="1"/>
  </r>
  <r>
    <x v="492"/>
    <d v="2020-01-15T00:00:00"/>
    <x v="0"/>
    <n v="845"/>
    <n v="845"/>
    <x v="0"/>
    <n v="845"/>
    <x v="0"/>
  </r>
  <r>
    <x v="492"/>
    <d v="2020-02-14T00:00:00"/>
    <x v="2"/>
    <n v="483"/>
    <n v="362"/>
    <x v="2"/>
    <n v="-483"/>
    <x v="0"/>
  </r>
  <r>
    <x v="492"/>
    <d v="2020-02-14T00:00:00"/>
    <x v="0"/>
    <n v="173"/>
    <n v="535"/>
    <x v="2"/>
    <n v="173"/>
    <x v="0"/>
  </r>
  <r>
    <x v="492"/>
    <d v="2020-02-20T00:00:00"/>
    <x v="2"/>
    <n v="894"/>
    <n v="-359"/>
    <x v="2"/>
    <n v="-894"/>
    <x v="1"/>
  </r>
  <r>
    <x v="492"/>
    <d v="2020-02-29T00:00:00"/>
    <x v="2"/>
    <n v="465"/>
    <n v="-824"/>
    <x v="2"/>
    <n v="-465"/>
    <x v="1"/>
  </r>
  <r>
    <x v="492"/>
    <d v="2020-04-07T00:00:00"/>
    <x v="0"/>
    <n v="918"/>
    <n v="94"/>
    <x v="3"/>
    <n v="918"/>
    <x v="0"/>
  </r>
  <r>
    <x v="492"/>
    <d v="2020-04-12T00:00:00"/>
    <x v="2"/>
    <n v="832"/>
    <n v="-738"/>
    <x v="3"/>
    <n v="-832"/>
    <x v="1"/>
  </r>
  <r>
    <x v="493"/>
    <d v="2020-01-20T00:00:00"/>
    <x v="0"/>
    <n v="529"/>
    <n v="529"/>
    <x v="0"/>
    <n v="529"/>
    <x v="0"/>
  </r>
  <r>
    <x v="493"/>
    <d v="2020-02-03T00:00:00"/>
    <x v="2"/>
    <n v="286"/>
    <n v="243"/>
    <x v="2"/>
    <n v="-286"/>
    <x v="0"/>
  </r>
  <r>
    <x v="493"/>
    <d v="2020-02-13T00:00:00"/>
    <x v="0"/>
    <n v="666"/>
    <n v="909"/>
    <x v="2"/>
    <n v="666"/>
    <x v="0"/>
  </r>
  <r>
    <x v="493"/>
    <d v="2020-03-12T00:00:00"/>
    <x v="0"/>
    <n v="538"/>
    <n v="1447"/>
    <x v="1"/>
    <n v="538"/>
    <x v="0"/>
  </r>
  <r>
    <x v="494"/>
    <d v="2020-01-17T00:00:00"/>
    <x v="0"/>
    <n v="433"/>
    <n v="433"/>
    <x v="0"/>
    <n v="433"/>
    <x v="0"/>
  </r>
  <r>
    <x v="494"/>
    <d v="2020-01-24T00:00:00"/>
    <x v="1"/>
    <n v="719"/>
    <n v="-286"/>
    <x v="0"/>
    <n v="-719"/>
    <x v="1"/>
  </r>
  <r>
    <x v="494"/>
    <d v="2020-02-17T00:00:00"/>
    <x v="1"/>
    <n v="422"/>
    <n v="-708"/>
    <x v="2"/>
    <n v="-422"/>
    <x v="1"/>
  </r>
  <r>
    <x v="494"/>
    <d v="2020-02-17T00:00:00"/>
    <x v="0"/>
    <n v="32"/>
    <n v="-676"/>
    <x v="2"/>
    <n v="32"/>
    <x v="1"/>
  </r>
  <r>
    <x v="494"/>
    <d v="2020-02-27T00:00:00"/>
    <x v="2"/>
    <n v="762"/>
    <n v="-1438"/>
    <x v="2"/>
    <n v="-762"/>
    <x v="1"/>
  </r>
  <r>
    <x v="494"/>
    <d v="2020-03-21T00:00:00"/>
    <x v="0"/>
    <n v="811"/>
    <n v="-627"/>
    <x v="1"/>
    <n v="811"/>
    <x v="1"/>
  </r>
  <r>
    <x v="494"/>
    <d v="2020-03-28T00:00:00"/>
    <x v="0"/>
    <n v="538"/>
    <n v="-89"/>
    <x v="1"/>
    <n v="538"/>
    <x v="1"/>
  </r>
  <r>
    <x v="495"/>
    <d v="2020-01-06T00:00:00"/>
    <x v="0"/>
    <n v="47"/>
    <n v="47"/>
    <x v="0"/>
    <n v="47"/>
    <x v="0"/>
  </r>
  <r>
    <x v="495"/>
    <d v="2020-02-11T00:00:00"/>
    <x v="2"/>
    <n v="989"/>
    <n v="-942"/>
    <x v="2"/>
    <n v="-989"/>
    <x v="1"/>
  </r>
  <r>
    <x v="495"/>
    <d v="2020-02-19T00:00:00"/>
    <x v="1"/>
    <n v="939"/>
    <n v="-1881"/>
    <x v="2"/>
    <n v="-939"/>
    <x v="1"/>
  </r>
  <r>
    <x v="495"/>
    <d v="2020-02-19T00:00:00"/>
    <x v="2"/>
    <n v="614"/>
    <n v="-2495"/>
    <x v="2"/>
    <n v="-614"/>
    <x v="1"/>
  </r>
  <r>
    <x v="495"/>
    <d v="2020-02-22T00:00:00"/>
    <x v="2"/>
    <n v="581"/>
    <n v="-3076"/>
    <x v="2"/>
    <n v="-581"/>
    <x v="1"/>
  </r>
  <r>
    <x v="495"/>
    <d v="2020-03-14T00:00:00"/>
    <x v="0"/>
    <n v="650"/>
    <n v="-2426"/>
    <x v="1"/>
    <n v="650"/>
    <x v="1"/>
  </r>
  <r>
    <x v="496"/>
    <d v="2020-01-30T00:00:00"/>
    <x v="0"/>
    <n v="754"/>
    <n v="754"/>
    <x v="0"/>
    <n v="754"/>
    <x v="0"/>
  </r>
  <r>
    <x v="496"/>
    <d v="2020-02-15T00:00:00"/>
    <x v="1"/>
    <n v="291"/>
    <n v="463"/>
    <x v="2"/>
    <n v="-291"/>
    <x v="0"/>
  </r>
  <r>
    <x v="496"/>
    <d v="2020-02-17T00:00:00"/>
    <x v="0"/>
    <n v="540"/>
    <n v="1003"/>
    <x v="2"/>
    <n v="540"/>
    <x v="0"/>
  </r>
  <r>
    <x v="496"/>
    <d v="2020-03-07T00:00:00"/>
    <x v="0"/>
    <n v="736"/>
    <n v="1739"/>
    <x v="1"/>
    <n v="736"/>
    <x v="0"/>
  </r>
  <r>
    <x v="496"/>
    <d v="2020-04-21T00:00:00"/>
    <x v="0"/>
    <n v="942"/>
    <n v="2681"/>
    <x v="3"/>
    <n v="942"/>
    <x v="0"/>
  </r>
  <r>
    <x v="496"/>
    <d v="2020-04-24T00:00:00"/>
    <x v="1"/>
    <n v="1"/>
    <n v="2680"/>
    <x v="3"/>
    <n v="-1"/>
    <x v="0"/>
  </r>
  <r>
    <x v="497"/>
    <d v="2020-01-19T00:00:00"/>
    <x v="0"/>
    <n v="774"/>
    <n v="774"/>
    <x v="0"/>
    <n v="774"/>
    <x v="0"/>
  </r>
  <r>
    <x v="497"/>
    <d v="2020-01-28T00:00:00"/>
    <x v="0"/>
    <n v="277"/>
    <n v="1051"/>
    <x v="0"/>
    <n v="277"/>
    <x v="0"/>
  </r>
  <r>
    <x v="497"/>
    <d v="2020-01-31T00:00:00"/>
    <x v="0"/>
    <n v="309"/>
    <n v="1360"/>
    <x v="0"/>
    <n v="309"/>
    <x v="0"/>
  </r>
  <r>
    <x v="497"/>
    <d v="2020-02-05T00:00:00"/>
    <x v="0"/>
    <n v="835"/>
    <n v="2195"/>
    <x v="2"/>
    <n v="835"/>
    <x v="0"/>
  </r>
  <r>
    <x v="497"/>
    <d v="2020-03-12T00:00:00"/>
    <x v="0"/>
    <n v="225"/>
    <n v="2420"/>
    <x v="1"/>
    <n v="225"/>
    <x v="0"/>
  </r>
  <r>
    <x v="497"/>
    <d v="2020-03-16T00:00:00"/>
    <x v="0"/>
    <n v="296"/>
    <n v="2716"/>
    <x v="1"/>
    <n v="296"/>
    <x v="0"/>
  </r>
  <r>
    <x v="497"/>
    <d v="2020-03-25T00:00:00"/>
    <x v="0"/>
    <n v="973"/>
    <n v="3689"/>
    <x v="1"/>
    <n v="973"/>
    <x v="0"/>
  </r>
  <r>
    <x v="497"/>
    <d v="2020-03-25T00:00:00"/>
    <x v="1"/>
    <n v="700"/>
    <n v="2989"/>
    <x v="1"/>
    <n v="-700"/>
    <x v="0"/>
  </r>
  <r>
    <x v="497"/>
    <d v="2020-04-16T00:00:00"/>
    <x v="0"/>
    <n v="499"/>
    <n v="3488"/>
    <x v="3"/>
    <n v="499"/>
    <x v="0"/>
  </r>
  <r>
    <x v="498"/>
    <d v="2020-01-02T00:00:00"/>
    <x v="0"/>
    <n v="147"/>
    <n v="147"/>
    <x v="0"/>
    <n v="147"/>
    <x v="0"/>
  </r>
  <r>
    <x v="498"/>
    <d v="2020-01-04T00:00:00"/>
    <x v="0"/>
    <n v="849"/>
    <n v="996"/>
    <x v="0"/>
    <n v="849"/>
    <x v="0"/>
  </r>
  <r>
    <x v="498"/>
    <d v="2020-01-12T00:00:00"/>
    <x v="2"/>
    <n v="934"/>
    <n v="62"/>
    <x v="0"/>
    <n v="-934"/>
    <x v="0"/>
  </r>
  <r>
    <x v="498"/>
    <d v="2020-01-15T00:00:00"/>
    <x v="1"/>
    <n v="71"/>
    <n v="-9"/>
    <x v="0"/>
    <n v="-71"/>
    <x v="1"/>
  </r>
  <r>
    <x v="498"/>
    <d v="2020-01-18T00:00:00"/>
    <x v="0"/>
    <n v="150"/>
    <n v="141"/>
    <x v="0"/>
    <n v="150"/>
    <x v="0"/>
  </r>
  <r>
    <x v="498"/>
    <d v="2020-01-20T00:00:00"/>
    <x v="2"/>
    <n v="699"/>
    <n v="-558"/>
    <x v="0"/>
    <n v="-699"/>
    <x v="1"/>
  </r>
  <r>
    <x v="498"/>
    <d v="2020-01-31T00:00:00"/>
    <x v="0"/>
    <n v="254"/>
    <n v="-304"/>
    <x v="0"/>
    <n v="254"/>
    <x v="1"/>
  </r>
  <r>
    <x v="498"/>
    <d v="2020-02-10T00:00:00"/>
    <x v="0"/>
    <n v="925"/>
    <n v="621"/>
    <x v="2"/>
    <n v="925"/>
    <x v="0"/>
  </r>
  <r>
    <x v="498"/>
    <d v="2020-02-11T00:00:00"/>
    <x v="1"/>
    <n v="416"/>
    <n v="205"/>
    <x v="2"/>
    <n v="-416"/>
    <x v="0"/>
  </r>
  <r>
    <x v="498"/>
    <d v="2020-02-17T00:00:00"/>
    <x v="2"/>
    <n v="228"/>
    <n v="-23"/>
    <x v="2"/>
    <n v="-228"/>
    <x v="1"/>
  </r>
  <r>
    <x v="498"/>
    <d v="2020-02-20T00:00:00"/>
    <x v="0"/>
    <n v="547"/>
    <n v="524"/>
    <x v="2"/>
    <n v="547"/>
    <x v="0"/>
  </r>
  <r>
    <x v="498"/>
    <d v="2020-02-20T00:00:00"/>
    <x v="0"/>
    <n v="891"/>
    <n v="1415"/>
    <x v="2"/>
    <n v="891"/>
    <x v="0"/>
  </r>
  <r>
    <x v="498"/>
    <d v="2020-03-01T00:00:00"/>
    <x v="1"/>
    <n v="279"/>
    <n v="1136"/>
    <x v="1"/>
    <n v="-279"/>
    <x v="0"/>
  </r>
  <r>
    <x v="498"/>
    <d v="2020-03-04T00:00:00"/>
    <x v="1"/>
    <n v="367"/>
    <n v="769"/>
    <x v="1"/>
    <n v="-367"/>
    <x v="0"/>
  </r>
  <r>
    <x v="498"/>
    <d v="2020-03-12T00:00:00"/>
    <x v="0"/>
    <n v="754"/>
    <n v="1523"/>
    <x v="1"/>
    <n v="754"/>
    <x v="0"/>
  </r>
  <r>
    <x v="498"/>
    <d v="2020-03-15T00:00:00"/>
    <x v="1"/>
    <n v="627"/>
    <n v="896"/>
    <x v="1"/>
    <n v="-627"/>
    <x v="0"/>
  </r>
  <r>
    <x v="498"/>
    <d v="2020-03-17T00:00:00"/>
    <x v="2"/>
    <n v="297"/>
    <n v="599"/>
    <x v="1"/>
    <n v="-297"/>
    <x v="0"/>
  </r>
  <r>
    <x v="499"/>
    <d v="2020-01-16T00:00:00"/>
    <x v="0"/>
    <n v="909"/>
    <n v="909"/>
    <x v="0"/>
    <n v="909"/>
    <x v="0"/>
  </r>
  <r>
    <x v="499"/>
    <d v="2020-01-16T00:00:00"/>
    <x v="0"/>
    <n v="227"/>
    <n v="1136"/>
    <x v="0"/>
    <n v="227"/>
    <x v="0"/>
  </r>
  <r>
    <x v="499"/>
    <d v="2020-01-18T00:00:00"/>
    <x v="0"/>
    <n v="308"/>
    <n v="1444"/>
    <x v="0"/>
    <n v="308"/>
    <x v="0"/>
  </r>
  <r>
    <x v="499"/>
    <d v="2020-01-25T00:00:00"/>
    <x v="2"/>
    <n v="986"/>
    <n v="458"/>
    <x v="0"/>
    <n v="-986"/>
    <x v="0"/>
  </r>
  <r>
    <x v="499"/>
    <d v="2020-01-27T00:00:00"/>
    <x v="0"/>
    <n v="214"/>
    <n v="672"/>
    <x v="0"/>
    <n v="214"/>
    <x v="0"/>
  </r>
  <r>
    <x v="499"/>
    <d v="2020-01-30T00:00:00"/>
    <x v="0"/>
    <n v="922"/>
    <n v="1594"/>
    <x v="0"/>
    <n v="922"/>
    <x v="0"/>
  </r>
  <r>
    <x v="499"/>
    <d v="2020-02-01T00:00:00"/>
    <x v="0"/>
    <n v="715"/>
    <n v="2309"/>
    <x v="2"/>
    <n v="715"/>
    <x v="0"/>
  </r>
  <r>
    <x v="499"/>
    <d v="2020-02-07T00:00:00"/>
    <x v="1"/>
    <n v="49"/>
    <n v="2260"/>
    <x v="2"/>
    <n v="-49"/>
    <x v="0"/>
  </r>
  <r>
    <x v="499"/>
    <d v="2020-02-23T00:00:00"/>
    <x v="0"/>
    <n v="721"/>
    <n v="2981"/>
    <x v="2"/>
    <n v="721"/>
    <x v="0"/>
  </r>
  <r>
    <x v="499"/>
    <d v="2020-03-01T00:00:00"/>
    <x v="1"/>
    <n v="929"/>
    <n v="2052"/>
    <x v="1"/>
    <n v="-929"/>
    <x v="0"/>
  </r>
  <r>
    <x v="499"/>
    <d v="2020-03-02T00:00:00"/>
    <x v="0"/>
    <n v="862"/>
    <n v="2914"/>
    <x v="1"/>
    <n v="862"/>
    <x v="0"/>
  </r>
  <r>
    <x v="499"/>
    <d v="2020-03-07T00:00:00"/>
    <x v="1"/>
    <n v="452"/>
    <n v="2462"/>
    <x v="1"/>
    <n v="-452"/>
    <x v="0"/>
  </r>
  <r>
    <x v="499"/>
    <d v="2020-03-11T00:00:00"/>
    <x v="1"/>
    <n v="426"/>
    <n v="2036"/>
    <x v="1"/>
    <n v="-426"/>
    <x v="0"/>
  </r>
  <r>
    <x v="499"/>
    <d v="2020-03-17T00:00:00"/>
    <x v="0"/>
    <n v="344"/>
    <n v="2380"/>
    <x v="1"/>
    <n v="344"/>
    <x v="0"/>
  </r>
  <r>
    <x v="499"/>
    <d v="2020-03-22T00:00:00"/>
    <x v="2"/>
    <n v="954"/>
    <n v="1426"/>
    <x v="1"/>
    <n v="-954"/>
    <x v="0"/>
  </r>
  <r>
    <x v="499"/>
    <d v="2020-03-25T00:00:00"/>
    <x v="0"/>
    <n v="825"/>
    <n v="2251"/>
    <x v="1"/>
    <n v="82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EC53A-AD59-48B5-AEB5-EED0FDF5532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4" firstHeaderRow="0" firstDataRow="1" firstDataCol="1"/>
  <pivotFields count="10">
    <pivotField axis="axisRow" showAll="0" measureFilter="1" sortType="ascending">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autoSortScope>
        <pivotArea dataOnly="0" outline="0" fieldPosition="0">
          <references count="1">
            <reference field="4294967294" count="1" selected="0">
              <x v="0"/>
            </reference>
          </references>
        </pivotArea>
      </autoSortScope>
    </pivotField>
    <pivotField numFmtId="14" showAll="0"/>
    <pivotField showAll="0">
      <items count="4">
        <item x="0"/>
        <item x="1"/>
        <item x="2"/>
        <item t="default"/>
      </items>
    </pivotField>
    <pivotField showAll="0"/>
    <pivotField dataField="1" showAll="0"/>
    <pivotField numFmtId="14" showAll="0">
      <items count="5">
        <item x="0"/>
        <item x="2"/>
        <item x="1"/>
        <item x="3"/>
        <item t="default"/>
      </items>
    </pivotField>
    <pivotField dataField="1" showAll="0"/>
    <pivotField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1">
    <i>
      <x v="178"/>
    </i>
    <i>
      <x v="282"/>
    </i>
    <i>
      <x v="404"/>
    </i>
    <i>
      <x v="355"/>
    </i>
    <i>
      <x v="182"/>
    </i>
    <i>
      <x v="476"/>
    </i>
    <i>
      <x v="472"/>
    </i>
    <i>
      <x v="131"/>
    </i>
    <i>
      <x v="441"/>
    </i>
    <i>
      <x v="205"/>
    </i>
    <i t="grand">
      <x/>
    </i>
  </rowItems>
  <colFields count="1">
    <field x="-2"/>
  </colFields>
  <colItems count="2">
    <i>
      <x/>
    </i>
    <i i="1">
      <x v="1"/>
    </i>
  </colItems>
  <dataFields count="2">
    <dataField name="Sum of signed_amount" fld="6" baseField="0" baseItem="0"/>
    <dataField name="Peak Balance" fld="4" subtotal="max"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C5DE6-0681-4053-8D00-9AE1A7363D1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0:B25" firstHeaderRow="1" firstDataRow="1" firstDataCol="1"/>
  <pivotFields count="10">
    <pivotField showAll="0"/>
    <pivotField numFmtId="14" showAll="0"/>
    <pivotField showAll="0">
      <items count="4">
        <item x="0"/>
        <item x="1"/>
        <item x="2"/>
        <item t="default"/>
      </items>
    </pivotField>
    <pivotField showAll="0"/>
    <pivotField showAll="0"/>
    <pivotField axis="axisRow" numFmtId="14" showAll="0">
      <items count="5">
        <item x="0"/>
        <item x="2"/>
        <item x="1"/>
        <item x="3"/>
        <item t="default"/>
      </items>
    </pivotField>
    <pivotField dataField="1" showAll="0"/>
    <pivotField showAll="0">
      <items count="3">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5"/>
  </rowFields>
  <rowItems count="5">
    <i>
      <x v="1"/>
    </i>
    <i>
      <x v="2"/>
    </i>
    <i>
      <x v="3"/>
    </i>
    <i>
      <x v="4"/>
    </i>
    <i t="grand">
      <x/>
    </i>
  </rowItems>
  <colItems count="1">
    <i/>
  </colItems>
  <dataFields count="1">
    <dataField name="Sum of signed_amount" fld="6" baseField="0" baseItem="0" numFmtId="3"/>
  </dataFields>
  <formats count="19">
    <format dxfId="6">
      <pivotArea type="all" dataOnly="0" outline="0" fieldPosition="0"/>
    </format>
    <format dxfId="7">
      <pivotArea type="all" dataOnly="0" outline="0" fieldPosition="0"/>
    </format>
    <format dxfId="8">
      <pivotArea outline="0" collapsedLevelsAreSubtotals="1" fieldPosition="0"/>
    </format>
    <format dxfId="9">
      <pivotArea type="origin" dataOnly="0" labelOnly="1" outline="0" fieldPosition="0"/>
    </format>
    <format dxfId="10">
      <pivotArea field="2" type="button" dataOnly="0" labelOnly="1" outline="0"/>
    </format>
    <format dxfId="11">
      <pivotArea type="topRight" dataOnly="0" labelOnly="1" outline="0" fieldPosition="0"/>
    </format>
    <format dxfId="12">
      <pivotArea field="9" type="button" dataOnly="0" labelOnly="1" outline="0" axis="axisRow" fieldPosition="0"/>
    </format>
    <format dxfId="13">
      <pivotArea dataOnly="0" labelOnly="1" fieldPosition="0">
        <references count="1">
          <reference field="9" count="4">
            <x v="1"/>
            <x v="2"/>
            <x v="3"/>
            <x v="4"/>
          </reference>
        </references>
      </pivotArea>
    </format>
    <format dxfId="14">
      <pivotArea dataOnly="0" labelOnly="1" grandRow="1" outline="0" fieldPosition="0"/>
    </format>
    <format dxfId="15">
      <pivotArea dataOnly="0" labelOnly="1" grandCol="1" outline="0" fieldPosition="0"/>
    </format>
    <format dxfId="16">
      <pivotArea type="all" dataOnly="0" outline="0" fieldPosition="0"/>
    </format>
    <format dxfId="17">
      <pivotArea outline="0" collapsedLevelsAreSubtotals="1" fieldPosition="0"/>
    </format>
    <format dxfId="18">
      <pivotArea type="origin" dataOnly="0" labelOnly="1" outline="0" fieldPosition="0"/>
    </format>
    <format dxfId="19">
      <pivotArea field="2" type="button" dataOnly="0" labelOnly="1" outline="0"/>
    </format>
    <format dxfId="20">
      <pivotArea type="topRight" dataOnly="0" labelOnly="1" outline="0" fieldPosition="0"/>
    </format>
    <format dxfId="21">
      <pivotArea field="9" type="button" dataOnly="0" labelOnly="1" outline="0" axis="axisRow" fieldPosition="0"/>
    </format>
    <format dxfId="22">
      <pivotArea dataOnly="0" labelOnly="1" fieldPosition="0">
        <references count="1">
          <reference field="9" count="4">
            <x v="1"/>
            <x v="2"/>
            <x v="3"/>
            <x v="4"/>
          </reference>
        </references>
      </pivotArea>
    </format>
    <format dxfId="23">
      <pivotArea dataOnly="0" labelOnly="1" grandRow="1" outline="0" fieldPosition="0"/>
    </format>
    <format dxfId="24">
      <pivotArea dataOnly="0" labelOnly="1" grandCol="1"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7">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9" count="1" selected="0">
            <x v="4"/>
          </reference>
        </references>
      </pivotArea>
    </chartFormat>
    <chartFormat chart="14" format="2">
      <pivotArea type="data" outline="0" fieldPosition="0">
        <references count="2">
          <reference field="4294967294" count="1" selected="0">
            <x v="0"/>
          </reference>
          <reference field="9"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9" count="1" selected="0">
            <x v="2"/>
          </reference>
        </references>
      </pivotArea>
    </chartFormat>
    <chartFormat chart="18" format="8">
      <pivotArea type="data" outline="0" fieldPosition="0">
        <references count="2">
          <reference field="4294967294" count="1" selected="0">
            <x v="0"/>
          </reference>
          <reference field="9" count="1" selected="0">
            <x v="4"/>
          </reference>
        </references>
      </pivotArea>
    </chartFormat>
    <chartFormat chart="18" format="9">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BA12D7-4F64-403D-AC46-516DEF8D76B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E14" firstHeaderRow="1" firstDataRow="2" firstDataCol="1"/>
  <pivotFields count="10">
    <pivotField showAll="0"/>
    <pivotField numFmtId="14" showAll="0"/>
    <pivotField axis="axisCol" showAll="0">
      <items count="4">
        <item x="0"/>
        <item x="1"/>
        <item x="2"/>
        <item t="default"/>
      </items>
    </pivotField>
    <pivotField showAll="0"/>
    <pivotField showAll="0"/>
    <pivotField axis="axisRow" numFmtId="14" showAll="0">
      <items count="5">
        <item x="0"/>
        <item x="2"/>
        <item x="1"/>
        <item x="3"/>
        <item t="default"/>
      </items>
    </pivotField>
    <pivotField dataField="1" showAll="0"/>
    <pivotField showAll="0">
      <items count="3">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5"/>
  </rowFields>
  <rowItems count="5">
    <i>
      <x v="1"/>
    </i>
    <i>
      <x v="2"/>
    </i>
    <i>
      <x v="3"/>
    </i>
    <i>
      <x v="4"/>
    </i>
    <i t="grand">
      <x/>
    </i>
  </rowItems>
  <colFields count="1">
    <field x="2"/>
  </colFields>
  <colItems count="4">
    <i>
      <x/>
    </i>
    <i>
      <x v="1"/>
    </i>
    <i>
      <x v="2"/>
    </i>
    <i t="grand">
      <x/>
    </i>
  </colItems>
  <dataFields count="1">
    <dataField name="Sum of signed_amount" fld="6" baseField="0" baseItem="0" numFmtId="3"/>
  </dataFields>
  <formats count="21">
    <format dxfId="25">
      <pivotArea type="all" dataOnly="0" outline="0" fieldPosition="0"/>
    </format>
    <format dxfId="26">
      <pivotArea type="all" dataOnly="0" outline="0" fieldPosition="0"/>
    </format>
    <format dxfId="27">
      <pivotArea outline="0" collapsedLevelsAreSubtotals="1" fieldPosition="0"/>
    </format>
    <format dxfId="28">
      <pivotArea type="origin" dataOnly="0" labelOnly="1" outline="0" fieldPosition="0"/>
    </format>
    <format dxfId="29">
      <pivotArea field="2" type="button" dataOnly="0" labelOnly="1" outline="0" axis="axisCol" fieldPosition="0"/>
    </format>
    <format dxfId="30">
      <pivotArea type="topRight" dataOnly="0" labelOnly="1" outline="0" fieldPosition="0"/>
    </format>
    <format dxfId="31">
      <pivotArea field="9" type="button" dataOnly="0" labelOnly="1" outline="0" axis="axisRow" fieldPosition="0"/>
    </format>
    <format dxfId="32">
      <pivotArea dataOnly="0" labelOnly="1" fieldPosition="0">
        <references count="1">
          <reference field="9" count="4">
            <x v="1"/>
            <x v="2"/>
            <x v="3"/>
            <x v="4"/>
          </reference>
        </references>
      </pivotArea>
    </format>
    <format dxfId="33">
      <pivotArea dataOnly="0" labelOnly="1" grandRow="1" outline="0" fieldPosition="0"/>
    </format>
    <format dxfId="34">
      <pivotArea dataOnly="0" labelOnly="1" fieldPosition="0">
        <references count="1">
          <reference field="2" count="0"/>
        </references>
      </pivotArea>
    </format>
    <format dxfId="35">
      <pivotArea dataOnly="0" labelOnly="1" grandCol="1" outline="0" fieldPosition="0"/>
    </format>
    <format dxfId="36">
      <pivotArea type="all" dataOnly="0" outline="0" fieldPosition="0"/>
    </format>
    <format dxfId="37">
      <pivotArea outline="0" collapsedLevelsAreSubtotals="1" fieldPosition="0"/>
    </format>
    <format dxfId="38">
      <pivotArea type="origin" dataOnly="0" labelOnly="1" outline="0" fieldPosition="0"/>
    </format>
    <format dxfId="39">
      <pivotArea field="2" type="button" dataOnly="0" labelOnly="1" outline="0" axis="axisCol" fieldPosition="0"/>
    </format>
    <format dxfId="40">
      <pivotArea type="topRight" dataOnly="0" labelOnly="1" outline="0" fieldPosition="0"/>
    </format>
    <format dxfId="41">
      <pivotArea field="9" type="button" dataOnly="0" labelOnly="1" outline="0" axis="axisRow" fieldPosition="0"/>
    </format>
    <format dxfId="42">
      <pivotArea dataOnly="0" labelOnly="1" fieldPosition="0">
        <references count="1">
          <reference field="9" count="4">
            <x v="1"/>
            <x v="2"/>
            <x v="3"/>
            <x v="4"/>
          </reference>
        </references>
      </pivotArea>
    </format>
    <format dxfId="43">
      <pivotArea dataOnly="0" labelOnly="1" grandRow="1" outline="0" fieldPosition="0"/>
    </format>
    <format dxfId="44">
      <pivotArea dataOnly="0" labelOnly="1" fieldPosition="0">
        <references count="1">
          <reference field="2" count="0"/>
        </references>
      </pivotArea>
    </format>
    <format dxfId="45">
      <pivotArea dataOnly="0" labelOnly="1" grandCol="1" outline="0"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13" format="6" series="1">
      <pivotArea type="data" outline="0" fieldPosition="0">
        <references count="2">
          <reference field="4294967294" count="1" selected="0">
            <x v="0"/>
          </reference>
          <reference field="2" count="1" selected="0">
            <x v="0"/>
          </reference>
        </references>
      </pivotArea>
    </chartFormat>
    <chartFormat chart="13" format="7" series="1">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EB45D63-A93D-4DE7-8AFB-BC70D5E0B1ED}" autoFormatId="16" applyNumberFormats="0" applyBorderFormats="0" applyFontFormats="0" applyPatternFormats="0" applyAlignmentFormats="0" applyWidthHeightFormats="0">
  <queryTableRefresh nextId="9">
    <queryTableFields count="8">
      <queryTableField id="1" name="customer_id" tableColumnId="1"/>
      <queryTableField id="2" name="txn_date" tableColumnId="2"/>
      <queryTableField id="3" name="txn_type" tableColumnId="3"/>
      <queryTableField id="4" name="txn_amount" tableColumnId="4"/>
      <queryTableField id="5" name="running_balance" tableColumnId="5"/>
      <queryTableField id="6" name="month" tableColumnId="6"/>
      <queryTableField id="7" name="signed_amount" tableColumnId="7"/>
      <queryTableField id="8" name="balance_statu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43F3209A-4658-460C-A0EF-3C18DCF6B7C0}" autoFormatId="16" applyNumberFormats="0" applyBorderFormats="0" applyFontFormats="0" applyPatternFormats="0" applyAlignmentFormats="0" applyWidthHeightFormats="0">
  <queryTableRefresh nextId="12">
    <queryTableFields count="6">
      <queryTableField id="7" name="month" tableColumnId="1"/>
      <queryTableField id="2" name="customers" tableColumnId="2"/>
      <queryTableField id="8" name="avg_closing" tableColumnId="3"/>
      <queryTableField id="4" name="min_closing_balance" tableColumnId="4"/>
      <queryTableField id="5" name="max_closing_balance" tableColumnId="5"/>
      <queryTableField id="9" name="neg_customer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type" xr10:uid="{CC9AA666-4147-41D5-936C-0F5B6F908EE6}" sourceName="txn_type">
  <pivotTables>
    <pivotTable tabId="13" name="PivotTable1"/>
    <pivotTable tabId="13" name="PivotTable2"/>
    <pivotTable tabId="17" name="PivotTable4"/>
  </pivotTables>
  <data>
    <tabular pivotCacheId="14202318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status" xr10:uid="{3FEE8192-1498-4152-996E-139A73B9E945}" sourceName="balance_status">
  <pivotTables>
    <pivotTable tabId="13" name="PivotTable1"/>
    <pivotTable tabId="13" name="PivotTable2"/>
    <pivotTable tabId="17" name="PivotTable4"/>
  </pivotTables>
  <data>
    <tabular pivotCacheId="142023182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xn_type" xr10:uid="{5C072BA3-3370-420E-8783-D8BC4937842C}" cache="Slicer_txn_type" caption="txn_type" columnCount="3" rowHeight="234950"/>
  <slicer name="balance_status" xr10:uid="{ED551AAC-B798-4C66-9049-93D4FAE3CD3B}" cache="Slicer_balance_status" caption="balance_status"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C70F3B-9FEA-4DE1-A699-CFC4DF52C7A7}" name="tbl_txn" displayName="tbl_txn" ref="A1:H5869" tableType="queryTable" totalsRowShown="0">
  <autoFilter ref="A1:H5869" xr:uid="{25C70F3B-9FEA-4DE1-A699-CFC4DF52C7A7}"/>
  <tableColumns count="8">
    <tableColumn id="1" xr3:uid="{D3E2FDC8-D64D-4261-8AAB-B79C72B252D6}" uniqueName="1" name="customer_id" queryTableFieldId="1"/>
    <tableColumn id="2" xr3:uid="{A9B002C2-233F-4CD7-86B7-122A1184B49F}" uniqueName="2" name="txn_date" queryTableFieldId="2" dataDxfId="48"/>
    <tableColumn id="3" xr3:uid="{9B131131-918B-4884-AA86-C128B0D6ED44}" uniqueName="3" name="txn_type" queryTableFieldId="3" dataDxfId="47"/>
    <tableColumn id="4" xr3:uid="{888E41E7-781F-4807-AC9E-52365CF7C26B}" uniqueName="4" name="txn_amount" queryTableFieldId="4"/>
    <tableColumn id="5" xr3:uid="{DE2F0E5A-4A2F-4A68-935F-7FE3BAAC49A6}" uniqueName="5" name="running_balance" queryTableFieldId="5"/>
    <tableColumn id="6" xr3:uid="{B05A599A-CB2E-42BE-9D0A-0F600190DCC8}" uniqueName="6" name="month" queryTableFieldId="6" dataDxfId="46"/>
    <tableColumn id="7" xr3:uid="{04DABF1A-99FF-4E7B-9F26-CA7AD501D553}" uniqueName="7" name="signed_amount" queryTableFieldId="7"/>
    <tableColumn id="8" xr3:uid="{1E37EA13-6D6B-402B-BF59-4DE3EC7E5D7D}" uniqueName="8" name="balance_status"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42D31C-AD79-4994-B486-F5E13E63BDA5}" name="tbl_month_health" displayName="tbl_month_health" ref="A1:F5" tableType="queryTable" totalsRowShown="0">
  <autoFilter ref="A1:F5" xr:uid="{3A42D31C-AD79-4994-B486-F5E13E63BDA5}"/>
  <tableColumns count="6">
    <tableColumn id="1" xr3:uid="{80047B77-B226-4F6A-93F6-AA64D92C55B4}" uniqueName="1" name="month" queryTableFieldId="7" dataDxfId="49"/>
    <tableColumn id="2" xr3:uid="{2E2F884E-3113-44AC-88CA-24036FA03E1D}" uniqueName="2" name="customers" queryTableFieldId="2"/>
    <tableColumn id="3" xr3:uid="{F7076ED6-64DB-4873-B0D4-FA2AA9BFE042}" uniqueName="3" name="avg_closing" queryTableFieldId="8"/>
    <tableColumn id="4" xr3:uid="{BB0D6519-4B8F-420E-A595-7CCF37D1E8E2}" uniqueName="4" name="min_closing_balance" queryTableFieldId="4"/>
    <tableColumn id="5" xr3:uid="{50D688CF-9C3F-4E41-80BB-3E8922AEA661}" uniqueName="5" name="max_closing_balance" queryTableFieldId="5"/>
    <tableColumn id="6" xr3:uid="{82C32723-6BC9-4B2F-AD13-693ECCDE2A7B}" uniqueName="6" name="neg_customer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19F9-6589-4D82-96D3-FEA401A87C4A}">
  <dimension ref="A1:O4"/>
  <sheetViews>
    <sheetView showGridLines="0" showRowColHeaders="0" zoomScale="80" zoomScaleNormal="80" workbookViewId="0">
      <selection activeCell="R20" sqref="R20"/>
    </sheetView>
  </sheetViews>
  <sheetFormatPr defaultRowHeight="14.4" x14ac:dyDescent="0.3"/>
  <cols>
    <col min="1" max="16384" width="8.88671875" style="3"/>
  </cols>
  <sheetData>
    <row r="1" spans="1:15" x14ac:dyDescent="0.3">
      <c r="A1" s="21" t="s">
        <v>35</v>
      </c>
      <c r="B1" s="22"/>
      <c r="C1" s="22"/>
      <c r="D1" s="22"/>
      <c r="E1" s="22"/>
      <c r="F1" s="22"/>
      <c r="G1" s="22"/>
      <c r="H1" s="22"/>
      <c r="I1" s="22"/>
      <c r="J1" s="22"/>
      <c r="K1" s="22"/>
      <c r="L1" s="22"/>
      <c r="M1" s="22"/>
      <c r="N1" s="22"/>
      <c r="O1" s="22"/>
    </row>
    <row r="2" spans="1:15" x14ac:dyDescent="0.3">
      <c r="A2" s="22"/>
      <c r="B2" s="22"/>
      <c r="C2" s="22"/>
      <c r="D2" s="22"/>
      <c r="E2" s="22"/>
      <c r="F2" s="22"/>
      <c r="G2" s="22"/>
      <c r="H2" s="22"/>
      <c r="I2" s="22"/>
      <c r="J2" s="22"/>
      <c r="K2" s="22"/>
      <c r="L2" s="22"/>
      <c r="M2" s="22"/>
      <c r="N2" s="22"/>
      <c r="O2" s="22"/>
    </row>
    <row r="3" spans="1:15" x14ac:dyDescent="0.3">
      <c r="A3" s="23" t="s">
        <v>4</v>
      </c>
      <c r="B3" s="24"/>
      <c r="C3" s="25"/>
      <c r="E3" s="23" t="s">
        <v>32</v>
      </c>
      <c r="F3" s="24"/>
      <c r="G3" s="25"/>
      <c r="I3" s="23" t="s">
        <v>33</v>
      </c>
      <c r="J3" s="24"/>
      <c r="K3" s="25"/>
      <c r="M3" s="23" t="s">
        <v>34</v>
      </c>
      <c r="N3" s="24"/>
      <c r="O3" s="25"/>
    </row>
    <row r="4" spans="1:15" x14ac:dyDescent="0.3">
      <c r="A4" s="26">
        <f>SUM(DATA!B2:B6)</f>
        <v>500</v>
      </c>
      <c r="B4" s="27"/>
      <c r="C4" s="28"/>
      <c r="E4" s="26">
        <f>SUM(DATA!C2:C6)</f>
        <v>25</v>
      </c>
      <c r="F4" s="27"/>
      <c r="G4" s="28"/>
      <c r="I4" s="29">
        <f>SUM(DATA!K2:K4)</f>
        <v>5868</v>
      </c>
      <c r="J4" s="30"/>
      <c r="K4" s="31"/>
      <c r="M4" s="29">
        <f>DATA!M2-DATA!M3-DATA!M4</f>
        <v>-240372</v>
      </c>
      <c r="N4" s="30"/>
      <c r="O4" s="31"/>
    </row>
  </sheetData>
  <mergeCells count="9">
    <mergeCell ref="A1:O2"/>
    <mergeCell ref="A3:C3"/>
    <mergeCell ref="A4:C4"/>
    <mergeCell ref="E3:G3"/>
    <mergeCell ref="E4:G4"/>
    <mergeCell ref="I3:K3"/>
    <mergeCell ref="I4:K4"/>
    <mergeCell ref="M3:O3"/>
    <mergeCell ref="M4:O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FB38D-5A5E-4229-99CD-72D66BE6F2FD}">
  <sheetPr>
    <pageSetUpPr autoPageBreaks="0"/>
  </sheetPr>
  <dimension ref="A1:O9"/>
  <sheetViews>
    <sheetView showGridLines="0" showRowColHeaders="0" zoomScale="80" zoomScaleNormal="80" workbookViewId="0">
      <selection activeCell="A4" sqref="A4:C4"/>
    </sheetView>
  </sheetViews>
  <sheetFormatPr defaultRowHeight="14.4" x14ac:dyDescent="0.3"/>
  <cols>
    <col min="1" max="16384" width="8.88671875" style="1"/>
  </cols>
  <sheetData>
    <row r="1" spans="1:15" x14ac:dyDescent="0.3">
      <c r="A1" s="35" t="s">
        <v>40</v>
      </c>
      <c r="B1" s="35"/>
      <c r="C1" s="35"/>
      <c r="D1" s="35"/>
      <c r="E1" s="35"/>
      <c r="F1" s="35"/>
      <c r="G1" s="35"/>
      <c r="H1" s="35"/>
      <c r="I1" s="35"/>
      <c r="J1" s="35"/>
      <c r="K1" s="35"/>
      <c r="L1" s="35"/>
      <c r="M1" s="35"/>
      <c r="N1" s="35"/>
      <c r="O1" s="35"/>
    </row>
    <row r="2" spans="1:15" x14ac:dyDescent="0.3">
      <c r="A2" s="35"/>
      <c r="B2" s="35"/>
      <c r="C2" s="35"/>
      <c r="D2" s="35"/>
      <c r="E2" s="35"/>
      <c r="F2" s="35"/>
      <c r="G2" s="35"/>
      <c r="H2" s="35"/>
      <c r="I2" s="35"/>
      <c r="J2" s="35"/>
      <c r="K2" s="35"/>
      <c r="L2" s="35"/>
      <c r="M2" s="35"/>
      <c r="N2" s="35"/>
      <c r="O2" s="35"/>
    </row>
    <row r="3" spans="1:15" x14ac:dyDescent="0.3">
      <c r="A3" s="23" t="s">
        <v>41</v>
      </c>
      <c r="B3" s="24"/>
      <c r="C3" s="25"/>
      <c r="E3" s="23" t="s">
        <v>43</v>
      </c>
      <c r="F3" s="24"/>
      <c r="G3" s="25"/>
      <c r="I3" s="23" t="s">
        <v>42</v>
      </c>
      <c r="J3" s="24"/>
      <c r="K3" s="25"/>
      <c r="M3" s="23" t="s">
        <v>49</v>
      </c>
      <c r="N3" s="24"/>
      <c r="O3" s="25"/>
    </row>
    <row r="4" spans="1:15" x14ac:dyDescent="0.3">
      <c r="A4" s="29">
        <f>ROUND(DATA!A21,0)</f>
        <v>-1251</v>
      </c>
      <c r="B4" s="30"/>
      <c r="C4" s="31"/>
      <c r="E4" s="26">
        <f>DATA!B21</f>
        <v>-9.89</v>
      </c>
      <c r="F4" s="27"/>
      <c r="G4" s="28"/>
      <c r="I4" s="29">
        <f>ROUND(DATA!C21,0)</f>
        <v>1239</v>
      </c>
      <c r="J4" s="30"/>
      <c r="K4" s="31"/>
      <c r="M4" s="32">
        <f>DATA!D21</f>
        <v>0.746</v>
      </c>
      <c r="N4" s="33"/>
      <c r="O4" s="34"/>
    </row>
    <row r="9" spans="1:15" x14ac:dyDescent="0.3">
      <c r="M9" s="2"/>
    </row>
  </sheetData>
  <mergeCells count="9">
    <mergeCell ref="A4:C4"/>
    <mergeCell ref="E4:G4"/>
    <mergeCell ref="I4:K4"/>
    <mergeCell ref="M4:O4"/>
    <mergeCell ref="A1:O2"/>
    <mergeCell ref="A3:C3"/>
    <mergeCell ref="E3:G3"/>
    <mergeCell ref="I3:K3"/>
    <mergeCell ref="M3:O3"/>
  </mergeCells>
  <pageMargins left="0.7" right="0.7" top="0.75" bottom="0.75" header="0.3" footer="0.3"/>
  <pageSetup scale="6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26E5-3F63-4874-B418-16E1E65343CD}">
  <sheetPr>
    <pageSetUpPr autoPageBreaks="0"/>
  </sheetPr>
  <dimension ref="A1:P31"/>
  <sheetViews>
    <sheetView showGridLines="0" showRowColHeaders="0" zoomScale="80" zoomScaleNormal="80" zoomScaleSheetLayoutView="80" workbookViewId="0">
      <selection activeCell="R18" sqref="R18"/>
    </sheetView>
  </sheetViews>
  <sheetFormatPr defaultRowHeight="14.4" x14ac:dyDescent="0.3"/>
  <cols>
    <col min="1" max="16384" width="8.88671875" style="3"/>
  </cols>
  <sheetData>
    <row r="1" spans="1:15" x14ac:dyDescent="0.3">
      <c r="A1" s="21" t="s">
        <v>44</v>
      </c>
      <c r="B1" s="21"/>
      <c r="C1" s="21"/>
      <c r="D1" s="21"/>
      <c r="E1" s="21"/>
      <c r="F1" s="21"/>
      <c r="G1" s="21"/>
      <c r="H1" s="21"/>
      <c r="I1" s="21"/>
      <c r="J1" s="21"/>
      <c r="K1" s="21"/>
      <c r="L1" s="21"/>
      <c r="M1" s="21"/>
      <c r="N1" s="21"/>
      <c r="O1" s="21"/>
    </row>
    <row r="2" spans="1:15" x14ac:dyDescent="0.3">
      <c r="A2" s="21"/>
      <c r="B2" s="21"/>
      <c r="C2" s="21"/>
      <c r="D2" s="21"/>
      <c r="E2" s="21"/>
      <c r="F2" s="21"/>
      <c r="G2" s="21"/>
      <c r="H2" s="21"/>
      <c r="I2" s="21"/>
      <c r="J2" s="21"/>
      <c r="K2" s="21"/>
      <c r="L2" s="21"/>
      <c r="M2" s="21"/>
      <c r="N2" s="21"/>
      <c r="O2" s="21"/>
    </row>
    <row r="3" spans="1:15" x14ac:dyDescent="0.3">
      <c r="A3" s="23" t="s">
        <v>45</v>
      </c>
      <c r="B3" s="24"/>
      <c r="C3" s="25"/>
      <c r="E3" s="23" t="s">
        <v>46</v>
      </c>
      <c r="F3" s="24"/>
      <c r="G3" s="25"/>
      <c r="I3" s="23" t="s">
        <v>47</v>
      </c>
      <c r="J3" s="24"/>
      <c r="K3" s="25"/>
      <c r="M3" s="23" t="s">
        <v>48</v>
      </c>
      <c r="N3" s="24"/>
      <c r="O3" s="25"/>
    </row>
    <row r="4" spans="1:15" x14ac:dyDescent="0.3">
      <c r="A4" s="36">
        <f>ROUND(AVERAGE(DATA!H14:I14),0)</f>
        <v>259149</v>
      </c>
      <c r="B4" s="30"/>
      <c r="C4" s="31"/>
      <c r="E4" s="29">
        <f>MAX(DATA!J11:J14)</f>
        <v>410126</v>
      </c>
      <c r="F4" s="30"/>
      <c r="G4" s="31"/>
      <c r="I4" s="37">
        <f>SUM(DATA!O11:O14)/DATA!M14</f>
        <v>1.6691083218737655E-2</v>
      </c>
      <c r="J4" s="38"/>
      <c r="K4" s="39"/>
      <c r="M4" s="32" t="s">
        <v>50</v>
      </c>
      <c r="N4" s="33"/>
      <c r="O4" s="34"/>
    </row>
    <row r="31" spans="16:16" x14ac:dyDescent="0.3">
      <c r="P31" s="4"/>
    </row>
  </sheetData>
  <mergeCells count="9">
    <mergeCell ref="A4:C4"/>
    <mergeCell ref="E4:G4"/>
    <mergeCell ref="I4:K4"/>
    <mergeCell ref="M4:O4"/>
    <mergeCell ref="A1:O2"/>
    <mergeCell ref="A3:C3"/>
    <mergeCell ref="E3:G3"/>
    <mergeCell ref="I3:K3"/>
    <mergeCell ref="M3:O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54E19-1EB7-45FD-9EE2-2FC67128BB0A}">
  <sheetPr>
    <tabColor theme="8"/>
    <pageSetUpPr autoPageBreaks="0"/>
  </sheetPr>
  <dimension ref="A1:V10"/>
  <sheetViews>
    <sheetView tabSelected="1" topLeftCell="A2" zoomScale="85" zoomScaleNormal="80" workbookViewId="0">
      <selection activeCell="K25" sqref="K25"/>
    </sheetView>
  </sheetViews>
  <sheetFormatPr defaultRowHeight="14.4" x14ac:dyDescent="0.3"/>
  <cols>
    <col min="1" max="1" width="21.33203125" bestFit="1" customWidth="1"/>
    <col min="2" max="2" width="16.109375" bestFit="1" customWidth="1"/>
    <col min="3" max="4" width="17" bestFit="1" customWidth="1"/>
    <col min="5" max="5" width="11.21875" bestFit="1" customWidth="1"/>
    <col min="6" max="6" width="14.88671875" customWidth="1"/>
    <col min="7" max="7" width="14.109375" customWidth="1"/>
    <col min="8" max="8" width="15.6640625" customWidth="1"/>
    <col min="9" max="9" width="11.21875" customWidth="1"/>
    <col min="21" max="25" width="0" hidden="1" customWidth="1"/>
  </cols>
  <sheetData>
    <row r="1" spans="1:22" ht="22.2" customHeight="1" x14ac:dyDescent="0.3">
      <c r="A1" s="19" t="s">
        <v>77</v>
      </c>
      <c r="B1" s="19"/>
      <c r="C1" s="19"/>
      <c r="D1" s="19"/>
      <c r="E1" s="19"/>
      <c r="F1" s="19"/>
      <c r="G1" s="19"/>
      <c r="H1" s="19"/>
      <c r="I1" s="19"/>
      <c r="J1" s="19"/>
      <c r="K1" s="19"/>
      <c r="L1" s="19"/>
      <c r="M1" s="19"/>
      <c r="N1" s="19"/>
      <c r="O1" s="10"/>
    </row>
    <row r="2" spans="1:22" ht="18" customHeight="1" x14ac:dyDescent="0.3">
      <c r="A2" s="20" t="s">
        <v>76</v>
      </c>
      <c r="B2" s="20"/>
      <c r="C2" s="20"/>
      <c r="D2" s="20"/>
      <c r="E2" s="20"/>
      <c r="F2" s="20"/>
      <c r="G2" s="20"/>
      <c r="H2" s="20"/>
      <c r="I2" s="20"/>
      <c r="J2" s="20"/>
      <c r="K2" s="20"/>
      <c r="L2" s="20"/>
      <c r="M2" s="20"/>
      <c r="N2" s="20"/>
      <c r="O2" s="11"/>
    </row>
    <row r="3" spans="1:22" ht="28.8" x14ac:dyDescent="0.3">
      <c r="A3" s="7" t="s">
        <v>64</v>
      </c>
      <c r="B3" s="8">
        <v>43831</v>
      </c>
      <c r="C3" s="6" t="s">
        <v>34</v>
      </c>
      <c r="D3" s="6" t="s">
        <v>66</v>
      </c>
      <c r="E3" s="6" t="s">
        <v>78</v>
      </c>
      <c r="F3" s="6" t="s">
        <v>67</v>
      </c>
      <c r="G3" s="6" t="s">
        <v>79</v>
      </c>
      <c r="U3" s="12" t="s">
        <v>61</v>
      </c>
      <c r="V3" t="s">
        <v>62</v>
      </c>
    </row>
    <row r="4" spans="1:22" ht="23.4" x14ac:dyDescent="0.3">
      <c r="A4" s="7" t="s">
        <v>65</v>
      </c>
      <c r="B4" s="9" t="s">
        <v>63</v>
      </c>
      <c r="C4" s="13">
        <f>IF($B$4="All",SUMIFS(tbl_txn[signed_amount],tbl_txn[month],$B$3),SUMIFS(tbl_txn[signed_amount],tbl_txn[month],$B$3,tbl_txn[txn_type],$B$4))</f>
        <v>126091</v>
      </c>
      <c r="D4" s="14">
        <f>IF($B$4="All",COUNTIFS(tbl_txn[month],$B$3),COUNTIFS(tbl_txn[month],$B$3,tbl_txn[txn_type],$B$4))</f>
        <v>1497</v>
      </c>
      <c r="E4" s="14" cm="1">
        <f t="array" ref="E4">IF($B$4="All",ROWS(_xlfn.UNIQUE(_xlfn._xlws.FILTER(tbl_txn[customer_id],tbl_txn[month]=$B$3))),ROWS(_xlfn.UNIQUE(_xlfn._xlws.FILTER(tbl_txn[customer_id],(tbl_txn[month]=$B$3)*(tbl_txn[txn_type]=$B$4)))))</f>
        <v>500</v>
      </c>
      <c r="F4" s="13">
        <f>_xlfn.XLOOKUP($B$3,tbl_month_health[month],tbl_month_health[avg_closing])</f>
        <v>252.18</v>
      </c>
      <c r="G4" s="14">
        <f>_xlfn.XLOOKUP($B$3,tbl_month_health[month],tbl_month_health[neg_customers])</f>
        <v>157</v>
      </c>
      <c r="U4" s="15">
        <f>DATE(2020,1,1)</f>
        <v>43831</v>
      </c>
      <c r="V4" t="s">
        <v>63</v>
      </c>
    </row>
    <row r="5" spans="1:22" x14ac:dyDescent="0.3">
      <c r="D5" s="16" t="str">
        <f>IF(C4&lt;0,"Net outflow","Net inflow")</f>
        <v>Net inflow</v>
      </c>
      <c r="G5" s="17" t="str">
        <f>IF(F4&lt;0,"Overdraft zone","Healthy zone")</f>
        <v>Healthy zone</v>
      </c>
      <c r="U5" s="15">
        <f>DATE(2020,2,1)</f>
        <v>43862</v>
      </c>
      <c r="V5" t="s">
        <v>10</v>
      </c>
    </row>
    <row r="6" spans="1:22" x14ac:dyDescent="0.3">
      <c r="U6" s="15">
        <f>DATE(2020,3,1)</f>
        <v>43891</v>
      </c>
      <c r="V6" t="s">
        <v>11</v>
      </c>
    </row>
    <row r="7" spans="1:22" x14ac:dyDescent="0.3">
      <c r="U7" s="15">
        <f>DATE(2020,4,1)</f>
        <v>43922</v>
      </c>
      <c r="V7" t="s">
        <v>12</v>
      </c>
    </row>
    <row r="8" spans="1:22" x14ac:dyDescent="0.3">
      <c r="U8" s="18"/>
    </row>
    <row r="10" spans="1:22" ht="23.4" customHeight="1" x14ac:dyDescent="0.3"/>
  </sheetData>
  <mergeCells count="2">
    <mergeCell ref="A1:N1"/>
    <mergeCell ref="A2:N2"/>
  </mergeCells>
  <conditionalFormatting sqref="C4">
    <cfRule type="cellIs" dxfId="5" priority="6" operator="greaterThan">
      <formula>0</formula>
    </cfRule>
    <cfRule type="cellIs" dxfId="4" priority="7" operator="lessThan">
      <formula>0</formula>
    </cfRule>
    <cfRule type="cellIs" dxfId="3" priority="8" operator="lessThan">
      <formula>0</formula>
    </cfRule>
    <cfRule type="cellIs" dxfId="2" priority="9" operator="lessThan">
      <formula>0</formula>
    </cfRule>
  </conditionalFormatting>
  <conditionalFormatting sqref="F4">
    <cfRule type="cellIs" dxfId="1" priority="2" operator="greaterThan">
      <formula>0</formula>
    </cfRule>
    <cfRule type="cellIs" dxfId="0" priority="3" operator="lessThan">
      <formula>0</formula>
    </cfRule>
  </conditionalFormatting>
  <dataValidations count="2">
    <dataValidation type="list" allowBlank="1" showInputMessage="1" showErrorMessage="1" sqref="B3" xr:uid="{F5CA649E-6699-4E38-96D9-56B68A515242}">
      <formula1>$U$4:$U$7</formula1>
    </dataValidation>
    <dataValidation type="list" allowBlank="1" showInputMessage="1" showErrorMessage="1" sqref="B4" xr:uid="{9B1D4E11-2103-461E-A970-604040E8C26D}">
      <formula1>$V$4:$V$7</formula1>
    </dataValidation>
  </dataValidation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68F0-8D7B-4FCE-AA75-2C3EB7E91C3D}">
  <dimension ref="A3:C14"/>
  <sheetViews>
    <sheetView workbookViewId="0">
      <selection activeCell="M18" sqref="M18"/>
    </sheetView>
  </sheetViews>
  <sheetFormatPr defaultRowHeight="14.4" x14ac:dyDescent="0.3"/>
  <cols>
    <col min="1" max="1" width="12.5546875" bestFit="1" customWidth="1"/>
    <col min="2" max="2" width="20.77734375" bestFit="1" customWidth="1"/>
    <col min="3" max="3" width="12.109375" bestFit="1" customWidth="1"/>
  </cols>
  <sheetData>
    <row r="3" spans="1:3" x14ac:dyDescent="0.3">
      <c r="A3" s="40" t="s">
        <v>68</v>
      </c>
      <c r="B3" t="s">
        <v>75</v>
      </c>
      <c r="C3" t="s">
        <v>80</v>
      </c>
    </row>
    <row r="4" spans="1:3" x14ac:dyDescent="0.3">
      <c r="A4" s="41">
        <v>179</v>
      </c>
      <c r="B4" s="45">
        <v>-7953</v>
      </c>
      <c r="C4" s="45">
        <v>19</v>
      </c>
    </row>
    <row r="5" spans="1:3" x14ac:dyDescent="0.3">
      <c r="A5" s="41">
        <v>283</v>
      </c>
      <c r="B5" s="45">
        <v>-7145</v>
      </c>
      <c r="C5" s="45">
        <v>947</v>
      </c>
    </row>
    <row r="6" spans="1:3" x14ac:dyDescent="0.3">
      <c r="A6" s="41">
        <v>405</v>
      </c>
      <c r="B6" s="45">
        <v>-7070</v>
      </c>
      <c r="C6" s="45">
        <v>413</v>
      </c>
    </row>
    <row r="7" spans="1:3" x14ac:dyDescent="0.3">
      <c r="A7" s="41">
        <v>356</v>
      </c>
      <c r="B7" s="45">
        <v>-6882</v>
      </c>
      <c r="C7" s="45">
        <v>568</v>
      </c>
    </row>
    <row r="8" spans="1:3" x14ac:dyDescent="0.3">
      <c r="A8" s="41">
        <v>183</v>
      </c>
      <c r="B8" s="45">
        <v>-6560</v>
      </c>
      <c r="C8" s="45">
        <v>452</v>
      </c>
    </row>
    <row r="9" spans="1:3" x14ac:dyDescent="0.3">
      <c r="A9" s="41">
        <v>477</v>
      </c>
      <c r="B9" s="45">
        <v>-6538</v>
      </c>
      <c r="C9" s="45">
        <v>101</v>
      </c>
    </row>
    <row r="10" spans="1:3" x14ac:dyDescent="0.3">
      <c r="A10" s="41">
        <v>473</v>
      </c>
      <c r="B10" s="45">
        <v>-5772</v>
      </c>
      <c r="C10" s="45">
        <v>1566</v>
      </c>
    </row>
    <row r="11" spans="1:3" x14ac:dyDescent="0.3">
      <c r="A11" s="41">
        <v>132</v>
      </c>
      <c r="B11" s="45">
        <v>-5585</v>
      </c>
      <c r="C11" s="45">
        <v>14</v>
      </c>
    </row>
    <row r="12" spans="1:3" x14ac:dyDescent="0.3">
      <c r="A12" s="41">
        <v>442</v>
      </c>
      <c r="B12" s="45">
        <v>-5499</v>
      </c>
      <c r="C12" s="45">
        <v>553</v>
      </c>
    </row>
    <row r="13" spans="1:3" x14ac:dyDescent="0.3">
      <c r="A13" s="41">
        <v>206</v>
      </c>
      <c r="B13" s="45">
        <v>-5374</v>
      </c>
      <c r="C13" s="45">
        <v>811</v>
      </c>
    </row>
    <row r="14" spans="1:3" x14ac:dyDescent="0.3">
      <c r="A14" s="41" t="s">
        <v>69</v>
      </c>
      <c r="B14" s="45">
        <v>-64378</v>
      </c>
      <c r="C14" s="45">
        <v>1566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44274-B4FF-48D2-8397-931D75A58A18}">
  <sheetPr>
    <tabColor theme="2" tint="-9.9978637043366805E-2"/>
  </sheetPr>
  <dimension ref="A1:H5869"/>
  <sheetViews>
    <sheetView topLeftCell="A2" zoomScale="78" workbookViewId="0">
      <selection activeCell="D25" sqref="D25"/>
    </sheetView>
  </sheetViews>
  <sheetFormatPr defaultRowHeight="14.4" x14ac:dyDescent="0.3"/>
  <cols>
    <col min="1" max="1" width="13.6640625" bestFit="1" customWidth="1"/>
    <col min="2" max="3" width="10.6640625" bestFit="1" customWidth="1"/>
    <col min="4" max="4" width="13.5546875" bestFit="1" customWidth="1"/>
    <col min="5" max="5" width="17.44140625" bestFit="1" customWidth="1"/>
    <col min="7" max="7" width="16.44140625" bestFit="1" customWidth="1"/>
    <col min="8" max="8" width="15.88671875" bestFit="1" customWidth="1"/>
  </cols>
  <sheetData>
    <row r="1" spans="1:8" x14ac:dyDescent="0.3">
      <c r="A1" t="s">
        <v>51</v>
      </c>
      <c r="B1" t="s">
        <v>52</v>
      </c>
      <c r="C1" t="s">
        <v>19</v>
      </c>
      <c r="D1" t="s">
        <v>53</v>
      </c>
      <c r="E1" t="s">
        <v>54</v>
      </c>
      <c r="F1" t="s">
        <v>16</v>
      </c>
      <c r="G1" t="s">
        <v>55</v>
      </c>
      <c r="H1" t="s">
        <v>56</v>
      </c>
    </row>
    <row r="2" spans="1:8" x14ac:dyDescent="0.3">
      <c r="A2">
        <v>1</v>
      </c>
      <c r="B2" s="5">
        <v>43832</v>
      </c>
      <c r="C2" t="s">
        <v>10</v>
      </c>
      <c r="D2">
        <v>312</v>
      </c>
      <c r="E2">
        <v>312</v>
      </c>
      <c r="F2" s="5">
        <v>43831</v>
      </c>
      <c r="G2">
        <v>312</v>
      </c>
      <c r="H2" t="s">
        <v>57</v>
      </c>
    </row>
    <row r="3" spans="1:8" x14ac:dyDescent="0.3">
      <c r="A3">
        <v>1</v>
      </c>
      <c r="B3" s="5">
        <v>43895</v>
      </c>
      <c r="C3" t="s">
        <v>11</v>
      </c>
      <c r="D3">
        <v>612</v>
      </c>
      <c r="E3">
        <v>-300</v>
      </c>
      <c r="F3" s="5">
        <v>43891</v>
      </c>
      <c r="G3">
        <v>-612</v>
      </c>
      <c r="H3" t="s">
        <v>58</v>
      </c>
    </row>
    <row r="4" spans="1:8" x14ac:dyDescent="0.3">
      <c r="A4">
        <v>1</v>
      </c>
      <c r="B4" s="5">
        <v>43907</v>
      </c>
      <c r="C4" t="s">
        <v>10</v>
      </c>
      <c r="D4">
        <v>324</v>
      </c>
      <c r="E4">
        <v>24</v>
      </c>
      <c r="F4" s="5">
        <v>43891</v>
      </c>
      <c r="G4">
        <v>324</v>
      </c>
      <c r="H4" t="s">
        <v>57</v>
      </c>
    </row>
    <row r="5" spans="1:8" x14ac:dyDescent="0.3">
      <c r="A5">
        <v>1</v>
      </c>
      <c r="B5" s="5">
        <v>43909</v>
      </c>
      <c r="C5" t="s">
        <v>11</v>
      </c>
      <c r="D5">
        <v>664</v>
      </c>
      <c r="E5">
        <v>-640</v>
      </c>
      <c r="F5" s="5">
        <v>43891</v>
      </c>
      <c r="G5">
        <v>-664</v>
      </c>
      <c r="H5" t="s">
        <v>58</v>
      </c>
    </row>
    <row r="6" spans="1:8" x14ac:dyDescent="0.3">
      <c r="A6">
        <v>2</v>
      </c>
      <c r="B6" s="5">
        <v>43833</v>
      </c>
      <c r="C6" t="s">
        <v>10</v>
      </c>
      <c r="D6">
        <v>549</v>
      </c>
      <c r="E6">
        <v>549</v>
      </c>
      <c r="F6" s="5">
        <v>43831</v>
      </c>
      <c r="G6">
        <v>549</v>
      </c>
      <c r="H6" t="s">
        <v>57</v>
      </c>
    </row>
    <row r="7" spans="1:8" x14ac:dyDescent="0.3">
      <c r="A7">
        <v>2</v>
      </c>
      <c r="B7" s="5">
        <v>43914</v>
      </c>
      <c r="C7" t="s">
        <v>10</v>
      </c>
      <c r="D7">
        <v>61</v>
      </c>
      <c r="E7">
        <v>610</v>
      </c>
      <c r="F7" s="5">
        <v>43891</v>
      </c>
      <c r="G7">
        <v>61</v>
      </c>
      <c r="H7" t="s">
        <v>57</v>
      </c>
    </row>
    <row r="8" spans="1:8" x14ac:dyDescent="0.3">
      <c r="A8">
        <v>3</v>
      </c>
      <c r="B8" s="5">
        <v>43857</v>
      </c>
      <c r="C8" t="s">
        <v>10</v>
      </c>
      <c r="D8">
        <v>144</v>
      </c>
      <c r="E8">
        <v>144</v>
      </c>
      <c r="F8" s="5">
        <v>43831</v>
      </c>
      <c r="G8">
        <v>144</v>
      </c>
      <c r="H8" t="s">
        <v>57</v>
      </c>
    </row>
    <row r="9" spans="1:8" x14ac:dyDescent="0.3">
      <c r="A9">
        <v>3</v>
      </c>
      <c r="B9" s="5">
        <v>43883</v>
      </c>
      <c r="C9" t="s">
        <v>11</v>
      </c>
      <c r="D9">
        <v>965</v>
      </c>
      <c r="E9">
        <v>-821</v>
      </c>
      <c r="F9" s="5">
        <v>43862</v>
      </c>
      <c r="G9">
        <v>-965</v>
      </c>
      <c r="H9" t="s">
        <v>58</v>
      </c>
    </row>
    <row r="10" spans="1:8" x14ac:dyDescent="0.3">
      <c r="A10">
        <v>3</v>
      </c>
      <c r="B10" s="5">
        <v>43895</v>
      </c>
      <c r="C10" t="s">
        <v>12</v>
      </c>
      <c r="D10">
        <v>213</v>
      </c>
      <c r="E10">
        <v>-1034</v>
      </c>
      <c r="F10" s="5">
        <v>43891</v>
      </c>
      <c r="G10">
        <v>-213</v>
      </c>
      <c r="H10" t="s">
        <v>58</v>
      </c>
    </row>
    <row r="11" spans="1:8" x14ac:dyDescent="0.3">
      <c r="A11">
        <v>3</v>
      </c>
      <c r="B11" s="5">
        <v>43909</v>
      </c>
      <c r="C11" t="s">
        <v>12</v>
      </c>
      <c r="D11">
        <v>188</v>
      </c>
      <c r="E11">
        <v>-1222</v>
      </c>
      <c r="F11" s="5">
        <v>43891</v>
      </c>
      <c r="G11">
        <v>-188</v>
      </c>
      <c r="H11" t="s">
        <v>58</v>
      </c>
    </row>
    <row r="12" spans="1:8" x14ac:dyDescent="0.3">
      <c r="A12">
        <v>3</v>
      </c>
      <c r="B12" s="5">
        <v>43933</v>
      </c>
      <c r="C12" t="s">
        <v>10</v>
      </c>
      <c r="D12">
        <v>493</v>
      </c>
      <c r="E12">
        <v>-729</v>
      </c>
      <c r="F12" s="5">
        <v>43922</v>
      </c>
      <c r="G12">
        <v>493</v>
      </c>
      <c r="H12" t="s">
        <v>58</v>
      </c>
    </row>
    <row r="13" spans="1:8" x14ac:dyDescent="0.3">
      <c r="A13">
        <v>4</v>
      </c>
      <c r="B13" s="5">
        <v>43837</v>
      </c>
      <c r="C13" t="s">
        <v>10</v>
      </c>
      <c r="D13">
        <v>458</v>
      </c>
      <c r="E13">
        <v>458</v>
      </c>
      <c r="F13" s="5">
        <v>43831</v>
      </c>
      <c r="G13">
        <v>458</v>
      </c>
      <c r="H13" t="s">
        <v>57</v>
      </c>
    </row>
    <row r="14" spans="1:8" x14ac:dyDescent="0.3">
      <c r="A14">
        <v>4</v>
      </c>
      <c r="B14" s="5">
        <v>43851</v>
      </c>
      <c r="C14" t="s">
        <v>10</v>
      </c>
      <c r="D14">
        <v>390</v>
      </c>
      <c r="E14">
        <v>848</v>
      </c>
      <c r="F14" s="5">
        <v>43831</v>
      </c>
      <c r="G14">
        <v>390</v>
      </c>
      <c r="H14" t="s">
        <v>57</v>
      </c>
    </row>
    <row r="15" spans="1:8" x14ac:dyDescent="0.3">
      <c r="A15">
        <v>4</v>
      </c>
      <c r="B15" s="5">
        <v>43915</v>
      </c>
      <c r="C15" t="s">
        <v>11</v>
      </c>
      <c r="D15">
        <v>193</v>
      </c>
      <c r="E15">
        <v>655</v>
      </c>
      <c r="F15" s="5">
        <v>43891</v>
      </c>
      <c r="G15">
        <v>-193</v>
      </c>
      <c r="H15" t="s">
        <v>57</v>
      </c>
    </row>
    <row r="16" spans="1:8" x14ac:dyDescent="0.3">
      <c r="A16">
        <v>5</v>
      </c>
      <c r="B16" s="5">
        <v>43845</v>
      </c>
      <c r="C16" t="s">
        <v>10</v>
      </c>
      <c r="D16">
        <v>974</v>
      </c>
      <c r="E16">
        <v>974</v>
      </c>
      <c r="F16" s="5">
        <v>43831</v>
      </c>
      <c r="G16">
        <v>974</v>
      </c>
      <c r="H16" t="s">
        <v>57</v>
      </c>
    </row>
    <row r="17" spans="1:8" x14ac:dyDescent="0.3">
      <c r="A17">
        <v>5</v>
      </c>
      <c r="B17" s="5">
        <v>43855</v>
      </c>
      <c r="C17" t="s">
        <v>10</v>
      </c>
      <c r="D17">
        <v>806</v>
      </c>
      <c r="E17">
        <v>1780</v>
      </c>
      <c r="F17" s="5">
        <v>43831</v>
      </c>
      <c r="G17">
        <v>806</v>
      </c>
      <c r="H17" t="s">
        <v>57</v>
      </c>
    </row>
    <row r="18" spans="1:8" x14ac:dyDescent="0.3">
      <c r="A18">
        <v>5</v>
      </c>
      <c r="B18" s="5">
        <v>43861</v>
      </c>
      <c r="C18" t="s">
        <v>12</v>
      </c>
      <c r="D18">
        <v>826</v>
      </c>
      <c r="E18">
        <v>954</v>
      </c>
      <c r="F18" s="5">
        <v>43831</v>
      </c>
      <c r="G18">
        <v>-826</v>
      </c>
      <c r="H18" t="s">
        <v>57</v>
      </c>
    </row>
    <row r="19" spans="1:8" x14ac:dyDescent="0.3">
      <c r="A19">
        <v>5</v>
      </c>
      <c r="B19" s="5">
        <v>43892</v>
      </c>
      <c r="C19" t="s">
        <v>11</v>
      </c>
      <c r="D19">
        <v>886</v>
      </c>
      <c r="E19">
        <v>68</v>
      </c>
      <c r="F19" s="5">
        <v>43891</v>
      </c>
      <c r="G19">
        <v>-886</v>
      </c>
      <c r="H19" t="s">
        <v>57</v>
      </c>
    </row>
    <row r="20" spans="1:8" x14ac:dyDescent="0.3">
      <c r="A20">
        <v>5</v>
      </c>
      <c r="B20" s="5">
        <v>43909</v>
      </c>
      <c r="C20" t="s">
        <v>10</v>
      </c>
      <c r="D20">
        <v>718</v>
      </c>
      <c r="E20">
        <v>786</v>
      </c>
      <c r="F20" s="5">
        <v>43891</v>
      </c>
      <c r="G20">
        <v>718</v>
      </c>
      <c r="H20" t="s">
        <v>57</v>
      </c>
    </row>
    <row r="21" spans="1:8" x14ac:dyDescent="0.3">
      <c r="A21">
        <v>5</v>
      </c>
      <c r="B21" s="5">
        <v>43916</v>
      </c>
      <c r="C21" t="s">
        <v>12</v>
      </c>
      <c r="D21">
        <v>786</v>
      </c>
      <c r="E21">
        <v>0</v>
      </c>
      <c r="F21" s="5">
        <v>43891</v>
      </c>
      <c r="G21">
        <v>-786</v>
      </c>
      <c r="H21" t="s">
        <v>57</v>
      </c>
    </row>
    <row r="22" spans="1:8" x14ac:dyDescent="0.3">
      <c r="A22">
        <v>5</v>
      </c>
      <c r="B22" s="5">
        <v>43917</v>
      </c>
      <c r="C22" t="s">
        <v>12</v>
      </c>
      <c r="D22">
        <v>700</v>
      </c>
      <c r="E22">
        <v>-700</v>
      </c>
      <c r="F22" s="5">
        <v>43891</v>
      </c>
      <c r="G22">
        <v>-700</v>
      </c>
      <c r="H22" t="s">
        <v>58</v>
      </c>
    </row>
    <row r="23" spans="1:8" x14ac:dyDescent="0.3">
      <c r="A23">
        <v>5</v>
      </c>
      <c r="B23" s="5">
        <v>43917</v>
      </c>
      <c r="C23" t="s">
        <v>10</v>
      </c>
      <c r="D23">
        <v>412</v>
      </c>
      <c r="E23">
        <v>-288</v>
      </c>
      <c r="F23" s="5">
        <v>43891</v>
      </c>
      <c r="G23">
        <v>412</v>
      </c>
      <c r="H23" t="s">
        <v>58</v>
      </c>
    </row>
    <row r="24" spans="1:8" x14ac:dyDescent="0.3">
      <c r="A24">
        <v>5</v>
      </c>
      <c r="B24" s="5">
        <v>43919</v>
      </c>
      <c r="C24" t="s">
        <v>11</v>
      </c>
      <c r="D24">
        <v>852</v>
      </c>
      <c r="E24">
        <v>-1140</v>
      </c>
      <c r="F24" s="5">
        <v>43891</v>
      </c>
      <c r="G24">
        <v>-852</v>
      </c>
      <c r="H24" t="s">
        <v>58</v>
      </c>
    </row>
    <row r="25" spans="1:8" x14ac:dyDescent="0.3">
      <c r="A25">
        <v>5</v>
      </c>
      <c r="B25" s="5">
        <v>43921</v>
      </c>
      <c r="C25" t="s">
        <v>11</v>
      </c>
      <c r="D25">
        <v>783</v>
      </c>
      <c r="E25">
        <v>-1923</v>
      </c>
      <c r="F25" s="5">
        <v>43891</v>
      </c>
      <c r="G25">
        <v>-783</v>
      </c>
      <c r="H25" t="s">
        <v>58</v>
      </c>
    </row>
    <row r="26" spans="1:8" x14ac:dyDescent="0.3">
      <c r="A26">
        <v>5</v>
      </c>
      <c r="B26" s="5">
        <v>43923</v>
      </c>
      <c r="C26" t="s">
        <v>12</v>
      </c>
      <c r="D26">
        <v>490</v>
      </c>
      <c r="E26">
        <v>-2413</v>
      </c>
      <c r="F26" s="5">
        <v>43922</v>
      </c>
      <c r="G26">
        <v>-490</v>
      </c>
      <c r="H26" t="s">
        <v>58</v>
      </c>
    </row>
    <row r="27" spans="1:8" x14ac:dyDescent="0.3">
      <c r="A27">
        <v>6</v>
      </c>
      <c r="B27" s="5">
        <v>43841</v>
      </c>
      <c r="C27" t="s">
        <v>10</v>
      </c>
      <c r="D27">
        <v>831</v>
      </c>
      <c r="E27">
        <v>831</v>
      </c>
      <c r="F27" s="5">
        <v>43831</v>
      </c>
      <c r="G27">
        <v>831</v>
      </c>
      <c r="H27" t="s">
        <v>57</v>
      </c>
    </row>
    <row r="28" spans="1:8" x14ac:dyDescent="0.3">
      <c r="A28">
        <v>6</v>
      </c>
      <c r="B28" s="5">
        <v>43844</v>
      </c>
      <c r="C28" t="s">
        <v>11</v>
      </c>
      <c r="D28">
        <v>11</v>
      </c>
      <c r="E28">
        <v>820</v>
      </c>
      <c r="F28" s="5">
        <v>43831</v>
      </c>
      <c r="G28">
        <v>-11</v>
      </c>
      <c r="H28" t="s">
        <v>57</v>
      </c>
    </row>
    <row r="29" spans="1:8" x14ac:dyDescent="0.3">
      <c r="A29">
        <v>6</v>
      </c>
      <c r="B29" s="5">
        <v>43844</v>
      </c>
      <c r="C29" t="s">
        <v>11</v>
      </c>
      <c r="D29">
        <v>40</v>
      </c>
      <c r="E29">
        <v>780</v>
      </c>
      <c r="F29" s="5">
        <v>43831</v>
      </c>
      <c r="G29">
        <v>-40</v>
      </c>
      <c r="H29" t="s">
        <v>57</v>
      </c>
    </row>
    <row r="30" spans="1:8" x14ac:dyDescent="0.3">
      <c r="A30">
        <v>6</v>
      </c>
      <c r="B30" s="5">
        <v>43848</v>
      </c>
      <c r="C30" t="s">
        <v>11</v>
      </c>
      <c r="D30">
        <v>66</v>
      </c>
      <c r="E30">
        <v>714</v>
      </c>
      <c r="F30" s="5">
        <v>43831</v>
      </c>
      <c r="G30">
        <v>-66</v>
      </c>
      <c r="H30" t="s">
        <v>57</v>
      </c>
    </row>
    <row r="31" spans="1:8" x14ac:dyDescent="0.3">
      <c r="A31">
        <v>6</v>
      </c>
      <c r="B31" s="5">
        <v>43855</v>
      </c>
      <c r="C31" t="s">
        <v>10</v>
      </c>
      <c r="D31">
        <v>796</v>
      </c>
      <c r="E31">
        <v>1510</v>
      </c>
      <c r="F31" s="5">
        <v>43831</v>
      </c>
      <c r="G31">
        <v>796</v>
      </c>
      <c r="H31" t="s">
        <v>57</v>
      </c>
    </row>
    <row r="32" spans="1:8" x14ac:dyDescent="0.3">
      <c r="A32">
        <v>6</v>
      </c>
      <c r="B32" s="5">
        <v>43858</v>
      </c>
      <c r="C32" t="s">
        <v>11</v>
      </c>
      <c r="D32">
        <v>777</v>
      </c>
      <c r="E32">
        <v>733</v>
      </c>
      <c r="F32" s="5">
        <v>43831</v>
      </c>
      <c r="G32">
        <v>-777</v>
      </c>
      <c r="H32" t="s">
        <v>57</v>
      </c>
    </row>
    <row r="33" spans="1:8" x14ac:dyDescent="0.3">
      <c r="A33">
        <v>6</v>
      </c>
      <c r="B33" s="5">
        <v>43871</v>
      </c>
      <c r="C33" t="s">
        <v>11</v>
      </c>
      <c r="D33">
        <v>962</v>
      </c>
      <c r="E33">
        <v>-229</v>
      </c>
      <c r="F33" s="5">
        <v>43862</v>
      </c>
      <c r="G33">
        <v>-962</v>
      </c>
      <c r="H33" t="s">
        <v>58</v>
      </c>
    </row>
    <row r="34" spans="1:8" x14ac:dyDescent="0.3">
      <c r="A34">
        <v>6</v>
      </c>
      <c r="B34" s="5">
        <v>43885</v>
      </c>
      <c r="C34" t="s">
        <v>10</v>
      </c>
      <c r="D34">
        <v>240</v>
      </c>
      <c r="E34">
        <v>11</v>
      </c>
      <c r="F34" s="5">
        <v>43862</v>
      </c>
      <c r="G34">
        <v>240</v>
      </c>
      <c r="H34" t="s">
        <v>57</v>
      </c>
    </row>
    <row r="35" spans="1:8" x14ac:dyDescent="0.3">
      <c r="A35">
        <v>6</v>
      </c>
      <c r="B35" s="5">
        <v>43888</v>
      </c>
      <c r="C35" t="s">
        <v>10</v>
      </c>
      <c r="D35">
        <v>106</v>
      </c>
      <c r="E35">
        <v>117</v>
      </c>
      <c r="F35" s="5">
        <v>43862</v>
      </c>
      <c r="G35">
        <v>106</v>
      </c>
      <c r="H35" t="s">
        <v>57</v>
      </c>
    </row>
    <row r="36" spans="1:8" x14ac:dyDescent="0.3">
      <c r="A36">
        <v>6</v>
      </c>
      <c r="B36" s="5">
        <v>43888</v>
      </c>
      <c r="C36" t="s">
        <v>12</v>
      </c>
      <c r="D36">
        <v>169</v>
      </c>
      <c r="E36">
        <v>-52</v>
      </c>
      <c r="F36" s="5">
        <v>43862</v>
      </c>
      <c r="G36">
        <v>-169</v>
      </c>
      <c r="H36" t="s">
        <v>58</v>
      </c>
    </row>
    <row r="37" spans="1:8" x14ac:dyDescent="0.3">
      <c r="A37">
        <v>6</v>
      </c>
      <c r="B37" s="5">
        <v>43891</v>
      </c>
      <c r="C37" t="s">
        <v>12</v>
      </c>
      <c r="D37">
        <v>500</v>
      </c>
      <c r="E37">
        <v>-552</v>
      </c>
      <c r="F37" s="5">
        <v>43891</v>
      </c>
      <c r="G37">
        <v>-500</v>
      </c>
      <c r="H37" t="s">
        <v>58</v>
      </c>
    </row>
    <row r="38" spans="1:8" x14ac:dyDescent="0.3">
      <c r="A38">
        <v>6</v>
      </c>
      <c r="B38" s="5">
        <v>43893</v>
      </c>
      <c r="C38" t="s">
        <v>10</v>
      </c>
      <c r="D38">
        <v>582</v>
      </c>
      <c r="E38">
        <v>30</v>
      </c>
      <c r="F38" s="5">
        <v>43891</v>
      </c>
      <c r="G38">
        <v>582</v>
      </c>
      <c r="H38" t="s">
        <v>57</v>
      </c>
    </row>
    <row r="39" spans="1:8" x14ac:dyDescent="0.3">
      <c r="A39">
        <v>6</v>
      </c>
      <c r="B39" s="5">
        <v>43894</v>
      </c>
      <c r="C39" t="s">
        <v>10</v>
      </c>
      <c r="D39">
        <v>250</v>
      </c>
      <c r="E39">
        <v>280</v>
      </c>
      <c r="F39" s="5">
        <v>43891</v>
      </c>
      <c r="G39">
        <v>250</v>
      </c>
      <c r="H39" t="s">
        <v>57</v>
      </c>
    </row>
    <row r="40" spans="1:8" x14ac:dyDescent="0.3">
      <c r="A40">
        <v>6</v>
      </c>
      <c r="B40" s="5">
        <v>43900</v>
      </c>
      <c r="C40" t="s">
        <v>10</v>
      </c>
      <c r="D40">
        <v>619</v>
      </c>
      <c r="E40">
        <v>899</v>
      </c>
      <c r="F40" s="5">
        <v>43891</v>
      </c>
      <c r="G40">
        <v>619</v>
      </c>
      <c r="H40" t="s">
        <v>57</v>
      </c>
    </row>
    <row r="41" spans="1:8" x14ac:dyDescent="0.3">
      <c r="A41">
        <v>6</v>
      </c>
      <c r="B41" s="5">
        <v>43905</v>
      </c>
      <c r="C41" t="s">
        <v>10</v>
      </c>
      <c r="D41">
        <v>763</v>
      </c>
      <c r="E41">
        <v>1662</v>
      </c>
      <c r="F41" s="5">
        <v>43891</v>
      </c>
      <c r="G41">
        <v>763</v>
      </c>
      <c r="H41" t="s">
        <v>57</v>
      </c>
    </row>
    <row r="42" spans="1:8" x14ac:dyDescent="0.3">
      <c r="A42">
        <v>6</v>
      </c>
      <c r="B42" s="5">
        <v>43906</v>
      </c>
      <c r="C42" t="s">
        <v>10</v>
      </c>
      <c r="D42">
        <v>535</v>
      </c>
      <c r="E42">
        <v>2197</v>
      </c>
      <c r="F42" s="5">
        <v>43891</v>
      </c>
      <c r="G42">
        <v>535</v>
      </c>
      <c r="H42" t="s">
        <v>57</v>
      </c>
    </row>
    <row r="43" spans="1:8" x14ac:dyDescent="0.3">
      <c r="A43">
        <v>6</v>
      </c>
      <c r="B43" s="5">
        <v>43913</v>
      </c>
      <c r="C43" t="s">
        <v>11</v>
      </c>
      <c r="D43">
        <v>968</v>
      </c>
      <c r="E43">
        <v>1229</v>
      </c>
      <c r="F43" s="5">
        <v>43891</v>
      </c>
      <c r="G43">
        <v>-968</v>
      </c>
      <c r="H43" t="s">
        <v>57</v>
      </c>
    </row>
    <row r="44" spans="1:8" x14ac:dyDescent="0.3">
      <c r="A44">
        <v>6</v>
      </c>
      <c r="B44" s="5">
        <v>43916</v>
      </c>
      <c r="C44" t="s">
        <v>12</v>
      </c>
      <c r="D44">
        <v>484</v>
      </c>
      <c r="E44">
        <v>745</v>
      </c>
      <c r="F44" s="5">
        <v>43891</v>
      </c>
      <c r="G44">
        <v>-484</v>
      </c>
      <c r="H44" t="s">
        <v>57</v>
      </c>
    </row>
    <row r="45" spans="1:8" x14ac:dyDescent="0.3">
      <c r="A45">
        <v>6</v>
      </c>
      <c r="B45" s="5">
        <v>43921</v>
      </c>
      <c r="C45" t="s">
        <v>12</v>
      </c>
      <c r="D45">
        <v>405</v>
      </c>
      <c r="E45">
        <v>340</v>
      </c>
      <c r="F45" s="5">
        <v>43891</v>
      </c>
      <c r="G45">
        <v>-405</v>
      </c>
      <c r="H45" t="s">
        <v>57</v>
      </c>
    </row>
    <row r="46" spans="1:8" x14ac:dyDescent="0.3">
      <c r="A46">
        <v>7</v>
      </c>
      <c r="B46" s="5">
        <v>43850</v>
      </c>
      <c r="C46" t="s">
        <v>10</v>
      </c>
      <c r="D46">
        <v>964</v>
      </c>
      <c r="E46">
        <v>964</v>
      </c>
      <c r="F46" s="5">
        <v>43831</v>
      </c>
      <c r="G46">
        <v>964</v>
      </c>
      <c r="H46" t="s">
        <v>57</v>
      </c>
    </row>
    <row r="47" spans="1:8" x14ac:dyDescent="0.3">
      <c r="A47">
        <v>7</v>
      </c>
      <c r="B47" s="5">
        <v>43864</v>
      </c>
      <c r="C47" t="s">
        <v>11</v>
      </c>
      <c r="D47">
        <v>77</v>
      </c>
      <c r="E47">
        <v>887</v>
      </c>
      <c r="F47" s="5">
        <v>43862</v>
      </c>
      <c r="G47">
        <v>-77</v>
      </c>
      <c r="H47" t="s">
        <v>57</v>
      </c>
    </row>
    <row r="48" spans="1:8" x14ac:dyDescent="0.3">
      <c r="A48">
        <v>7</v>
      </c>
      <c r="B48" s="5">
        <v>43867</v>
      </c>
      <c r="C48" t="s">
        <v>10</v>
      </c>
      <c r="D48">
        <v>688</v>
      </c>
      <c r="E48">
        <v>1575</v>
      </c>
      <c r="F48" s="5">
        <v>43862</v>
      </c>
      <c r="G48">
        <v>688</v>
      </c>
      <c r="H48" t="s">
        <v>57</v>
      </c>
    </row>
    <row r="49" spans="1:8" x14ac:dyDescent="0.3">
      <c r="A49">
        <v>7</v>
      </c>
      <c r="B49" s="5">
        <v>43872</v>
      </c>
      <c r="C49" t="s">
        <v>10</v>
      </c>
      <c r="D49">
        <v>93</v>
      </c>
      <c r="E49">
        <v>1668</v>
      </c>
      <c r="F49" s="5">
        <v>43862</v>
      </c>
      <c r="G49">
        <v>93</v>
      </c>
      <c r="H49" t="s">
        <v>57</v>
      </c>
    </row>
    <row r="50" spans="1:8" x14ac:dyDescent="0.3">
      <c r="A50">
        <v>7</v>
      </c>
      <c r="B50" s="5">
        <v>43883</v>
      </c>
      <c r="C50" t="s">
        <v>10</v>
      </c>
      <c r="D50">
        <v>617</v>
      </c>
      <c r="E50">
        <v>2285</v>
      </c>
      <c r="F50" s="5">
        <v>43862</v>
      </c>
      <c r="G50">
        <v>617</v>
      </c>
      <c r="H50" t="s">
        <v>57</v>
      </c>
    </row>
    <row r="51" spans="1:8" x14ac:dyDescent="0.3">
      <c r="A51">
        <v>7</v>
      </c>
      <c r="B51" s="5">
        <v>43890</v>
      </c>
      <c r="C51" t="s">
        <v>10</v>
      </c>
      <c r="D51">
        <v>888</v>
      </c>
      <c r="E51">
        <v>3173</v>
      </c>
      <c r="F51" s="5">
        <v>43862</v>
      </c>
      <c r="G51">
        <v>888</v>
      </c>
      <c r="H51" t="s">
        <v>57</v>
      </c>
    </row>
    <row r="52" spans="1:8" x14ac:dyDescent="0.3">
      <c r="A52">
        <v>7</v>
      </c>
      <c r="B52" s="5">
        <v>43893</v>
      </c>
      <c r="C52" t="s">
        <v>11</v>
      </c>
      <c r="D52">
        <v>328</v>
      </c>
      <c r="E52">
        <v>2845</v>
      </c>
      <c r="F52" s="5">
        <v>43891</v>
      </c>
      <c r="G52">
        <v>-328</v>
      </c>
      <c r="H52" t="s">
        <v>57</v>
      </c>
    </row>
    <row r="53" spans="1:8" x14ac:dyDescent="0.3">
      <c r="A53">
        <v>7</v>
      </c>
      <c r="B53" s="5">
        <v>43894</v>
      </c>
      <c r="C53" t="s">
        <v>12</v>
      </c>
      <c r="D53">
        <v>29</v>
      </c>
      <c r="E53">
        <v>2816</v>
      </c>
      <c r="F53" s="5">
        <v>43891</v>
      </c>
      <c r="G53">
        <v>-29</v>
      </c>
      <c r="H53" t="s">
        <v>57</v>
      </c>
    </row>
    <row r="54" spans="1:8" x14ac:dyDescent="0.3">
      <c r="A54">
        <v>7</v>
      </c>
      <c r="B54" s="5">
        <v>43900</v>
      </c>
      <c r="C54" t="s">
        <v>10</v>
      </c>
      <c r="D54">
        <v>723</v>
      </c>
      <c r="E54">
        <v>3539</v>
      </c>
      <c r="F54" s="5">
        <v>43891</v>
      </c>
      <c r="G54">
        <v>723</v>
      </c>
      <c r="H54" t="s">
        <v>57</v>
      </c>
    </row>
    <row r="55" spans="1:8" x14ac:dyDescent="0.3">
      <c r="A55">
        <v>7</v>
      </c>
      <c r="B55" s="5">
        <v>43906</v>
      </c>
      <c r="C55" t="s">
        <v>11</v>
      </c>
      <c r="D55">
        <v>962</v>
      </c>
      <c r="E55">
        <v>2577</v>
      </c>
      <c r="F55" s="5">
        <v>43891</v>
      </c>
      <c r="G55">
        <v>-962</v>
      </c>
      <c r="H55" t="s">
        <v>57</v>
      </c>
    </row>
    <row r="56" spans="1:8" x14ac:dyDescent="0.3">
      <c r="A56">
        <v>7</v>
      </c>
      <c r="B56" s="5">
        <v>43912</v>
      </c>
      <c r="C56" t="s">
        <v>12</v>
      </c>
      <c r="D56">
        <v>44</v>
      </c>
      <c r="E56">
        <v>2533</v>
      </c>
      <c r="F56" s="5">
        <v>43891</v>
      </c>
      <c r="G56">
        <v>-44</v>
      </c>
      <c r="H56" t="s">
        <v>57</v>
      </c>
    </row>
    <row r="57" spans="1:8" x14ac:dyDescent="0.3">
      <c r="A57">
        <v>7</v>
      </c>
      <c r="B57" s="5">
        <v>43925</v>
      </c>
      <c r="C57" t="s">
        <v>12</v>
      </c>
      <c r="D57">
        <v>525</v>
      </c>
      <c r="E57">
        <v>2008</v>
      </c>
      <c r="F57" s="5">
        <v>43922</v>
      </c>
      <c r="G57">
        <v>-525</v>
      </c>
      <c r="H57" t="s">
        <v>57</v>
      </c>
    </row>
    <row r="58" spans="1:8" x14ac:dyDescent="0.3">
      <c r="A58">
        <v>7</v>
      </c>
      <c r="B58" s="5">
        <v>43938</v>
      </c>
      <c r="C58" t="s">
        <v>10</v>
      </c>
      <c r="D58">
        <v>615</v>
      </c>
      <c r="E58">
        <v>2623</v>
      </c>
      <c r="F58" s="5">
        <v>43922</v>
      </c>
      <c r="G58">
        <v>615</v>
      </c>
      <c r="H58" t="s">
        <v>57</v>
      </c>
    </row>
    <row r="59" spans="1:8" x14ac:dyDescent="0.3">
      <c r="A59">
        <v>8</v>
      </c>
      <c r="B59" s="5">
        <v>43845</v>
      </c>
      <c r="C59" t="s">
        <v>10</v>
      </c>
      <c r="D59">
        <v>207</v>
      </c>
      <c r="E59">
        <v>207</v>
      </c>
      <c r="F59" s="5">
        <v>43831</v>
      </c>
      <c r="G59">
        <v>207</v>
      </c>
      <c r="H59" t="s">
        <v>57</v>
      </c>
    </row>
    <row r="60" spans="1:8" x14ac:dyDescent="0.3">
      <c r="A60">
        <v>8</v>
      </c>
      <c r="B60" s="5">
        <v>43858</v>
      </c>
      <c r="C60" t="s">
        <v>11</v>
      </c>
      <c r="D60">
        <v>566</v>
      </c>
      <c r="E60">
        <v>-359</v>
      </c>
      <c r="F60" s="5">
        <v>43831</v>
      </c>
      <c r="G60">
        <v>-566</v>
      </c>
      <c r="H60" t="s">
        <v>58</v>
      </c>
    </row>
    <row r="61" spans="1:8" x14ac:dyDescent="0.3">
      <c r="A61">
        <v>8</v>
      </c>
      <c r="B61" s="5">
        <v>43860</v>
      </c>
      <c r="C61" t="s">
        <v>10</v>
      </c>
      <c r="D61">
        <v>946</v>
      </c>
      <c r="E61">
        <v>587</v>
      </c>
      <c r="F61" s="5">
        <v>43831</v>
      </c>
      <c r="G61">
        <v>946</v>
      </c>
      <c r="H61" t="s">
        <v>57</v>
      </c>
    </row>
    <row r="62" spans="1:8" x14ac:dyDescent="0.3">
      <c r="A62">
        <v>8</v>
      </c>
      <c r="B62" s="5">
        <v>43867</v>
      </c>
      <c r="C62" t="s">
        <v>12</v>
      </c>
      <c r="D62">
        <v>180</v>
      </c>
      <c r="E62">
        <v>407</v>
      </c>
      <c r="F62" s="5">
        <v>43862</v>
      </c>
      <c r="G62">
        <v>-180</v>
      </c>
      <c r="H62" t="s">
        <v>57</v>
      </c>
    </row>
    <row r="63" spans="1:8" x14ac:dyDescent="0.3">
      <c r="A63">
        <v>8</v>
      </c>
      <c r="B63" s="5">
        <v>43895</v>
      </c>
      <c r="C63" t="s">
        <v>10</v>
      </c>
      <c r="D63">
        <v>956</v>
      </c>
      <c r="E63">
        <v>1363</v>
      </c>
      <c r="F63" s="5">
        <v>43891</v>
      </c>
      <c r="G63">
        <v>956</v>
      </c>
      <c r="H63" t="s">
        <v>57</v>
      </c>
    </row>
    <row r="64" spans="1:8" x14ac:dyDescent="0.3">
      <c r="A64">
        <v>8</v>
      </c>
      <c r="B64" s="5">
        <v>43917</v>
      </c>
      <c r="C64" t="s">
        <v>12</v>
      </c>
      <c r="D64">
        <v>775</v>
      </c>
      <c r="E64">
        <v>588</v>
      </c>
      <c r="F64" s="5">
        <v>43891</v>
      </c>
      <c r="G64">
        <v>-775</v>
      </c>
      <c r="H64" t="s">
        <v>57</v>
      </c>
    </row>
    <row r="65" spans="1:8" x14ac:dyDescent="0.3">
      <c r="A65">
        <v>8</v>
      </c>
      <c r="B65" s="5">
        <v>43918</v>
      </c>
      <c r="C65" t="s">
        <v>12</v>
      </c>
      <c r="D65">
        <v>178</v>
      </c>
      <c r="E65">
        <v>410</v>
      </c>
      <c r="F65" s="5">
        <v>43891</v>
      </c>
      <c r="G65">
        <v>-178</v>
      </c>
      <c r="H65" t="s">
        <v>57</v>
      </c>
    </row>
    <row r="66" spans="1:8" x14ac:dyDescent="0.3">
      <c r="A66">
        <v>8</v>
      </c>
      <c r="B66" s="5">
        <v>43920</v>
      </c>
      <c r="C66" t="s">
        <v>11</v>
      </c>
      <c r="D66">
        <v>467</v>
      </c>
      <c r="E66">
        <v>-57</v>
      </c>
      <c r="F66" s="5">
        <v>43891</v>
      </c>
      <c r="G66">
        <v>-467</v>
      </c>
      <c r="H66" t="s">
        <v>58</v>
      </c>
    </row>
    <row r="67" spans="1:8" x14ac:dyDescent="0.3">
      <c r="A67">
        <v>8</v>
      </c>
      <c r="B67" s="5">
        <v>43932</v>
      </c>
      <c r="C67" t="s">
        <v>11</v>
      </c>
      <c r="D67">
        <v>323</v>
      </c>
      <c r="E67">
        <v>-380</v>
      </c>
      <c r="F67" s="5">
        <v>43922</v>
      </c>
      <c r="G67">
        <v>-323</v>
      </c>
      <c r="H67" t="s">
        <v>58</v>
      </c>
    </row>
    <row r="68" spans="1:8" x14ac:dyDescent="0.3">
      <c r="A68">
        <v>8</v>
      </c>
      <c r="B68" s="5">
        <v>43934</v>
      </c>
      <c r="C68" t="s">
        <v>11</v>
      </c>
      <c r="D68">
        <v>649</v>
      </c>
      <c r="E68">
        <v>-1029</v>
      </c>
      <c r="F68" s="5">
        <v>43922</v>
      </c>
      <c r="G68">
        <v>-649</v>
      </c>
      <c r="H68" t="s">
        <v>58</v>
      </c>
    </row>
    <row r="69" spans="1:8" x14ac:dyDescent="0.3">
      <c r="A69">
        <v>9</v>
      </c>
      <c r="B69" s="5">
        <v>43851</v>
      </c>
      <c r="C69" t="s">
        <v>10</v>
      </c>
      <c r="D69">
        <v>669</v>
      </c>
      <c r="E69">
        <v>669</v>
      </c>
      <c r="F69" s="5">
        <v>43831</v>
      </c>
      <c r="G69">
        <v>669</v>
      </c>
      <c r="H69" t="s">
        <v>57</v>
      </c>
    </row>
    <row r="70" spans="1:8" x14ac:dyDescent="0.3">
      <c r="A70">
        <v>9</v>
      </c>
      <c r="B70" s="5">
        <v>43855</v>
      </c>
      <c r="C70" t="s">
        <v>10</v>
      </c>
      <c r="D70">
        <v>180</v>
      </c>
      <c r="E70">
        <v>849</v>
      </c>
      <c r="F70" s="5">
        <v>43831</v>
      </c>
      <c r="G70">
        <v>180</v>
      </c>
      <c r="H70" t="s">
        <v>57</v>
      </c>
    </row>
    <row r="71" spans="1:8" x14ac:dyDescent="0.3">
      <c r="A71">
        <v>9</v>
      </c>
      <c r="B71" s="5">
        <v>43876</v>
      </c>
      <c r="C71" t="s">
        <v>12</v>
      </c>
      <c r="D71">
        <v>195</v>
      </c>
      <c r="E71">
        <v>654</v>
      </c>
      <c r="F71" s="5">
        <v>43862</v>
      </c>
      <c r="G71">
        <v>-195</v>
      </c>
      <c r="H71" t="s">
        <v>57</v>
      </c>
    </row>
    <row r="72" spans="1:8" x14ac:dyDescent="0.3">
      <c r="A72">
        <v>9</v>
      </c>
      <c r="B72" s="5">
        <v>43894</v>
      </c>
      <c r="C72" t="s">
        <v>10</v>
      </c>
      <c r="D72">
        <v>381</v>
      </c>
      <c r="E72">
        <v>1035</v>
      </c>
      <c r="F72" s="5">
        <v>43891</v>
      </c>
      <c r="G72">
        <v>381</v>
      </c>
      <c r="H72" t="s">
        <v>57</v>
      </c>
    </row>
    <row r="73" spans="1:8" x14ac:dyDescent="0.3">
      <c r="A73">
        <v>9</v>
      </c>
      <c r="B73" s="5">
        <v>43895</v>
      </c>
      <c r="C73" t="s">
        <v>10</v>
      </c>
      <c r="D73">
        <v>982</v>
      </c>
      <c r="E73">
        <v>2017</v>
      </c>
      <c r="F73" s="5">
        <v>43891</v>
      </c>
      <c r="G73">
        <v>982</v>
      </c>
      <c r="H73" t="s">
        <v>57</v>
      </c>
    </row>
    <row r="74" spans="1:8" x14ac:dyDescent="0.3">
      <c r="A74">
        <v>9</v>
      </c>
      <c r="B74" s="5">
        <v>43900</v>
      </c>
      <c r="C74" t="s">
        <v>10</v>
      </c>
      <c r="D74">
        <v>13</v>
      </c>
      <c r="E74">
        <v>2030</v>
      </c>
      <c r="F74" s="5">
        <v>43891</v>
      </c>
      <c r="G74">
        <v>13</v>
      </c>
      <c r="H74" t="s">
        <v>57</v>
      </c>
    </row>
    <row r="75" spans="1:8" x14ac:dyDescent="0.3">
      <c r="A75">
        <v>9</v>
      </c>
      <c r="B75" s="5">
        <v>43906</v>
      </c>
      <c r="C75" t="s">
        <v>12</v>
      </c>
      <c r="D75">
        <v>446</v>
      </c>
      <c r="E75">
        <v>1584</v>
      </c>
      <c r="F75" s="5">
        <v>43891</v>
      </c>
      <c r="G75">
        <v>-446</v>
      </c>
      <c r="H75" t="s">
        <v>57</v>
      </c>
    </row>
    <row r="76" spans="1:8" x14ac:dyDescent="0.3">
      <c r="A76">
        <v>9</v>
      </c>
      <c r="B76" s="5">
        <v>43930</v>
      </c>
      <c r="C76" t="s">
        <v>12</v>
      </c>
      <c r="D76">
        <v>976</v>
      </c>
      <c r="E76">
        <v>608</v>
      </c>
      <c r="F76" s="5">
        <v>43922</v>
      </c>
      <c r="G76">
        <v>-976</v>
      </c>
      <c r="H76" t="s">
        <v>57</v>
      </c>
    </row>
    <row r="77" spans="1:8" x14ac:dyDescent="0.3">
      <c r="A77">
        <v>9</v>
      </c>
      <c r="B77" s="5">
        <v>43931</v>
      </c>
      <c r="C77" t="s">
        <v>12</v>
      </c>
      <c r="D77">
        <v>699</v>
      </c>
      <c r="E77">
        <v>-91</v>
      </c>
      <c r="F77" s="5">
        <v>43922</v>
      </c>
      <c r="G77">
        <v>-699</v>
      </c>
      <c r="H77" t="s">
        <v>58</v>
      </c>
    </row>
    <row r="78" spans="1:8" x14ac:dyDescent="0.3">
      <c r="A78">
        <v>9</v>
      </c>
      <c r="B78" s="5">
        <v>43937</v>
      </c>
      <c r="C78" t="s">
        <v>10</v>
      </c>
      <c r="D78">
        <v>953</v>
      </c>
      <c r="E78">
        <v>862</v>
      </c>
      <c r="F78" s="5">
        <v>43922</v>
      </c>
      <c r="G78">
        <v>953</v>
      </c>
      <c r="H78" t="s">
        <v>57</v>
      </c>
    </row>
    <row r="79" spans="1:8" x14ac:dyDescent="0.3">
      <c r="A79">
        <v>10</v>
      </c>
      <c r="B79" s="5">
        <v>43843</v>
      </c>
      <c r="C79" t="s">
        <v>10</v>
      </c>
      <c r="D79">
        <v>556</v>
      </c>
      <c r="E79">
        <v>556</v>
      </c>
      <c r="F79" s="5">
        <v>43831</v>
      </c>
      <c r="G79">
        <v>556</v>
      </c>
      <c r="H79" t="s">
        <v>57</v>
      </c>
    </row>
    <row r="80" spans="1:8" x14ac:dyDescent="0.3">
      <c r="A80">
        <v>10</v>
      </c>
      <c r="B80" s="5">
        <v>43845</v>
      </c>
      <c r="C80" t="s">
        <v>11</v>
      </c>
      <c r="D80">
        <v>775</v>
      </c>
      <c r="E80">
        <v>-219</v>
      </c>
      <c r="F80" s="5">
        <v>43831</v>
      </c>
      <c r="G80">
        <v>-775</v>
      </c>
      <c r="H80" t="s">
        <v>58</v>
      </c>
    </row>
    <row r="81" spans="1:8" x14ac:dyDescent="0.3">
      <c r="A81">
        <v>10</v>
      </c>
      <c r="B81" s="5">
        <v>43848</v>
      </c>
      <c r="C81" t="s">
        <v>12</v>
      </c>
      <c r="D81">
        <v>738</v>
      </c>
      <c r="E81">
        <v>-957</v>
      </c>
      <c r="F81" s="5">
        <v>43831</v>
      </c>
      <c r="G81">
        <v>-738</v>
      </c>
      <c r="H81" t="s">
        <v>58</v>
      </c>
    </row>
    <row r="82" spans="1:8" x14ac:dyDescent="0.3">
      <c r="A82">
        <v>10</v>
      </c>
      <c r="B82" s="5">
        <v>43848</v>
      </c>
      <c r="C82" t="s">
        <v>11</v>
      </c>
      <c r="D82">
        <v>437</v>
      </c>
      <c r="E82">
        <v>-1394</v>
      </c>
      <c r="F82" s="5">
        <v>43831</v>
      </c>
      <c r="G82">
        <v>-437</v>
      </c>
      <c r="H82" t="s">
        <v>58</v>
      </c>
    </row>
    <row r="83" spans="1:8" x14ac:dyDescent="0.3">
      <c r="A83">
        <v>10</v>
      </c>
      <c r="B83" s="5">
        <v>43854</v>
      </c>
      <c r="C83" t="s">
        <v>12</v>
      </c>
      <c r="D83">
        <v>746</v>
      </c>
      <c r="E83">
        <v>-2140</v>
      </c>
      <c r="F83" s="5">
        <v>43831</v>
      </c>
      <c r="G83">
        <v>-746</v>
      </c>
      <c r="H83" t="s">
        <v>58</v>
      </c>
    </row>
    <row r="84" spans="1:8" x14ac:dyDescent="0.3">
      <c r="A84">
        <v>10</v>
      </c>
      <c r="B84" s="5">
        <v>43856</v>
      </c>
      <c r="C84" t="s">
        <v>10</v>
      </c>
      <c r="D84">
        <v>518</v>
      </c>
      <c r="E84">
        <v>-1622</v>
      </c>
      <c r="F84" s="5">
        <v>43831</v>
      </c>
      <c r="G84">
        <v>518</v>
      </c>
      <c r="H84" t="s">
        <v>58</v>
      </c>
    </row>
    <row r="85" spans="1:8" x14ac:dyDescent="0.3">
      <c r="A85">
        <v>10</v>
      </c>
      <c r="B85" s="5">
        <v>43865</v>
      </c>
      <c r="C85" t="s">
        <v>12</v>
      </c>
      <c r="D85">
        <v>830</v>
      </c>
      <c r="E85">
        <v>-2452</v>
      </c>
      <c r="F85" s="5">
        <v>43862</v>
      </c>
      <c r="G85">
        <v>-830</v>
      </c>
      <c r="H85" t="s">
        <v>58</v>
      </c>
    </row>
    <row r="86" spans="1:8" x14ac:dyDescent="0.3">
      <c r="A86">
        <v>10</v>
      </c>
      <c r="B86" s="5">
        <v>43866</v>
      </c>
      <c r="C86" t="s">
        <v>10</v>
      </c>
      <c r="D86">
        <v>925</v>
      </c>
      <c r="E86">
        <v>-1527</v>
      </c>
      <c r="F86" s="5">
        <v>43862</v>
      </c>
      <c r="G86">
        <v>925</v>
      </c>
      <c r="H86" t="s">
        <v>58</v>
      </c>
    </row>
    <row r="87" spans="1:8" x14ac:dyDescent="0.3">
      <c r="A87">
        <v>10</v>
      </c>
      <c r="B87" s="5">
        <v>43869</v>
      </c>
      <c r="C87" t="s">
        <v>11</v>
      </c>
      <c r="D87">
        <v>214</v>
      </c>
      <c r="E87">
        <v>-1741</v>
      </c>
      <c r="F87" s="5">
        <v>43862</v>
      </c>
      <c r="G87">
        <v>-214</v>
      </c>
      <c r="H87" t="s">
        <v>58</v>
      </c>
    </row>
    <row r="88" spans="1:8" x14ac:dyDescent="0.3">
      <c r="A88">
        <v>10</v>
      </c>
      <c r="B88" s="5">
        <v>43874</v>
      </c>
      <c r="C88" t="s">
        <v>10</v>
      </c>
      <c r="D88">
        <v>399</v>
      </c>
      <c r="E88">
        <v>-1342</v>
      </c>
      <c r="F88" s="5">
        <v>43862</v>
      </c>
      <c r="G88">
        <v>399</v>
      </c>
      <c r="H88" t="s">
        <v>58</v>
      </c>
    </row>
    <row r="89" spans="1:8" x14ac:dyDescent="0.3">
      <c r="A89">
        <v>10</v>
      </c>
      <c r="B89" s="5">
        <v>43893</v>
      </c>
      <c r="C89" t="s">
        <v>11</v>
      </c>
      <c r="D89">
        <v>983</v>
      </c>
      <c r="E89">
        <v>-2325</v>
      </c>
      <c r="F89" s="5">
        <v>43891</v>
      </c>
      <c r="G89">
        <v>-983</v>
      </c>
      <c r="H89" t="s">
        <v>58</v>
      </c>
    </row>
    <row r="90" spans="1:8" x14ac:dyDescent="0.3">
      <c r="A90">
        <v>10</v>
      </c>
      <c r="B90" s="5">
        <v>43894</v>
      </c>
      <c r="C90" t="s">
        <v>12</v>
      </c>
      <c r="D90">
        <v>282</v>
      </c>
      <c r="E90">
        <v>-2607</v>
      </c>
      <c r="F90" s="5">
        <v>43891</v>
      </c>
      <c r="G90">
        <v>-282</v>
      </c>
      <c r="H90" t="s">
        <v>58</v>
      </c>
    </row>
    <row r="91" spans="1:8" x14ac:dyDescent="0.3">
      <c r="A91">
        <v>10</v>
      </c>
      <c r="B91" s="5">
        <v>43916</v>
      </c>
      <c r="C91" t="s">
        <v>11</v>
      </c>
      <c r="D91">
        <v>146</v>
      </c>
      <c r="E91">
        <v>-2753</v>
      </c>
      <c r="F91" s="5">
        <v>43891</v>
      </c>
      <c r="G91">
        <v>-146</v>
      </c>
      <c r="H91" t="s">
        <v>58</v>
      </c>
    </row>
    <row r="92" spans="1:8" x14ac:dyDescent="0.3">
      <c r="A92">
        <v>10</v>
      </c>
      <c r="B92" s="5">
        <v>43925</v>
      </c>
      <c r="C92" t="s">
        <v>12</v>
      </c>
      <c r="D92">
        <v>328</v>
      </c>
      <c r="E92">
        <v>-3081</v>
      </c>
      <c r="F92" s="5">
        <v>43922</v>
      </c>
      <c r="G92">
        <v>-328</v>
      </c>
      <c r="H92" t="s">
        <v>58</v>
      </c>
    </row>
    <row r="93" spans="1:8" x14ac:dyDescent="0.3">
      <c r="A93">
        <v>10</v>
      </c>
      <c r="B93" s="5">
        <v>43927</v>
      </c>
      <c r="C93" t="s">
        <v>10</v>
      </c>
      <c r="D93">
        <v>307</v>
      </c>
      <c r="E93">
        <v>-2774</v>
      </c>
      <c r="F93" s="5">
        <v>43922</v>
      </c>
      <c r="G93">
        <v>307</v>
      </c>
      <c r="H93" t="s">
        <v>58</v>
      </c>
    </row>
    <row r="94" spans="1:8" x14ac:dyDescent="0.3">
      <c r="A94">
        <v>10</v>
      </c>
      <c r="B94" s="5">
        <v>43930</v>
      </c>
      <c r="C94" t="s">
        <v>12</v>
      </c>
      <c r="D94">
        <v>492</v>
      </c>
      <c r="E94">
        <v>-3266</v>
      </c>
      <c r="F94" s="5">
        <v>43922</v>
      </c>
      <c r="G94">
        <v>-492</v>
      </c>
      <c r="H94" t="s">
        <v>58</v>
      </c>
    </row>
    <row r="95" spans="1:8" x14ac:dyDescent="0.3">
      <c r="A95">
        <v>10</v>
      </c>
      <c r="B95" s="5">
        <v>43930</v>
      </c>
      <c r="C95" t="s">
        <v>11</v>
      </c>
      <c r="D95">
        <v>850</v>
      </c>
      <c r="E95">
        <v>-4116</v>
      </c>
      <c r="F95" s="5">
        <v>43922</v>
      </c>
      <c r="G95">
        <v>-850</v>
      </c>
      <c r="H95" t="s">
        <v>58</v>
      </c>
    </row>
    <row r="96" spans="1:8" x14ac:dyDescent="0.3">
      <c r="A96">
        <v>10</v>
      </c>
      <c r="B96" s="5">
        <v>43931</v>
      </c>
      <c r="C96" t="s">
        <v>11</v>
      </c>
      <c r="D96">
        <v>974</v>
      </c>
      <c r="E96">
        <v>-5090</v>
      </c>
      <c r="F96" s="5">
        <v>43922</v>
      </c>
      <c r="G96">
        <v>-974</v>
      </c>
      <c r="H96" t="s">
        <v>58</v>
      </c>
    </row>
    <row r="97" spans="1:8" x14ac:dyDescent="0.3">
      <c r="A97">
        <v>11</v>
      </c>
      <c r="B97" s="5">
        <v>43849</v>
      </c>
      <c r="C97" t="s">
        <v>10</v>
      </c>
      <c r="D97">
        <v>60</v>
      </c>
      <c r="E97">
        <v>60</v>
      </c>
      <c r="F97" s="5">
        <v>43831</v>
      </c>
      <c r="G97">
        <v>60</v>
      </c>
      <c r="H97" t="s">
        <v>57</v>
      </c>
    </row>
    <row r="98" spans="1:8" x14ac:dyDescent="0.3">
      <c r="A98">
        <v>11</v>
      </c>
      <c r="B98" s="5">
        <v>43850</v>
      </c>
      <c r="C98" t="s">
        <v>11</v>
      </c>
      <c r="D98">
        <v>409</v>
      </c>
      <c r="E98">
        <v>-349</v>
      </c>
      <c r="F98" s="5">
        <v>43831</v>
      </c>
      <c r="G98">
        <v>-409</v>
      </c>
      <c r="H98" t="s">
        <v>58</v>
      </c>
    </row>
    <row r="99" spans="1:8" x14ac:dyDescent="0.3">
      <c r="A99">
        <v>11</v>
      </c>
      <c r="B99" s="5">
        <v>43850</v>
      </c>
      <c r="C99" t="s">
        <v>11</v>
      </c>
      <c r="D99">
        <v>947</v>
      </c>
      <c r="E99">
        <v>-1296</v>
      </c>
      <c r="F99" s="5">
        <v>43831</v>
      </c>
      <c r="G99">
        <v>-947</v>
      </c>
      <c r="H99" t="s">
        <v>58</v>
      </c>
    </row>
    <row r="100" spans="1:8" x14ac:dyDescent="0.3">
      <c r="A100">
        <v>11</v>
      </c>
      <c r="B100" s="5">
        <v>43850</v>
      </c>
      <c r="C100" t="s">
        <v>11</v>
      </c>
      <c r="D100">
        <v>448</v>
      </c>
      <c r="E100">
        <v>-1744</v>
      </c>
      <c r="F100" s="5">
        <v>43831</v>
      </c>
      <c r="G100">
        <v>-448</v>
      </c>
      <c r="H100" t="s">
        <v>58</v>
      </c>
    </row>
    <row r="101" spans="1:8" x14ac:dyDescent="0.3">
      <c r="A101">
        <v>11</v>
      </c>
      <c r="B101" s="5">
        <v>43865</v>
      </c>
      <c r="C101" t="s">
        <v>12</v>
      </c>
      <c r="D101">
        <v>350</v>
      </c>
      <c r="E101">
        <v>-2094</v>
      </c>
      <c r="F101" s="5">
        <v>43862</v>
      </c>
      <c r="G101">
        <v>-350</v>
      </c>
      <c r="H101" t="s">
        <v>58</v>
      </c>
    </row>
    <row r="102" spans="1:8" x14ac:dyDescent="0.3">
      <c r="A102">
        <v>11</v>
      </c>
      <c r="B102" s="5">
        <v>43886</v>
      </c>
      <c r="C102" t="s">
        <v>12</v>
      </c>
      <c r="D102">
        <v>375</v>
      </c>
      <c r="E102">
        <v>-2469</v>
      </c>
      <c r="F102" s="5">
        <v>43862</v>
      </c>
      <c r="G102">
        <v>-375</v>
      </c>
      <c r="H102" t="s">
        <v>58</v>
      </c>
    </row>
    <row r="103" spans="1:8" x14ac:dyDescent="0.3">
      <c r="A103">
        <v>11</v>
      </c>
      <c r="B103" s="5">
        <v>43897</v>
      </c>
      <c r="C103" t="s">
        <v>10</v>
      </c>
      <c r="D103">
        <v>320</v>
      </c>
      <c r="E103">
        <v>-2149</v>
      </c>
      <c r="F103" s="5">
        <v>43891</v>
      </c>
      <c r="G103">
        <v>320</v>
      </c>
      <c r="H103" t="s">
        <v>58</v>
      </c>
    </row>
    <row r="104" spans="1:8" x14ac:dyDescent="0.3">
      <c r="A104">
        <v>11</v>
      </c>
      <c r="B104" s="5">
        <v>43905</v>
      </c>
      <c r="C104" t="s">
        <v>10</v>
      </c>
      <c r="D104">
        <v>549</v>
      </c>
      <c r="E104">
        <v>-1600</v>
      </c>
      <c r="F104" s="5">
        <v>43891</v>
      </c>
      <c r="G104">
        <v>549</v>
      </c>
      <c r="H104" t="s">
        <v>58</v>
      </c>
    </row>
    <row r="105" spans="1:8" x14ac:dyDescent="0.3">
      <c r="A105">
        <v>11</v>
      </c>
      <c r="B105" s="5">
        <v>43909</v>
      </c>
      <c r="C105" t="s">
        <v>11</v>
      </c>
      <c r="D105">
        <v>806</v>
      </c>
      <c r="E105">
        <v>-2406</v>
      </c>
      <c r="F105" s="5">
        <v>43891</v>
      </c>
      <c r="G105">
        <v>-806</v>
      </c>
      <c r="H105" t="s">
        <v>58</v>
      </c>
    </row>
    <row r="106" spans="1:8" x14ac:dyDescent="0.3">
      <c r="A106">
        <v>11</v>
      </c>
      <c r="B106" s="5">
        <v>43909</v>
      </c>
      <c r="C106" t="s">
        <v>10</v>
      </c>
      <c r="D106">
        <v>316</v>
      </c>
      <c r="E106">
        <v>-2090</v>
      </c>
      <c r="F106" s="5">
        <v>43891</v>
      </c>
      <c r="G106">
        <v>316</v>
      </c>
      <c r="H106" t="s">
        <v>58</v>
      </c>
    </row>
    <row r="107" spans="1:8" x14ac:dyDescent="0.3">
      <c r="A107">
        <v>11</v>
      </c>
      <c r="B107" s="5">
        <v>43910</v>
      </c>
      <c r="C107" t="s">
        <v>11</v>
      </c>
      <c r="D107">
        <v>302</v>
      </c>
      <c r="E107">
        <v>-2392</v>
      </c>
      <c r="F107" s="5">
        <v>43891</v>
      </c>
      <c r="G107">
        <v>-302</v>
      </c>
      <c r="H107" t="s">
        <v>58</v>
      </c>
    </row>
    <row r="108" spans="1:8" x14ac:dyDescent="0.3">
      <c r="A108">
        <v>11</v>
      </c>
      <c r="B108" s="5">
        <v>43910</v>
      </c>
      <c r="C108" t="s">
        <v>12</v>
      </c>
      <c r="D108">
        <v>137</v>
      </c>
      <c r="E108">
        <v>-2529</v>
      </c>
      <c r="F108" s="5">
        <v>43891</v>
      </c>
      <c r="G108">
        <v>-137</v>
      </c>
      <c r="H108" t="s">
        <v>58</v>
      </c>
    </row>
    <row r="109" spans="1:8" x14ac:dyDescent="0.3">
      <c r="A109">
        <v>11</v>
      </c>
      <c r="B109" s="5">
        <v>43913</v>
      </c>
      <c r="C109" t="s">
        <v>10</v>
      </c>
      <c r="D109">
        <v>178</v>
      </c>
      <c r="E109">
        <v>-2351</v>
      </c>
      <c r="F109" s="5">
        <v>43891</v>
      </c>
      <c r="G109">
        <v>178</v>
      </c>
      <c r="H109" t="s">
        <v>58</v>
      </c>
    </row>
    <row r="110" spans="1:8" x14ac:dyDescent="0.3">
      <c r="A110">
        <v>11</v>
      </c>
      <c r="B110" s="5">
        <v>43914</v>
      </c>
      <c r="C110" t="s">
        <v>10</v>
      </c>
      <c r="D110">
        <v>852</v>
      </c>
      <c r="E110">
        <v>-1499</v>
      </c>
      <c r="F110" s="5">
        <v>43891</v>
      </c>
      <c r="G110">
        <v>852</v>
      </c>
      <c r="H110" t="s">
        <v>58</v>
      </c>
    </row>
    <row r="111" spans="1:8" x14ac:dyDescent="0.3">
      <c r="A111">
        <v>11</v>
      </c>
      <c r="B111" s="5">
        <v>43921</v>
      </c>
      <c r="C111" t="s">
        <v>11</v>
      </c>
      <c r="D111">
        <v>10</v>
      </c>
      <c r="E111">
        <v>-1509</v>
      </c>
      <c r="F111" s="5">
        <v>43891</v>
      </c>
      <c r="G111">
        <v>-10</v>
      </c>
      <c r="H111" t="s">
        <v>58</v>
      </c>
    </row>
    <row r="112" spans="1:8" x14ac:dyDescent="0.3">
      <c r="A112">
        <v>11</v>
      </c>
      <c r="B112" s="5">
        <v>43921</v>
      </c>
      <c r="C112" t="s">
        <v>11</v>
      </c>
      <c r="D112">
        <v>579</v>
      </c>
      <c r="E112">
        <v>-2088</v>
      </c>
      <c r="F112" s="5">
        <v>43891</v>
      </c>
      <c r="G112">
        <v>-579</v>
      </c>
      <c r="H112" t="s">
        <v>58</v>
      </c>
    </row>
    <row r="113" spans="1:8" x14ac:dyDescent="0.3">
      <c r="A113">
        <v>11</v>
      </c>
      <c r="B113" s="5">
        <v>43937</v>
      </c>
      <c r="C113" t="s">
        <v>12</v>
      </c>
      <c r="D113">
        <v>328</v>
      </c>
      <c r="E113">
        <v>-2416</v>
      </c>
      <c r="F113" s="5">
        <v>43922</v>
      </c>
      <c r="G113">
        <v>-328</v>
      </c>
      <c r="H113" t="s">
        <v>58</v>
      </c>
    </row>
    <row r="114" spans="1:8" x14ac:dyDescent="0.3">
      <c r="A114">
        <v>12</v>
      </c>
      <c r="B114" s="5">
        <v>43843</v>
      </c>
      <c r="C114" t="s">
        <v>10</v>
      </c>
      <c r="D114">
        <v>202</v>
      </c>
      <c r="E114">
        <v>202</v>
      </c>
      <c r="F114" s="5">
        <v>43831</v>
      </c>
      <c r="G114">
        <v>202</v>
      </c>
      <c r="H114" t="s">
        <v>57</v>
      </c>
    </row>
    <row r="115" spans="1:8" x14ac:dyDescent="0.3">
      <c r="A115">
        <v>12</v>
      </c>
      <c r="B115" s="5">
        <v>43858</v>
      </c>
      <c r="C115" t="s">
        <v>12</v>
      </c>
      <c r="D115">
        <v>110</v>
      </c>
      <c r="E115">
        <v>92</v>
      </c>
      <c r="F115" s="5">
        <v>43831</v>
      </c>
      <c r="G115">
        <v>-110</v>
      </c>
      <c r="H115" t="s">
        <v>57</v>
      </c>
    </row>
    <row r="116" spans="1:8" x14ac:dyDescent="0.3">
      <c r="A116">
        <v>12</v>
      </c>
      <c r="B116" s="5">
        <v>43908</v>
      </c>
      <c r="C116" t="s">
        <v>12</v>
      </c>
      <c r="D116">
        <v>739</v>
      </c>
      <c r="E116">
        <v>-647</v>
      </c>
      <c r="F116" s="5">
        <v>43891</v>
      </c>
      <c r="G116">
        <v>-739</v>
      </c>
      <c r="H116" t="s">
        <v>58</v>
      </c>
    </row>
    <row r="117" spans="1:8" x14ac:dyDescent="0.3">
      <c r="A117">
        <v>12</v>
      </c>
      <c r="B117" s="5">
        <v>43913</v>
      </c>
      <c r="C117" t="s">
        <v>10</v>
      </c>
      <c r="D117">
        <v>942</v>
      </c>
      <c r="E117">
        <v>295</v>
      </c>
      <c r="F117" s="5">
        <v>43891</v>
      </c>
      <c r="G117">
        <v>942</v>
      </c>
      <c r="H117" t="s">
        <v>57</v>
      </c>
    </row>
    <row r="118" spans="1:8" x14ac:dyDescent="0.3">
      <c r="A118">
        <v>13</v>
      </c>
      <c r="B118" s="5">
        <v>43832</v>
      </c>
      <c r="C118" t="s">
        <v>10</v>
      </c>
      <c r="D118">
        <v>566</v>
      </c>
      <c r="E118">
        <v>566</v>
      </c>
      <c r="F118" s="5">
        <v>43831</v>
      </c>
      <c r="G118">
        <v>566</v>
      </c>
      <c r="H118" t="s">
        <v>57</v>
      </c>
    </row>
    <row r="119" spans="1:8" x14ac:dyDescent="0.3">
      <c r="A119">
        <v>13</v>
      </c>
      <c r="B119" s="5">
        <v>43834</v>
      </c>
      <c r="C119" t="s">
        <v>12</v>
      </c>
      <c r="D119">
        <v>87</v>
      </c>
      <c r="E119">
        <v>479</v>
      </c>
      <c r="F119" s="5">
        <v>43831</v>
      </c>
      <c r="G119">
        <v>-87</v>
      </c>
      <c r="H119" t="s">
        <v>57</v>
      </c>
    </row>
    <row r="120" spans="1:8" x14ac:dyDescent="0.3">
      <c r="A120">
        <v>13</v>
      </c>
      <c r="B120" s="5">
        <v>43838</v>
      </c>
      <c r="C120" t="s">
        <v>10</v>
      </c>
      <c r="D120">
        <v>107</v>
      </c>
      <c r="E120">
        <v>586</v>
      </c>
      <c r="F120" s="5">
        <v>43831</v>
      </c>
      <c r="G120">
        <v>107</v>
      </c>
      <c r="H120" t="s">
        <v>57</v>
      </c>
    </row>
    <row r="121" spans="1:8" x14ac:dyDescent="0.3">
      <c r="A121">
        <v>13</v>
      </c>
      <c r="B121" s="5">
        <v>43852</v>
      </c>
      <c r="C121" t="s">
        <v>10</v>
      </c>
      <c r="D121">
        <v>858</v>
      </c>
      <c r="E121">
        <v>1444</v>
      </c>
      <c r="F121" s="5">
        <v>43831</v>
      </c>
      <c r="G121">
        <v>858</v>
      </c>
      <c r="H121" t="s">
        <v>57</v>
      </c>
    </row>
    <row r="122" spans="1:8" x14ac:dyDescent="0.3">
      <c r="A122">
        <v>13</v>
      </c>
      <c r="B122" s="5">
        <v>43858</v>
      </c>
      <c r="C122" t="s">
        <v>11</v>
      </c>
      <c r="D122">
        <v>664</v>
      </c>
      <c r="E122">
        <v>780</v>
      </c>
      <c r="F122" s="5">
        <v>43831</v>
      </c>
      <c r="G122">
        <v>-664</v>
      </c>
      <c r="H122" t="s">
        <v>57</v>
      </c>
    </row>
    <row r="123" spans="1:8" x14ac:dyDescent="0.3">
      <c r="A123">
        <v>13</v>
      </c>
      <c r="B123" s="5">
        <v>43865</v>
      </c>
      <c r="C123" t="s">
        <v>10</v>
      </c>
      <c r="D123">
        <v>55</v>
      </c>
      <c r="E123">
        <v>835</v>
      </c>
      <c r="F123" s="5">
        <v>43862</v>
      </c>
      <c r="G123">
        <v>55</v>
      </c>
      <c r="H123" t="s">
        <v>57</v>
      </c>
    </row>
    <row r="124" spans="1:8" x14ac:dyDescent="0.3">
      <c r="A124">
        <v>13</v>
      </c>
      <c r="B124" s="5">
        <v>43873</v>
      </c>
      <c r="C124" t="s">
        <v>12</v>
      </c>
      <c r="D124">
        <v>456</v>
      </c>
      <c r="E124">
        <v>379</v>
      </c>
      <c r="F124" s="5">
        <v>43862</v>
      </c>
      <c r="G124">
        <v>-456</v>
      </c>
      <c r="H124" t="s">
        <v>57</v>
      </c>
    </row>
    <row r="125" spans="1:8" x14ac:dyDescent="0.3">
      <c r="A125">
        <v>13</v>
      </c>
      <c r="B125" s="5">
        <v>43874</v>
      </c>
      <c r="C125" t="s">
        <v>10</v>
      </c>
      <c r="D125">
        <v>149</v>
      </c>
      <c r="E125">
        <v>528</v>
      </c>
      <c r="F125" s="5">
        <v>43862</v>
      </c>
      <c r="G125">
        <v>149</v>
      </c>
      <c r="H125" t="s">
        <v>57</v>
      </c>
    </row>
    <row r="126" spans="1:8" x14ac:dyDescent="0.3">
      <c r="A126">
        <v>13</v>
      </c>
      <c r="B126" s="5">
        <v>43874</v>
      </c>
      <c r="C126" t="s">
        <v>10</v>
      </c>
      <c r="D126">
        <v>751</v>
      </c>
      <c r="E126">
        <v>1279</v>
      </c>
      <c r="F126" s="5">
        <v>43862</v>
      </c>
      <c r="G126">
        <v>751</v>
      </c>
      <c r="H126" t="s">
        <v>57</v>
      </c>
    </row>
    <row r="127" spans="1:8" x14ac:dyDescent="0.3">
      <c r="A127">
        <v>13</v>
      </c>
      <c r="B127" s="5">
        <v>43899</v>
      </c>
      <c r="C127" t="s">
        <v>12</v>
      </c>
      <c r="D127">
        <v>543</v>
      </c>
      <c r="E127">
        <v>736</v>
      </c>
      <c r="F127" s="5">
        <v>43891</v>
      </c>
      <c r="G127">
        <v>-543</v>
      </c>
      <c r="H127" t="s">
        <v>57</v>
      </c>
    </row>
    <row r="128" spans="1:8" x14ac:dyDescent="0.3">
      <c r="A128">
        <v>13</v>
      </c>
      <c r="B128" s="5">
        <v>43903</v>
      </c>
      <c r="C128" t="s">
        <v>12</v>
      </c>
      <c r="D128">
        <v>95</v>
      </c>
      <c r="E128">
        <v>641</v>
      </c>
      <c r="F128" s="5">
        <v>43891</v>
      </c>
      <c r="G128">
        <v>-95</v>
      </c>
      <c r="H128" t="s">
        <v>57</v>
      </c>
    </row>
    <row r="129" spans="1:8" x14ac:dyDescent="0.3">
      <c r="A129">
        <v>13</v>
      </c>
      <c r="B129" s="5">
        <v>43904</v>
      </c>
      <c r="C129" t="s">
        <v>10</v>
      </c>
      <c r="D129">
        <v>665</v>
      </c>
      <c r="E129">
        <v>1306</v>
      </c>
      <c r="F129" s="5">
        <v>43891</v>
      </c>
      <c r="G129">
        <v>665</v>
      </c>
      <c r="H129" t="s">
        <v>57</v>
      </c>
    </row>
    <row r="130" spans="1:8" x14ac:dyDescent="0.3">
      <c r="A130">
        <v>13</v>
      </c>
      <c r="B130" s="5">
        <v>43906</v>
      </c>
      <c r="C130" t="s">
        <v>10</v>
      </c>
      <c r="D130">
        <v>99</v>
      </c>
      <c r="E130">
        <v>1405</v>
      </c>
      <c r="F130" s="5">
        <v>43891</v>
      </c>
      <c r="G130">
        <v>99</v>
      </c>
      <c r="H130" t="s">
        <v>57</v>
      </c>
    </row>
    <row r="131" spans="1:8" x14ac:dyDescent="0.3">
      <c r="A131">
        <v>14</v>
      </c>
      <c r="B131" s="5">
        <v>43855</v>
      </c>
      <c r="C131" t="s">
        <v>10</v>
      </c>
      <c r="D131">
        <v>205</v>
      </c>
      <c r="E131">
        <v>205</v>
      </c>
      <c r="F131" s="5">
        <v>43831</v>
      </c>
      <c r="G131">
        <v>205</v>
      </c>
      <c r="H131" t="s">
        <v>57</v>
      </c>
    </row>
    <row r="132" spans="1:8" x14ac:dyDescent="0.3">
      <c r="A132">
        <v>14</v>
      </c>
      <c r="B132" s="5">
        <v>43883</v>
      </c>
      <c r="C132" t="s">
        <v>10</v>
      </c>
      <c r="D132">
        <v>616</v>
      </c>
      <c r="E132">
        <v>821</v>
      </c>
      <c r="F132" s="5">
        <v>43862</v>
      </c>
      <c r="G132">
        <v>616</v>
      </c>
      <c r="H132" t="s">
        <v>57</v>
      </c>
    </row>
    <row r="133" spans="1:8" x14ac:dyDescent="0.3">
      <c r="A133">
        <v>14</v>
      </c>
      <c r="B133" s="5">
        <v>43926</v>
      </c>
      <c r="C133" t="s">
        <v>10</v>
      </c>
      <c r="D133">
        <v>756</v>
      </c>
      <c r="E133">
        <v>1577</v>
      </c>
      <c r="F133" s="5">
        <v>43922</v>
      </c>
      <c r="G133">
        <v>756</v>
      </c>
      <c r="H133" t="s">
        <v>57</v>
      </c>
    </row>
    <row r="134" spans="1:8" x14ac:dyDescent="0.3">
      <c r="A134">
        <v>14</v>
      </c>
      <c r="B134" s="5">
        <v>43926</v>
      </c>
      <c r="C134" t="s">
        <v>12</v>
      </c>
      <c r="D134">
        <v>588</v>
      </c>
      <c r="E134">
        <v>989</v>
      </c>
      <c r="F134" s="5">
        <v>43922</v>
      </c>
      <c r="G134">
        <v>-588</v>
      </c>
      <c r="H134" t="s">
        <v>57</v>
      </c>
    </row>
    <row r="135" spans="1:8" x14ac:dyDescent="0.3">
      <c r="A135">
        <v>15</v>
      </c>
      <c r="B135" s="5">
        <v>43855</v>
      </c>
      <c r="C135" t="s">
        <v>10</v>
      </c>
      <c r="D135">
        <v>379</v>
      </c>
      <c r="E135">
        <v>379</v>
      </c>
      <c r="F135" s="5">
        <v>43831</v>
      </c>
      <c r="G135">
        <v>379</v>
      </c>
      <c r="H135" t="s">
        <v>57</v>
      </c>
    </row>
    <row r="136" spans="1:8" x14ac:dyDescent="0.3">
      <c r="A136">
        <v>15</v>
      </c>
      <c r="B136" s="5">
        <v>43923</v>
      </c>
      <c r="C136" t="s">
        <v>10</v>
      </c>
      <c r="D136">
        <v>723</v>
      </c>
      <c r="E136">
        <v>1102</v>
      </c>
      <c r="F136" s="5">
        <v>43922</v>
      </c>
      <c r="G136">
        <v>723</v>
      </c>
      <c r="H136" t="s">
        <v>57</v>
      </c>
    </row>
    <row r="137" spans="1:8" x14ac:dyDescent="0.3">
      <c r="A137">
        <v>16</v>
      </c>
      <c r="B137" s="5">
        <v>43843</v>
      </c>
      <c r="C137" t="s">
        <v>10</v>
      </c>
      <c r="D137">
        <v>421</v>
      </c>
      <c r="E137">
        <v>421</v>
      </c>
      <c r="F137" s="5">
        <v>43831</v>
      </c>
      <c r="G137">
        <v>421</v>
      </c>
      <c r="H137" t="s">
        <v>57</v>
      </c>
    </row>
    <row r="138" spans="1:8" x14ac:dyDescent="0.3">
      <c r="A138">
        <v>16</v>
      </c>
      <c r="B138" s="5">
        <v>43847</v>
      </c>
      <c r="C138" t="s">
        <v>11</v>
      </c>
      <c r="D138">
        <v>529</v>
      </c>
      <c r="E138">
        <v>-108</v>
      </c>
      <c r="F138" s="5">
        <v>43831</v>
      </c>
      <c r="G138">
        <v>-529</v>
      </c>
      <c r="H138" t="s">
        <v>58</v>
      </c>
    </row>
    <row r="139" spans="1:8" x14ac:dyDescent="0.3">
      <c r="A139">
        <v>16</v>
      </c>
      <c r="B139" s="5">
        <v>43847</v>
      </c>
      <c r="C139" t="s">
        <v>12</v>
      </c>
      <c r="D139">
        <v>814</v>
      </c>
      <c r="E139">
        <v>-922</v>
      </c>
      <c r="F139" s="5">
        <v>43831</v>
      </c>
      <c r="G139">
        <v>-814</v>
      </c>
      <c r="H139" t="s">
        <v>58</v>
      </c>
    </row>
    <row r="140" spans="1:8" x14ac:dyDescent="0.3">
      <c r="A140">
        <v>16</v>
      </c>
      <c r="B140" s="5">
        <v>43850</v>
      </c>
      <c r="C140" t="s">
        <v>11</v>
      </c>
      <c r="D140">
        <v>159</v>
      </c>
      <c r="E140">
        <v>-1081</v>
      </c>
      <c r="F140" s="5">
        <v>43831</v>
      </c>
      <c r="G140">
        <v>-159</v>
      </c>
      <c r="H140" t="s">
        <v>58</v>
      </c>
    </row>
    <row r="141" spans="1:8" x14ac:dyDescent="0.3">
      <c r="A141">
        <v>16</v>
      </c>
      <c r="B141" s="5">
        <v>43852</v>
      </c>
      <c r="C141" t="s">
        <v>10</v>
      </c>
      <c r="D141">
        <v>239</v>
      </c>
      <c r="E141">
        <v>-842</v>
      </c>
      <c r="F141" s="5">
        <v>43831</v>
      </c>
      <c r="G141">
        <v>239</v>
      </c>
      <c r="H141" t="s">
        <v>58</v>
      </c>
    </row>
    <row r="142" spans="1:8" x14ac:dyDescent="0.3">
      <c r="A142">
        <v>16</v>
      </c>
      <c r="B142" s="5">
        <v>43852</v>
      </c>
      <c r="C142" t="s">
        <v>11</v>
      </c>
      <c r="D142">
        <v>730</v>
      </c>
      <c r="E142">
        <v>-1572</v>
      </c>
      <c r="F142" s="5">
        <v>43831</v>
      </c>
      <c r="G142">
        <v>-730</v>
      </c>
      <c r="H142" t="s">
        <v>58</v>
      </c>
    </row>
    <row r="143" spans="1:8" x14ac:dyDescent="0.3">
      <c r="A143">
        <v>16</v>
      </c>
      <c r="B143" s="5">
        <v>43855</v>
      </c>
      <c r="C143" t="s">
        <v>11</v>
      </c>
      <c r="D143">
        <v>160</v>
      </c>
      <c r="E143">
        <v>-1732</v>
      </c>
      <c r="F143" s="5">
        <v>43831</v>
      </c>
      <c r="G143">
        <v>-160</v>
      </c>
      <c r="H143" t="s">
        <v>58</v>
      </c>
    </row>
    <row r="144" spans="1:8" x14ac:dyDescent="0.3">
      <c r="A144">
        <v>16</v>
      </c>
      <c r="B144" s="5">
        <v>43860</v>
      </c>
      <c r="C144" t="s">
        <v>10</v>
      </c>
      <c r="D144">
        <v>391</v>
      </c>
      <c r="E144">
        <v>-1341</v>
      </c>
      <c r="F144" s="5">
        <v>43831</v>
      </c>
      <c r="G144">
        <v>391</v>
      </c>
      <c r="H144" t="s">
        <v>58</v>
      </c>
    </row>
    <row r="145" spans="1:8" x14ac:dyDescent="0.3">
      <c r="A145">
        <v>16</v>
      </c>
      <c r="B145" s="5">
        <v>43863</v>
      </c>
      <c r="C145" t="s">
        <v>10</v>
      </c>
      <c r="D145">
        <v>919</v>
      </c>
      <c r="E145">
        <v>-422</v>
      </c>
      <c r="F145" s="5">
        <v>43862</v>
      </c>
      <c r="G145">
        <v>919</v>
      </c>
      <c r="H145" t="s">
        <v>58</v>
      </c>
    </row>
    <row r="146" spans="1:8" x14ac:dyDescent="0.3">
      <c r="A146">
        <v>16</v>
      </c>
      <c r="B146" s="5">
        <v>43870</v>
      </c>
      <c r="C146" t="s">
        <v>12</v>
      </c>
      <c r="D146">
        <v>429</v>
      </c>
      <c r="E146">
        <v>-851</v>
      </c>
      <c r="F146" s="5">
        <v>43862</v>
      </c>
      <c r="G146">
        <v>-429</v>
      </c>
      <c r="H146" t="s">
        <v>58</v>
      </c>
    </row>
    <row r="147" spans="1:8" x14ac:dyDescent="0.3">
      <c r="A147">
        <v>16</v>
      </c>
      <c r="B147" s="5">
        <v>43874</v>
      </c>
      <c r="C147" t="s">
        <v>11</v>
      </c>
      <c r="D147">
        <v>599</v>
      </c>
      <c r="E147">
        <v>-1450</v>
      </c>
      <c r="F147" s="5">
        <v>43862</v>
      </c>
      <c r="G147">
        <v>-599</v>
      </c>
      <c r="H147" t="s">
        <v>58</v>
      </c>
    </row>
    <row r="148" spans="1:8" x14ac:dyDescent="0.3">
      <c r="A148">
        <v>16</v>
      </c>
      <c r="B148" s="5">
        <v>43874</v>
      </c>
      <c r="C148" t="s">
        <v>12</v>
      </c>
      <c r="D148">
        <v>928</v>
      </c>
      <c r="E148">
        <v>-2378</v>
      </c>
      <c r="F148" s="5">
        <v>43862</v>
      </c>
      <c r="G148">
        <v>-928</v>
      </c>
      <c r="H148" t="s">
        <v>58</v>
      </c>
    </row>
    <row r="149" spans="1:8" x14ac:dyDescent="0.3">
      <c r="A149">
        <v>16</v>
      </c>
      <c r="B149" s="5">
        <v>43887</v>
      </c>
      <c r="C149" t="s">
        <v>11</v>
      </c>
      <c r="D149">
        <v>515</v>
      </c>
      <c r="E149">
        <v>-2893</v>
      </c>
      <c r="F149" s="5">
        <v>43862</v>
      </c>
      <c r="G149">
        <v>-515</v>
      </c>
      <c r="H149" t="s">
        <v>58</v>
      </c>
    </row>
    <row r="150" spans="1:8" x14ac:dyDescent="0.3">
      <c r="A150">
        <v>16</v>
      </c>
      <c r="B150" s="5">
        <v>43891</v>
      </c>
      <c r="C150" t="s">
        <v>12</v>
      </c>
      <c r="D150">
        <v>314</v>
      </c>
      <c r="E150">
        <v>-3207</v>
      </c>
      <c r="F150" s="5">
        <v>43891</v>
      </c>
      <c r="G150">
        <v>-314</v>
      </c>
      <c r="H150" t="s">
        <v>58</v>
      </c>
    </row>
    <row r="151" spans="1:8" x14ac:dyDescent="0.3">
      <c r="A151">
        <v>16</v>
      </c>
      <c r="B151" s="5">
        <v>43903</v>
      </c>
      <c r="C151" t="s">
        <v>11</v>
      </c>
      <c r="D151">
        <v>903</v>
      </c>
      <c r="E151">
        <v>-4110</v>
      </c>
      <c r="F151" s="5">
        <v>43891</v>
      </c>
      <c r="G151">
        <v>-903</v>
      </c>
      <c r="H151" t="s">
        <v>58</v>
      </c>
    </row>
    <row r="152" spans="1:8" x14ac:dyDescent="0.3">
      <c r="A152">
        <v>16</v>
      </c>
      <c r="B152" s="5">
        <v>43913</v>
      </c>
      <c r="C152" t="s">
        <v>12</v>
      </c>
      <c r="D152">
        <v>174</v>
      </c>
      <c r="E152">
        <v>-4284</v>
      </c>
      <c r="F152" s="5">
        <v>43891</v>
      </c>
      <c r="G152">
        <v>-174</v>
      </c>
      <c r="H152" t="s">
        <v>58</v>
      </c>
    </row>
    <row r="153" spans="1:8" x14ac:dyDescent="0.3">
      <c r="A153">
        <v>16</v>
      </c>
      <c r="B153" s="5">
        <v>43932</v>
      </c>
      <c r="C153" t="s">
        <v>10</v>
      </c>
      <c r="D153">
        <v>862</v>
      </c>
      <c r="E153">
        <v>-3422</v>
      </c>
      <c r="F153" s="5">
        <v>43922</v>
      </c>
      <c r="G153">
        <v>862</v>
      </c>
      <c r="H153" t="s">
        <v>58</v>
      </c>
    </row>
    <row r="154" spans="1:8" x14ac:dyDescent="0.3">
      <c r="A154">
        <v>17</v>
      </c>
      <c r="B154" s="5">
        <v>43849</v>
      </c>
      <c r="C154" t="s">
        <v>10</v>
      </c>
      <c r="D154">
        <v>465</v>
      </c>
      <c r="E154">
        <v>465</v>
      </c>
      <c r="F154" s="5">
        <v>43831</v>
      </c>
      <c r="G154">
        <v>465</v>
      </c>
      <c r="H154" t="s">
        <v>57</v>
      </c>
    </row>
    <row r="155" spans="1:8" x14ac:dyDescent="0.3">
      <c r="A155">
        <v>17</v>
      </c>
      <c r="B155" s="5">
        <v>43870</v>
      </c>
      <c r="C155" t="s">
        <v>12</v>
      </c>
      <c r="D155">
        <v>915</v>
      </c>
      <c r="E155">
        <v>-450</v>
      </c>
      <c r="F155" s="5">
        <v>43862</v>
      </c>
      <c r="G155">
        <v>-915</v>
      </c>
      <c r="H155" t="s">
        <v>58</v>
      </c>
    </row>
    <row r="156" spans="1:8" x14ac:dyDescent="0.3">
      <c r="A156">
        <v>17</v>
      </c>
      <c r="B156" s="5">
        <v>43889</v>
      </c>
      <c r="C156" t="s">
        <v>11</v>
      </c>
      <c r="D156">
        <v>442</v>
      </c>
      <c r="E156">
        <v>-892</v>
      </c>
      <c r="F156" s="5">
        <v>43862</v>
      </c>
      <c r="G156">
        <v>-442</v>
      </c>
      <c r="H156" t="s">
        <v>58</v>
      </c>
    </row>
    <row r="157" spans="1:8" x14ac:dyDescent="0.3">
      <c r="A157">
        <v>18</v>
      </c>
      <c r="B157" s="5">
        <v>43847</v>
      </c>
      <c r="C157" t="s">
        <v>10</v>
      </c>
      <c r="D157">
        <v>757</v>
      </c>
      <c r="E157">
        <v>757</v>
      </c>
      <c r="F157" s="5">
        <v>43831</v>
      </c>
      <c r="G157">
        <v>757</v>
      </c>
      <c r="H157" t="s">
        <v>57</v>
      </c>
    </row>
    <row r="158" spans="1:8" x14ac:dyDescent="0.3">
      <c r="A158">
        <v>18</v>
      </c>
      <c r="B158" s="5">
        <v>43867</v>
      </c>
      <c r="C158" t="s">
        <v>12</v>
      </c>
      <c r="D158">
        <v>865</v>
      </c>
      <c r="E158">
        <v>-108</v>
      </c>
      <c r="F158" s="5">
        <v>43862</v>
      </c>
      <c r="G158">
        <v>-865</v>
      </c>
      <c r="H158" t="s">
        <v>58</v>
      </c>
    </row>
    <row r="159" spans="1:8" x14ac:dyDescent="0.3">
      <c r="A159">
        <v>18</v>
      </c>
      <c r="B159" s="5">
        <v>43874</v>
      </c>
      <c r="C159" t="s">
        <v>11</v>
      </c>
      <c r="D159">
        <v>316</v>
      </c>
      <c r="E159">
        <v>-424</v>
      </c>
      <c r="F159" s="5">
        <v>43862</v>
      </c>
      <c r="G159">
        <v>-316</v>
      </c>
      <c r="H159" t="s">
        <v>58</v>
      </c>
    </row>
    <row r="160" spans="1:8" x14ac:dyDescent="0.3">
      <c r="A160">
        <v>18</v>
      </c>
      <c r="B160" s="5">
        <v>43898</v>
      </c>
      <c r="C160" t="s">
        <v>12</v>
      </c>
      <c r="D160">
        <v>588</v>
      </c>
      <c r="E160">
        <v>-1012</v>
      </c>
      <c r="F160" s="5">
        <v>43891</v>
      </c>
      <c r="G160">
        <v>-588</v>
      </c>
      <c r="H160" t="s">
        <v>58</v>
      </c>
    </row>
    <row r="161" spans="1:8" x14ac:dyDescent="0.3">
      <c r="A161">
        <v>18</v>
      </c>
      <c r="B161" s="5">
        <v>43902</v>
      </c>
      <c r="C161" t="s">
        <v>10</v>
      </c>
      <c r="D161">
        <v>354</v>
      </c>
      <c r="E161">
        <v>-658</v>
      </c>
      <c r="F161" s="5">
        <v>43891</v>
      </c>
      <c r="G161">
        <v>354</v>
      </c>
      <c r="H161" t="s">
        <v>58</v>
      </c>
    </row>
    <row r="162" spans="1:8" x14ac:dyDescent="0.3">
      <c r="A162">
        <v>18</v>
      </c>
      <c r="B162" s="5">
        <v>43907</v>
      </c>
      <c r="C162" t="s">
        <v>12</v>
      </c>
      <c r="D162">
        <v>558</v>
      </c>
      <c r="E162">
        <v>-1216</v>
      </c>
      <c r="F162" s="5">
        <v>43891</v>
      </c>
      <c r="G162">
        <v>-558</v>
      </c>
      <c r="H162" t="s">
        <v>58</v>
      </c>
    </row>
    <row r="163" spans="1:8" x14ac:dyDescent="0.3">
      <c r="A163">
        <v>18</v>
      </c>
      <c r="B163" s="5">
        <v>43915</v>
      </c>
      <c r="C163" t="s">
        <v>10</v>
      </c>
      <c r="D163">
        <v>374</v>
      </c>
      <c r="E163">
        <v>-842</v>
      </c>
      <c r="F163" s="5">
        <v>43891</v>
      </c>
      <c r="G163">
        <v>374</v>
      </c>
      <c r="H163" t="s">
        <v>58</v>
      </c>
    </row>
    <row r="164" spans="1:8" x14ac:dyDescent="0.3">
      <c r="A164">
        <v>18</v>
      </c>
      <c r="B164" s="5">
        <v>43924</v>
      </c>
      <c r="C164" t="s">
        <v>10</v>
      </c>
      <c r="D164">
        <v>27</v>
      </c>
      <c r="E164">
        <v>-815</v>
      </c>
      <c r="F164" s="5">
        <v>43922</v>
      </c>
      <c r="G164">
        <v>27</v>
      </c>
      <c r="H164" t="s">
        <v>58</v>
      </c>
    </row>
    <row r="165" spans="1:8" x14ac:dyDescent="0.3">
      <c r="A165">
        <v>19</v>
      </c>
      <c r="B165" s="5">
        <v>43847</v>
      </c>
      <c r="C165" t="s">
        <v>10</v>
      </c>
      <c r="D165">
        <v>47</v>
      </c>
      <c r="E165">
        <v>47</v>
      </c>
      <c r="F165" s="5">
        <v>43831</v>
      </c>
      <c r="G165">
        <v>47</v>
      </c>
      <c r="H165" t="s">
        <v>57</v>
      </c>
    </row>
    <row r="166" spans="1:8" x14ac:dyDescent="0.3">
      <c r="A166">
        <v>19</v>
      </c>
      <c r="B166" s="5">
        <v>43852</v>
      </c>
      <c r="C166" t="s">
        <v>11</v>
      </c>
      <c r="D166">
        <v>59</v>
      </c>
      <c r="E166">
        <v>-12</v>
      </c>
      <c r="F166" s="5">
        <v>43831</v>
      </c>
      <c r="G166">
        <v>-59</v>
      </c>
      <c r="H166" t="s">
        <v>58</v>
      </c>
    </row>
    <row r="167" spans="1:8" x14ac:dyDescent="0.3">
      <c r="A167">
        <v>19</v>
      </c>
      <c r="B167" s="5">
        <v>43867</v>
      </c>
      <c r="C167" t="s">
        <v>12</v>
      </c>
      <c r="D167">
        <v>61</v>
      </c>
      <c r="E167">
        <v>-73</v>
      </c>
      <c r="F167" s="5">
        <v>43862</v>
      </c>
      <c r="G167">
        <v>-61</v>
      </c>
      <c r="H167" t="s">
        <v>58</v>
      </c>
    </row>
    <row r="168" spans="1:8" x14ac:dyDescent="0.3">
      <c r="A168">
        <v>19</v>
      </c>
      <c r="B168" s="5">
        <v>43882</v>
      </c>
      <c r="C168" t="s">
        <v>11</v>
      </c>
      <c r="D168">
        <v>178</v>
      </c>
      <c r="E168">
        <v>-251</v>
      </c>
      <c r="F168" s="5">
        <v>43862</v>
      </c>
      <c r="G168">
        <v>-178</v>
      </c>
      <c r="H168" t="s">
        <v>58</v>
      </c>
    </row>
    <row r="169" spans="1:8" x14ac:dyDescent="0.3">
      <c r="A169">
        <v>19</v>
      </c>
      <c r="B169" s="5">
        <v>43893</v>
      </c>
      <c r="C169" t="s">
        <v>10</v>
      </c>
      <c r="D169">
        <v>509</v>
      </c>
      <c r="E169">
        <v>258</v>
      </c>
      <c r="F169" s="5">
        <v>43891</v>
      </c>
      <c r="G169">
        <v>509</v>
      </c>
      <c r="H169" t="s">
        <v>57</v>
      </c>
    </row>
    <row r="170" spans="1:8" x14ac:dyDescent="0.3">
      <c r="A170">
        <v>19</v>
      </c>
      <c r="B170" s="5">
        <v>43900</v>
      </c>
      <c r="C170" t="s">
        <v>12</v>
      </c>
      <c r="D170">
        <v>559</v>
      </c>
      <c r="E170">
        <v>-301</v>
      </c>
      <c r="F170" s="5">
        <v>43891</v>
      </c>
      <c r="G170">
        <v>-559</v>
      </c>
      <c r="H170" t="s">
        <v>58</v>
      </c>
    </row>
    <row r="171" spans="1:8" x14ac:dyDescent="0.3">
      <c r="A171">
        <v>19</v>
      </c>
      <c r="B171" s="5">
        <v>43928</v>
      </c>
      <c r="C171" t="s">
        <v>10</v>
      </c>
      <c r="D171">
        <v>343</v>
      </c>
      <c r="E171">
        <v>42</v>
      </c>
      <c r="F171" s="5">
        <v>43922</v>
      </c>
      <c r="G171">
        <v>343</v>
      </c>
      <c r="H171" t="s">
        <v>57</v>
      </c>
    </row>
    <row r="172" spans="1:8" x14ac:dyDescent="0.3">
      <c r="A172">
        <v>20</v>
      </c>
      <c r="B172" s="5">
        <v>43848</v>
      </c>
      <c r="C172" t="s">
        <v>10</v>
      </c>
      <c r="D172">
        <v>868</v>
      </c>
      <c r="E172">
        <v>868</v>
      </c>
      <c r="F172" s="5">
        <v>43831</v>
      </c>
      <c r="G172">
        <v>868</v>
      </c>
      <c r="H172" t="s">
        <v>57</v>
      </c>
    </row>
    <row r="173" spans="1:8" x14ac:dyDescent="0.3">
      <c r="A173">
        <v>20</v>
      </c>
      <c r="B173" s="5">
        <v>43858</v>
      </c>
      <c r="C173" t="s">
        <v>12</v>
      </c>
      <c r="D173">
        <v>403</v>
      </c>
      <c r="E173">
        <v>465</v>
      </c>
      <c r="F173" s="5">
        <v>43831</v>
      </c>
      <c r="G173">
        <v>-403</v>
      </c>
      <c r="H173" t="s">
        <v>57</v>
      </c>
    </row>
    <row r="174" spans="1:8" x14ac:dyDescent="0.3">
      <c r="A174">
        <v>20</v>
      </c>
      <c r="B174" s="5">
        <v>43867</v>
      </c>
      <c r="C174" t="s">
        <v>10</v>
      </c>
      <c r="D174">
        <v>512</v>
      </c>
      <c r="E174">
        <v>977</v>
      </c>
      <c r="F174" s="5">
        <v>43862</v>
      </c>
      <c r="G174">
        <v>512</v>
      </c>
      <c r="H174" t="s">
        <v>57</v>
      </c>
    </row>
    <row r="175" spans="1:8" x14ac:dyDescent="0.3">
      <c r="A175">
        <v>20</v>
      </c>
      <c r="B175" s="5">
        <v>43874</v>
      </c>
      <c r="C175" t="s">
        <v>10</v>
      </c>
      <c r="D175">
        <v>40</v>
      </c>
      <c r="E175">
        <v>1017</v>
      </c>
      <c r="F175" s="5">
        <v>43862</v>
      </c>
      <c r="G175">
        <v>40</v>
      </c>
      <c r="H175" t="s">
        <v>57</v>
      </c>
    </row>
    <row r="176" spans="1:8" x14ac:dyDescent="0.3">
      <c r="A176">
        <v>20</v>
      </c>
      <c r="B176" s="5">
        <v>43876</v>
      </c>
      <c r="C176" t="s">
        <v>12</v>
      </c>
      <c r="D176">
        <v>156</v>
      </c>
      <c r="E176">
        <v>861</v>
      </c>
      <c r="F176" s="5">
        <v>43862</v>
      </c>
      <c r="G176">
        <v>-156</v>
      </c>
      <c r="H176" t="s">
        <v>57</v>
      </c>
    </row>
    <row r="177" spans="1:8" x14ac:dyDescent="0.3">
      <c r="A177">
        <v>20</v>
      </c>
      <c r="B177" s="5">
        <v>43885</v>
      </c>
      <c r="C177" t="s">
        <v>12</v>
      </c>
      <c r="D177">
        <v>342</v>
      </c>
      <c r="E177">
        <v>519</v>
      </c>
      <c r="F177" s="5">
        <v>43862</v>
      </c>
      <c r="G177">
        <v>-342</v>
      </c>
      <c r="H177" t="s">
        <v>57</v>
      </c>
    </row>
    <row r="178" spans="1:8" x14ac:dyDescent="0.3">
      <c r="A178">
        <v>20</v>
      </c>
      <c r="B178" s="5">
        <v>43900</v>
      </c>
      <c r="C178" t="s">
        <v>10</v>
      </c>
      <c r="D178">
        <v>257</v>
      </c>
      <c r="E178">
        <v>776</v>
      </c>
      <c r="F178" s="5">
        <v>43891</v>
      </c>
      <c r="G178">
        <v>257</v>
      </c>
      <c r="H178" t="s">
        <v>57</v>
      </c>
    </row>
    <row r="179" spans="1:8" x14ac:dyDescent="0.3">
      <c r="A179">
        <v>21</v>
      </c>
      <c r="B179" s="5">
        <v>43842</v>
      </c>
      <c r="C179" t="s">
        <v>10</v>
      </c>
      <c r="D179">
        <v>298</v>
      </c>
      <c r="E179">
        <v>298</v>
      </c>
      <c r="F179" s="5">
        <v>43831</v>
      </c>
      <c r="G179">
        <v>298</v>
      </c>
      <c r="H179" t="s">
        <v>57</v>
      </c>
    </row>
    <row r="180" spans="1:8" x14ac:dyDescent="0.3">
      <c r="A180">
        <v>21</v>
      </c>
      <c r="B180" s="5">
        <v>43842</v>
      </c>
      <c r="C180" t="s">
        <v>10</v>
      </c>
      <c r="D180">
        <v>28</v>
      </c>
      <c r="E180">
        <v>326</v>
      </c>
      <c r="F180" s="5">
        <v>43831</v>
      </c>
      <c r="G180">
        <v>28</v>
      </c>
      <c r="H180" t="s">
        <v>57</v>
      </c>
    </row>
    <row r="181" spans="1:8" x14ac:dyDescent="0.3">
      <c r="A181">
        <v>21</v>
      </c>
      <c r="B181" s="5">
        <v>43845</v>
      </c>
      <c r="C181" t="s">
        <v>12</v>
      </c>
      <c r="D181">
        <v>497</v>
      </c>
      <c r="E181">
        <v>-171</v>
      </c>
      <c r="F181" s="5">
        <v>43831</v>
      </c>
      <c r="G181">
        <v>-497</v>
      </c>
      <c r="H181" t="s">
        <v>58</v>
      </c>
    </row>
    <row r="182" spans="1:8" x14ac:dyDescent="0.3">
      <c r="A182">
        <v>21</v>
      </c>
      <c r="B182" s="5">
        <v>43850</v>
      </c>
      <c r="C182" t="s">
        <v>11</v>
      </c>
      <c r="D182">
        <v>445</v>
      </c>
      <c r="E182">
        <v>-616</v>
      </c>
      <c r="F182" s="5">
        <v>43831</v>
      </c>
      <c r="G182">
        <v>-445</v>
      </c>
      <c r="H182" t="s">
        <v>58</v>
      </c>
    </row>
    <row r="183" spans="1:8" x14ac:dyDescent="0.3">
      <c r="A183">
        <v>21</v>
      </c>
      <c r="B183" s="5">
        <v>43857</v>
      </c>
      <c r="C183" t="s">
        <v>10</v>
      </c>
      <c r="D183">
        <v>412</v>
      </c>
      <c r="E183">
        <v>-204</v>
      </c>
      <c r="F183" s="5">
        <v>43831</v>
      </c>
      <c r="G183">
        <v>412</v>
      </c>
      <c r="H183" t="s">
        <v>58</v>
      </c>
    </row>
    <row r="184" spans="1:8" x14ac:dyDescent="0.3">
      <c r="A184">
        <v>21</v>
      </c>
      <c r="B184" s="5">
        <v>43868</v>
      </c>
      <c r="C184" t="s">
        <v>11</v>
      </c>
      <c r="D184">
        <v>637</v>
      </c>
      <c r="E184">
        <v>-841</v>
      </c>
      <c r="F184" s="5">
        <v>43862</v>
      </c>
      <c r="G184">
        <v>-637</v>
      </c>
      <c r="H184" t="s">
        <v>58</v>
      </c>
    </row>
    <row r="185" spans="1:8" x14ac:dyDescent="0.3">
      <c r="A185">
        <v>21</v>
      </c>
      <c r="B185" s="5">
        <v>43879</v>
      </c>
      <c r="C185" t="s">
        <v>11</v>
      </c>
      <c r="D185">
        <v>348</v>
      </c>
      <c r="E185">
        <v>-1189</v>
      </c>
      <c r="F185" s="5">
        <v>43862</v>
      </c>
      <c r="G185">
        <v>-348</v>
      </c>
      <c r="H185" t="s">
        <v>58</v>
      </c>
    </row>
    <row r="186" spans="1:8" x14ac:dyDescent="0.3">
      <c r="A186">
        <v>21</v>
      </c>
      <c r="B186" s="5">
        <v>43887</v>
      </c>
      <c r="C186" t="s">
        <v>10</v>
      </c>
      <c r="D186">
        <v>694</v>
      </c>
      <c r="E186">
        <v>-495</v>
      </c>
      <c r="F186" s="5">
        <v>43862</v>
      </c>
      <c r="G186">
        <v>694</v>
      </c>
      <c r="H186" t="s">
        <v>58</v>
      </c>
    </row>
    <row r="187" spans="1:8" x14ac:dyDescent="0.3">
      <c r="A187">
        <v>21</v>
      </c>
      <c r="B187" s="5">
        <v>43889</v>
      </c>
      <c r="C187" t="s">
        <v>12</v>
      </c>
      <c r="D187">
        <v>269</v>
      </c>
      <c r="E187">
        <v>-764</v>
      </c>
      <c r="F187" s="5">
        <v>43862</v>
      </c>
      <c r="G187">
        <v>-269</v>
      </c>
      <c r="H187" t="s">
        <v>58</v>
      </c>
    </row>
    <row r="188" spans="1:8" x14ac:dyDescent="0.3">
      <c r="A188">
        <v>21</v>
      </c>
      <c r="B188" s="5">
        <v>43893</v>
      </c>
      <c r="C188" t="s">
        <v>12</v>
      </c>
      <c r="D188">
        <v>605</v>
      </c>
      <c r="E188">
        <v>-1369</v>
      </c>
      <c r="F188" s="5">
        <v>43891</v>
      </c>
      <c r="G188">
        <v>-605</v>
      </c>
      <c r="H188" t="s">
        <v>58</v>
      </c>
    </row>
    <row r="189" spans="1:8" x14ac:dyDescent="0.3">
      <c r="A189">
        <v>21</v>
      </c>
      <c r="B189" s="5">
        <v>43893</v>
      </c>
      <c r="C189" t="s">
        <v>11</v>
      </c>
      <c r="D189">
        <v>28</v>
      </c>
      <c r="E189">
        <v>-1397</v>
      </c>
      <c r="F189" s="5">
        <v>43891</v>
      </c>
      <c r="G189">
        <v>-28</v>
      </c>
      <c r="H189" t="s">
        <v>58</v>
      </c>
    </row>
    <row r="190" spans="1:8" x14ac:dyDescent="0.3">
      <c r="A190">
        <v>21</v>
      </c>
      <c r="B190" s="5">
        <v>43896</v>
      </c>
      <c r="C190" t="s">
        <v>10</v>
      </c>
      <c r="D190">
        <v>713</v>
      </c>
      <c r="E190">
        <v>-684</v>
      </c>
      <c r="F190" s="5">
        <v>43891</v>
      </c>
      <c r="G190">
        <v>713</v>
      </c>
      <c r="H190" t="s">
        <v>58</v>
      </c>
    </row>
    <row r="191" spans="1:8" x14ac:dyDescent="0.3">
      <c r="A191">
        <v>21</v>
      </c>
      <c r="B191" s="5">
        <v>43907</v>
      </c>
      <c r="C191" t="s">
        <v>10</v>
      </c>
      <c r="D191">
        <v>103</v>
      </c>
      <c r="E191">
        <v>-581</v>
      </c>
      <c r="F191" s="5">
        <v>43891</v>
      </c>
      <c r="G191">
        <v>103</v>
      </c>
      <c r="H191" t="s">
        <v>58</v>
      </c>
    </row>
    <row r="192" spans="1:8" x14ac:dyDescent="0.3">
      <c r="A192">
        <v>21</v>
      </c>
      <c r="B192" s="5">
        <v>43912</v>
      </c>
      <c r="C192" t="s">
        <v>12</v>
      </c>
      <c r="D192">
        <v>406</v>
      </c>
      <c r="E192">
        <v>-987</v>
      </c>
      <c r="F192" s="5">
        <v>43891</v>
      </c>
      <c r="G192">
        <v>-406</v>
      </c>
      <c r="H192" t="s">
        <v>58</v>
      </c>
    </row>
    <row r="193" spans="1:8" x14ac:dyDescent="0.3">
      <c r="A193">
        <v>21</v>
      </c>
      <c r="B193" s="5">
        <v>43913</v>
      </c>
      <c r="C193" t="s">
        <v>11</v>
      </c>
      <c r="D193">
        <v>489</v>
      </c>
      <c r="E193">
        <v>-1476</v>
      </c>
      <c r="F193" s="5">
        <v>43891</v>
      </c>
      <c r="G193">
        <v>-489</v>
      </c>
      <c r="H193" t="s">
        <v>58</v>
      </c>
    </row>
    <row r="194" spans="1:8" x14ac:dyDescent="0.3">
      <c r="A194">
        <v>21</v>
      </c>
      <c r="B194" s="5">
        <v>43920</v>
      </c>
      <c r="C194" t="s">
        <v>12</v>
      </c>
      <c r="D194">
        <v>398</v>
      </c>
      <c r="E194">
        <v>-1874</v>
      </c>
      <c r="F194" s="5">
        <v>43891</v>
      </c>
      <c r="G194">
        <v>-398</v>
      </c>
      <c r="H194" t="s">
        <v>58</v>
      </c>
    </row>
    <row r="195" spans="1:8" x14ac:dyDescent="0.3">
      <c r="A195">
        <v>21</v>
      </c>
      <c r="B195" s="5">
        <v>43924</v>
      </c>
      <c r="C195" t="s">
        <v>12</v>
      </c>
      <c r="D195">
        <v>531</v>
      </c>
      <c r="E195">
        <v>-2405</v>
      </c>
      <c r="F195" s="5">
        <v>43922</v>
      </c>
      <c r="G195">
        <v>-531</v>
      </c>
      <c r="H195" t="s">
        <v>58</v>
      </c>
    </row>
    <row r="196" spans="1:8" x14ac:dyDescent="0.3">
      <c r="A196">
        <v>21</v>
      </c>
      <c r="B196" s="5">
        <v>43925</v>
      </c>
      <c r="C196" t="s">
        <v>12</v>
      </c>
      <c r="D196">
        <v>848</v>
      </c>
      <c r="E196">
        <v>-3253</v>
      </c>
      <c r="F196" s="5">
        <v>43922</v>
      </c>
      <c r="G196">
        <v>-848</v>
      </c>
      <c r="H196" t="s">
        <v>58</v>
      </c>
    </row>
    <row r="197" spans="1:8" x14ac:dyDescent="0.3">
      <c r="A197">
        <v>22</v>
      </c>
      <c r="B197" s="5">
        <v>43849</v>
      </c>
      <c r="C197" t="s">
        <v>10</v>
      </c>
      <c r="D197">
        <v>794</v>
      </c>
      <c r="E197">
        <v>794</v>
      </c>
      <c r="F197" s="5">
        <v>43831</v>
      </c>
      <c r="G197">
        <v>794</v>
      </c>
      <c r="H197" t="s">
        <v>57</v>
      </c>
    </row>
    <row r="198" spans="1:8" x14ac:dyDescent="0.3">
      <c r="A198">
        <v>22</v>
      </c>
      <c r="B198" s="5">
        <v>43858</v>
      </c>
      <c r="C198" t="s">
        <v>11</v>
      </c>
      <c r="D198">
        <v>559</v>
      </c>
      <c r="E198">
        <v>235</v>
      </c>
      <c r="F198" s="5">
        <v>43831</v>
      </c>
      <c r="G198">
        <v>-559</v>
      </c>
      <c r="H198" t="s">
        <v>57</v>
      </c>
    </row>
    <row r="199" spans="1:8" x14ac:dyDescent="0.3">
      <c r="A199">
        <v>22</v>
      </c>
      <c r="B199" s="5">
        <v>43863</v>
      </c>
      <c r="C199" t="s">
        <v>10</v>
      </c>
      <c r="D199">
        <v>490</v>
      </c>
      <c r="E199">
        <v>725</v>
      </c>
      <c r="F199" s="5">
        <v>43862</v>
      </c>
      <c r="G199">
        <v>490</v>
      </c>
      <c r="H199" t="s">
        <v>57</v>
      </c>
    </row>
    <row r="200" spans="1:8" x14ac:dyDescent="0.3">
      <c r="A200">
        <v>22</v>
      </c>
      <c r="B200" s="5">
        <v>43865</v>
      </c>
      <c r="C200" t="s">
        <v>12</v>
      </c>
      <c r="D200">
        <v>544</v>
      </c>
      <c r="E200">
        <v>181</v>
      </c>
      <c r="F200" s="5">
        <v>43862</v>
      </c>
      <c r="G200">
        <v>-544</v>
      </c>
      <c r="H200" t="s">
        <v>57</v>
      </c>
    </row>
    <row r="201" spans="1:8" x14ac:dyDescent="0.3">
      <c r="A201">
        <v>22</v>
      </c>
      <c r="B201" s="5">
        <v>43870</v>
      </c>
      <c r="C201" t="s">
        <v>11</v>
      </c>
      <c r="D201">
        <v>842</v>
      </c>
      <c r="E201">
        <v>-661</v>
      </c>
      <c r="F201" s="5">
        <v>43862</v>
      </c>
      <c r="G201">
        <v>-842</v>
      </c>
      <c r="H201" t="s">
        <v>58</v>
      </c>
    </row>
    <row r="202" spans="1:8" x14ac:dyDescent="0.3">
      <c r="A202">
        <v>22</v>
      </c>
      <c r="B202" s="5">
        <v>43872</v>
      </c>
      <c r="C202" t="s">
        <v>11</v>
      </c>
      <c r="D202">
        <v>783</v>
      </c>
      <c r="E202">
        <v>-1444</v>
      </c>
      <c r="F202" s="5">
        <v>43862</v>
      </c>
      <c r="G202">
        <v>-783</v>
      </c>
      <c r="H202" t="s">
        <v>58</v>
      </c>
    </row>
    <row r="203" spans="1:8" x14ac:dyDescent="0.3">
      <c r="A203">
        <v>22</v>
      </c>
      <c r="B203" s="5">
        <v>43885</v>
      </c>
      <c r="C203" t="s">
        <v>10</v>
      </c>
      <c r="D203">
        <v>272</v>
      </c>
      <c r="E203">
        <v>-1172</v>
      </c>
      <c r="F203" s="5">
        <v>43862</v>
      </c>
      <c r="G203">
        <v>272</v>
      </c>
      <c r="H203" t="s">
        <v>58</v>
      </c>
    </row>
    <row r="204" spans="1:8" x14ac:dyDescent="0.3">
      <c r="A204">
        <v>22</v>
      </c>
      <c r="B204" s="5">
        <v>43887</v>
      </c>
      <c r="C204" t="s">
        <v>10</v>
      </c>
      <c r="D204">
        <v>863</v>
      </c>
      <c r="E204">
        <v>-309</v>
      </c>
      <c r="F204" s="5">
        <v>43862</v>
      </c>
      <c r="G204">
        <v>863</v>
      </c>
      <c r="H204" t="s">
        <v>58</v>
      </c>
    </row>
    <row r="205" spans="1:8" x14ac:dyDescent="0.3">
      <c r="A205">
        <v>22</v>
      </c>
      <c r="B205" s="5">
        <v>43890</v>
      </c>
      <c r="C205" t="s">
        <v>12</v>
      </c>
      <c r="D205">
        <v>730</v>
      </c>
      <c r="E205">
        <v>-1039</v>
      </c>
      <c r="F205" s="5">
        <v>43862</v>
      </c>
      <c r="G205">
        <v>-730</v>
      </c>
      <c r="H205" t="s">
        <v>58</v>
      </c>
    </row>
    <row r="206" spans="1:8" x14ac:dyDescent="0.3">
      <c r="A206">
        <v>22</v>
      </c>
      <c r="B206" s="5">
        <v>43895</v>
      </c>
      <c r="C206" t="s">
        <v>10</v>
      </c>
      <c r="D206">
        <v>532</v>
      </c>
      <c r="E206">
        <v>-507</v>
      </c>
      <c r="F206" s="5">
        <v>43891</v>
      </c>
      <c r="G206">
        <v>532</v>
      </c>
      <c r="H206" t="s">
        <v>58</v>
      </c>
    </row>
    <row r="207" spans="1:8" x14ac:dyDescent="0.3">
      <c r="A207">
        <v>22</v>
      </c>
      <c r="B207" s="5">
        <v>43906</v>
      </c>
      <c r="C207" t="s">
        <v>10</v>
      </c>
      <c r="D207">
        <v>865</v>
      </c>
      <c r="E207">
        <v>358</v>
      </c>
      <c r="F207" s="5">
        <v>43891</v>
      </c>
      <c r="G207">
        <v>865</v>
      </c>
      <c r="H207" t="s">
        <v>57</v>
      </c>
    </row>
    <row r="208" spans="1:8" x14ac:dyDescent="0.3">
      <c r="A208">
        <v>22</v>
      </c>
      <c r="B208" s="5">
        <v>43907</v>
      </c>
      <c r="C208" t="s">
        <v>12</v>
      </c>
      <c r="D208">
        <v>370</v>
      </c>
      <c r="E208">
        <v>-12</v>
      </c>
      <c r="F208" s="5">
        <v>43891</v>
      </c>
      <c r="G208">
        <v>-370</v>
      </c>
      <c r="H208" t="s">
        <v>58</v>
      </c>
    </row>
    <row r="209" spans="1:8" x14ac:dyDescent="0.3">
      <c r="A209">
        <v>22</v>
      </c>
      <c r="B209" s="5">
        <v>43917</v>
      </c>
      <c r="C209" t="s">
        <v>11</v>
      </c>
      <c r="D209">
        <v>394</v>
      </c>
      <c r="E209">
        <v>-406</v>
      </c>
      <c r="F209" s="5">
        <v>43891</v>
      </c>
      <c r="G209">
        <v>-394</v>
      </c>
      <c r="H209" t="s">
        <v>58</v>
      </c>
    </row>
    <row r="210" spans="1:8" x14ac:dyDescent="0.3">
      <c r="A210">
        <v>22</v>
      </c>
      <c r="B210" s="5">
        <v>43919</v>
      </c>
      <c r="C210" t="s">
        <v>10</v>
      </c>
      <c r="D210">
        <v>801</v>
      </c>
      <c r="E210">
        <v>395</v>
      </c>
      <c r="F210" s="5">
        <v>43891</v>
      </c>
      <c r="G210">
        <v>801</v>
      </c>
      <c r="H210" t="s">
        <v>57</v>
      </c>
    </row>
    <row r="211" spans="1:8" x14ac:dyDescent="0.3">
      <c r="A211">
        <v>22</v>
      </c>
      <c r="B211" s="5">
        <v>43920</v>
      </c>
      <c r="C211" t="s">
        <v>12</v>
      </c>
      <c r="D211">
        <v>544</v>
      </c>
      <c r="E211">
        <v>-149</v>
      </c>
      <c r="F211" s="5">
        <v>43891</v>
      </c>
      <c r="G211">
        <v>-544</v>
      </c>
      <c r="H211" t="s">
        <v>58</v>
      </c>
    </row>
    <row r="212" spans="1:8" x14ac:dyDescent="0.3">
      <c r="A212">
        <v>22</v>
      </c>
      <c r="B212" s="5">
        <v>43926</v>
      </c>
      <c r="C212" t="s">
        <v>12</v>
      </c>
      <c r="D212">
        <v>80</v>
      </c>
      <c r="E212">
        <v>-229</v>
      </c>
      <c r="F212" s="5">
        <v>43922</v>
      </c>
      <c r="G212">
        <v>-80</v>
      </c>
      <c r="H212" t="s">
        <v>58</v>
      </c>
    </row>
    <row r="213" spans="1:8" x14ac:dyDescent="0.3">
      <c r="A213">
        <v>22</v>
      </c>
      <c r="B213" s="5">
        <v>43930</v>
      </c>
      <c r="C213" t="s">
        <v>10</v>
      </c>
      <c r="D213">
        <v>728</v>
      </c>
      <c r="E213">
        <v>499</v>
      </c>
      <c r="F213" s="5">
        <v>43922</v>
      </c>
      <c r="G213">
        <v>728</v>
      </c>
      <c r="H213" t="s">
        <v>57</v>
      </c>
    </row>
    <row r="214" spans="1:8" x14ac:dyDescent="0.3">
      <c r="A214">
        <v>22</v>
      </c>
      <c r="B214" s="5">
        <v>43935</v>
      </c>
      <c r="C214" t="s">
        <v>12</v>
      </c>
      <c r="D214">
        <v>875</v>
      </c>
      <c r="E214">
        <v>-376</v>
      </c>
      <c r="F214" s="5">
        <v>43922</v>
      </c>
      <c r="G214">
        <v>-875</v>
      </c>
      <c r="H214" t="s">
        <v>58</v>
      </c>
    </row>
    <row r="215" spans="1:8" x14ac:dyDescent="0.3">
      <c r="A215">
        <v>22</v>
      </c>
      <c r="B215" s="5">
        <v>43938</v>
      </c>
      <c r="C215" t="s">
        <v>11</v>
      </c>
      <c r="D215">
        <v>982</v>
      </c>
      <c r="E215">
        <v>-1358</v>
      </c>
      <c r="F215" s="5">
        <v>43922</v>
      </c>
      <c r="G215">
        <v>-982</v>
      </c>
      <c r="H215" t="s">
        <v>58</v>
      </c>
    </row>
    <row r="216" spans="1:8" x14ac:dyDescent="0.3">
      <c r="A216">
        <v>23</v>
      </c>
      <c r="B216" s="5">
        <v>43851</v>
      </c>
      <c r="C216" t="s">
        <v>10</v>
      </c>
      <c r="D216">
        <v>334</v>
      </c>
      <c r="E216">
        <v>334</v>
      </c>
      <c r="F216" s="5">
        <v>43831</v>
      </c>
      <c r="G216">
        <v>334</v>
      </c>
      <c r="H216" t="s">
        <v>57</v>
      </c>
    </row>
    <row r="217" spans="1:8" x14ac:dyDescent="0.3">
      <c r="A217">
        <v>23</v>
      </c>
      <c r="B217" s="5">
        <v>43852</v>
      </c>
      <c r="C217" t="s">
        <v>11</v>
      </c>
      <c r="D217">
        <v>240</v>
      </c>
      <c r="E217">
        <v>94</v>
      </c>
      <c r="F217" s="5">
        <v>43831</v>
      </c>
      <c r="G217">
        <v>-240</v>
      </c>
      <c r="H217" t="s">
        <v>57</v>
      </c>
    </row>
    <row r="218" spans="1:8" x14ac:dyDescent="0.3">
      <c r="A218">
        <v>23</v>
      </c>
      <c r="B218" s="5">
        <v>43873</v>
      </c>
      <c r="C218" t="s">
        <v>12</v>
      </c>
      <c r="D218">
        <v>408</v>
      </c>
      <c r="E218">
        <v>-314</v>
      </c>
      <c r="F218" s="5">
        <v>43862</v>
      </c>
      <c r="G218">
        <v>-408</v>
      </c>
      <c r="H218" t="s">
        <v>58</v>
      </c>
    </row>
    <row r="219" spans="1:8" x14ac:dyDescent="0.3">
      <c r="A219">
        <v>23</v>
      </c>
      <c r="B219" s="5">
        <v>43898</v>
      </c>
      <c r="C219" t="s">
        <v>10</v>
      </c>
      <c r="D219">
        <v>834</v>
      </c>
      <c r="E219">
        <v>520</v>
      </c>
      <c r="F219" s="5">
        <v>43891</v>
      </c>
      <c r="G219">
        <v>834</v>
      </c>
      <c r="H219" t="s">
        <v>57</v>
      </c>
    </row>
    <row r="220" spans="1:8" x14ac:dyDescent="0.3">
      <c r="A220">
        <v>23</v>
      </c>
      <c r="B220" s="5">
        <v>43921</v>
      </c>
      <c r="C220" t="s">
        <v>11</v>
      </c>
      <c r="D220">
        <v>676</v>
      </c>
      <c r="E220">
        <v>-156</v>
      </c>
      <c r="F220" s="5">
        <v>43891</v>
      </c>
      <c r="G220">
        <v>-676</v>
      </c>
      <c r="H220" t="s">
        <v>58</v>
      </c>
    </row>
    <row r="221" spans="1:8" x14ac:dyDescent="0.3">
      <c r="A221">
        <v>23</v>
      </c>
      <c r="B221" s="5">
        <v>43929</v>
      </c>
      <c r="C221" t="s">
        <v>12</v>
      </c>
      <c r="D221">
        <v>522</v>
      </c>
      <c r="E221">
        <v>-678</v>
      </c>
      <c r="F221" s="5">
        <v>43922</v>
      </c>
      <c r="G221">
        <v>-522</v>
      </c>
      <c r="H221" t="s">
        <v>58</v>
      </c>
    </row>
    <row r="222" spans="1:8" x14ac:dyDescent="0.3">
      <c r="A222">
        <v>24</v>
      </c>
      <c r="B222" s="5">
        <v>43856</v>
      </c>
      <c r="C222" t="s">
        <v>10</v>
      </c>
      <c r="D222">
        <v>615</v>
      </c>
      <c r="E222">
        <v>615</v>
      </c>
      <c r="F222" s="5">
        <v>43831</v>
      </c>
      <c r="G222">
        <v>615</v>
      </c>
      <c r="H222" t="s">
        <v>57</v>
      </c>
    </row>
    <row r="223" spans="1:8" x14ac:dyDescent="0.3">
      <c r="A223">
        <v>24</v>
      </c>
      <c r="B223" s="5">
        <v>43868</v>
      </c>
      <c r="C223" t="s">
        <v>12</v>
      </c>
      <c r="D223">
        <v>505</v>
      </c>
      <c r="E223">
        <v>110</v>
      </c>
      <c r="F223" s="5">
        <v>43862</v>
      </c>
      <c r="G223">
        <v>-505</v>
      </c>
      <c r="H223" t="s">
        <v>57</v>
      </c>
    </row>
    <row r="224" spans="1:8" x14ac:dyDescent="0.3">
      <c r="A224">
        <v>24</v>
      </c>
      <c r="B224" s="5">
        <v>43870</v>
      </c>
      <c r="C224" t="s">
        <v>12</v>
      </c>
      <c r="D224">
        <v>149</v>
      </c>
      <c r="E224">
        <v>-39</v>
      </c>
      <c r="F224" s="5">
        <v>43862</v>
      </c>
      <c r="G224">
        <v>-149</v>
      </c>
      <c r="H224" t="s">
        <v>58</v>
      </c>
    </row>
    <row r="225" spans="1:8" x14ac:dyDescent="0.3">
      <c r="A225">
        <v>24</v>
      </c>
      <c r="B225" s="5">
        <v>43873</v>
      </c>
      <c r="C225" t="s">
        <v>10</v>
      </c>
      <c r="D225">
        <v>440</v>
      </c>
      <c r="E225">
        <v>401</v>
      </c>
      <c r="F225" s="5">
        <v>43862</v>
      </c>
      <c r="G225">
        <v>440</v>
      </c>
      <c r="H225" t="s">
        <v>57</v>
      </c>
    </row>
    <row r="226" spans="1:8" x14ac:dyDescent="0.3">
      <c r="A226">
        <v>24</v>
      </c>
      <c r="B226" s="5">
        <v>43873</v>
      </c>
      <c r="C226" t="s">
        <v>11</v>
      </c>
      <c r="D226">
        <v>218</v>
      </c>
      <c r="E226">
        <v>183</v>
      </c>
      <c r="F226" s="5">
        <v>43862</v>
      </c>
      <c r="G226">
        <v>-218</v>
      </c>
      <c r="H226" t="s">
        <v>57</v>
      </c>
    </row>
    <row r="227" spans="1:8" x14ac:dyDescent="0.3">
      <c r="A227">
        <v>24</v>
      </c>
      <c r="B227" s="5">
        <v>43878</v>
      </c>
      <c r="C227" t="s">
        <v>10</v>
      </c>
      <c r="D227">
        <v>275</v>
      </c>
      <c r="E227">
        <v>458</v>
      </c>
      <c r="F227" s="5">
        <v>43862</v>
      </c>
      <c r="G227">
        <v>275</v>
      </c>
      <c r="H227" t="s">
        <v>57</v>
      </c>
    </row>
    <row r="228" spans="1:8" x14ac:dyDescent="0.3">
      <c r="A228">
        <v>24</v>
      </c>
      <c r="B228" s="5">
        <v>43890</v>
      </c>
      <c r="C228" t="s">
        <v>10</v>
      </c>
      <c r="D228">
        <v>355</v>
      </c>
      <c r="E228">
        <v>813</v>
      </c>
      <c r="F228" s="5">
        <v>43862</v>
      </c>
      <c r="G228">
        <v>355</v>
      </c>
      <c r="H228" t="s">
        <v>57</v>
      </c>
    </row>
    <row r="229" spans="1:8" x14ac:dyDescent="0.3">
      <c r="A229">
        <v>24</v>
      </c>
      <c r="B229" s="5">
        <v>43896</v>
      </c>
      <c r="C229" t="s">
        <v>11</v>
      </c>
      <c r="D229">
        <v>289</v>
      </c>
      <c r="E229">
        <v>524</v>
      </c>
      <c r="F229" s="5">
        <v>43891</v>
      </c>
      <c r="G229">
        <v>-289</v>
      </c>
      <c r="H229" t="s">
        <v>57</v>
      </c>
    </row>
    <row r="230" spans="1:8" x14ac:dyDescent="0.3">
      <c r="A230">
        <v>24</v>
      </c>
      <c r="B230" s="5">
        <v>43899</v>
      </c>
      <c r="C230" t="s">
        <v>10</v>
      </c>
      <c r="D230">
        <v>275</v>
      </c>
      <c r="E230">
        <v>799</v>
      </c>
      <c r="F230" s="5">
        <v>43891</v>
      </c>
      <c r="G230">
        <v>275</v>
      </c>
      <c r="H230" t="s">
        <v>57</v>
      </c>
    </row>
    <row r="231" spans="1:8" x14ac:dyDescent="0.3">
      <c r="A231">
        <v>24</v>
      </c>
      <c r="B231" s="5">
        <v>43899</v>
      </c>
      <c r="C231" t="s">
        <v>11</v>
      </c>
      <c r="D231">
        <v>545</v>
      </c>
      <c r="E231">
        <v>254</v>
      </c>
      <c r="F231" s="5">
        <v>43891</v>
      </c>
      <c r="G231">
        <v>-545</v>
      </c>
      <c r="H231" t="s">
        <v>57</v>
      </c>
    </row>
    <row r="232" spans="1:8" x14ac:dyDescent="0.3">
      <c r="A232">
        <v>25</v>
      </c>
      <c r="B232" s="5">
        <v>43858</v>
      </c>
      <c r="C232" t="s">
        <v>10</v>
      </c>
      <c r="D232">
        <v>174</v>
      </c>
      <c r="E232">
        <v>174</v>
      </c>
      <c r="F232" s="5">
        <v>43831</v>
      </c>
      <c r="G232">
        <v>174</v>
      </c>
      <c r="H232" t="s">
        <v>57</v>
      </c>
    </row>
    <row r="233" spans="1:8" x14ac:dyDescent="0.3">
      <c r="A233">
        <v>25</v>
      </c>
      <c r="B233" s="5">
        <v>43869</v>
      </c>
      <c r="C233" t="s">
        <v>10</v>
      </c>
      <c r="D233">
        <v>259</v>
      </c>
      <c r="E233">
        <v>433</v>
      </c>
      <c r="F233" s="5">
        <v>43862</v>
      </c>
      <c r="G233">
        <v>259</v>
      </c>
      <c r="H233" t="s">
        <v>57</v>
      </c>
    </row>
    <row r="234" spans="1:8" x14ac:dyDescent="0.3">
      <c r="A234">
        <v>25</v>
      </c>
      <c r="B234" s="5">
        <v>43874</v>
      </c>
      <c r="C234" t="s">
        <v>12</v>
      </c>
      <c r="D234">
        <v>833</v>
      </c>
      <c r="E234">
        <v>-400</v>
      </c>
      <c r="F234" s="5">
        <v>43862</v>
      </c>
      <c r="G234">
        <v>-833</v>
      </c>
      <c r="H234" t="s">
        <v>58</v>
      </c>
    </row>
    <row r="235" spans="1:8" x14ac:dyDescent="0.3">
      <c r="A235">
        <v>25</v>
      </c>
      <c r="B235" s="5">
        <v>43895</v>
      </c>
      <c r="C235" t="s">
        <v>10</v>
      </c>
      <c r="D235">
        <v>430</v>
      </c>
      <c r="E235">
        <v>30</v>
      </c>
      <c r="F235" s="5">
        <v>43891</v>
      </c>
      <c r="G235">
        <v>430</v>
      </c>
      <c r="H235" t="s">
        <v>57</v>
      </c>
    </row>
    <row r="236" spans="1:8" x14ac:dyDescent="0.3">
      <c r="A236">
        <v>25</v>
      </c>
      <c r="B236" s="5">
        <v>43899</v>
      </c>
      <c r="C236" t="s">
        <v>12</v>
      </c>
      <c r="D236">
        <v>123</v>
      </c>
      <c r="E236">
        <v>-93</v>
      </c>
      <c r="F236" s="5">
        <v>43891</v>
      </c>
      <c r="G236">
        <v>-123</v>
      </c>
      <c r="H236" t="s">
        <v>58</v>
      </c>
    </row>
    <row r="237" spans="1:8" x14ac:dyDescent="0.3">
      <c r="A237">
        <v>25</v>
      </c>
      <c r="B237" s="5">
        <v>43908</v>
      </c>
      <c r="C237" t="s">
        <v>12</v>
      </c>
      <c r="D237">
        <v>629</v>
      </c>
      <c r="E237">
        <v>-722</v>
      </c>
      <c r="F237" s="5">
        <v>43891</v>
      </c>
      <c r="G237">
        <v>-629</v>
      </c>
      <c r="H237" t="s">
        <v>58</v>
      </c>
    </row>
    <row r="238" spans="1:8" x14ac:dyDescent="0.3">
      <c r="A238">
        <v>25</v>
      </c>
      <c r="B238" s="5">
        <v>43909</v>
      </c>
      <c r="C238" t="s">
        <v>10</v>
      </c>
      <c r="D238">
        <v>185</v>
      </c>
      <c r="E238">
        <v>-537</v>
      </c>
      <c r="F238" s="5">
        <v>43891</v>
      </c>
      <c r="G238">
        <v>185</v>
      </c>
      <c r="H238" t="s">
        <v>58</v>
      </c>
    </row>
    <row r="239" spans="1:8" x14ac:dyDescent="0.3">
      <c r="A239">
        <v>25</v>
      </c>
      <c r="B239" s="5">
        <v>43911</v>
      </c>
      <c r="C239" t="s">
        <v>11</v>
      </c>
      <c r="D239">
        <v>683</v>
      </c>
      <c r="E239">
        <v>-1220</v>
      </c>
      <c r="F239" s="5">
        <v>43891</v>
      </c>
      <c r="G239">
        <v>-683</v>
      </c>
      <c r="H239" t="s">
        <v>58</v>
      </c>
    </row>
    <row r="240" spans="1:8" x14ac:dyDescent="0.3">
      <c r="A240">
        <v>25</v>
      </c>
      <c r="B240" s="5">
        <v>43930</v>
      </c>
      <c r="C240" t="s">
        <v>10</v>
      </c>
      <c r="D240">
        <v>769</v>
      </c>
      <c r="E240">
        <v>-451</v>
      </c>
      <c r="F240" s="5">
        <v>43922</v>
      </c>
      <c r="G240">
        <v>769</v>
      </c>
      <c r="H240" t="s">
        <v>58</v>
      </c>
    </row>
    <row r="241" spans="1:8" x14ac:dyDescent="0.3">
      <c r="A241">
        <v>25</v>
      </c>
      <c r="B241" s="5">
        <v>43938</v>
      </c>
      <c r="C241" t="s">
        <v>10</v>
      </c>
      <c r="D241">
        <v>432</v>
      </c>
      <c r="E241">
        <v>-19</v>
      </c>
      <c r="F241" s="5">
        <v>43922</v>
      </c>
      <c r="G241">
        <v>432</v>
      </c>
      <c r="H241" t="s">
        <v>58</v>
      </c>
    </row>
    <row r="242" spans="1:8" x14ac:dyDescent="0.3">
      <c r="A242">
        <v>25</v>
      </c>
      <c r="B242" s="5">
        <v>43945</v>
      </c>
      <c r="C242" t="s">
        <v>12</v>
      </c>
      <c r="D242">
        <v>285</v>
      </c>
      <c r="E242">
        <v>-304</v>
      </c>
      <c r="F242" s="5">
        <v>43922</v>
      </c>
      <c r="G242">
        <v>-285</v>
      </c>
      <c r="H242" t="s">
        <v>58</v>
      </c>
    </row>
    <row r="243" spans="1:8" x14ac:dyDescent="0.3">
      <c r="A243">
        <v>26</v>
      </c>
      <c r="B243" s="5">
        <v>43847</v>
      </c>
      <c r="C243" t="s">
        <v>10</v>
      </c>
      <c r="D243">
        <v>878</v>
      </c>
      <c r="E243">
        <v>878</v>
      </c>
      <c r="F243" s="5">
        <v>43831</v>
      </c>
      <c r="G243">
        <v>878</v>
      </c>
      <c r="H243" t="s">
        <v>57</v>
      </c>
    </row>
    <row r="244" spans="1:8" x14ac:dyDescent="0.3">
      <c r="A244">
        <v>26</v>
      </c>
      <c r="B244" s="5">
        <v>43856</v>
      </c>
      <c r="C244" t="s">
        <v>12</v>
      </c>
      <c r="D244">
        <v>338</v>
      </c>
      <c r="E244">
        <v>540</v>
      </c>
      <c r="F244" s="5">
        <v>43831</v>
      </c>
      <c r="G244">
        <v>-338</v>
      </c>
      <c r="H244" t="s">
        <v>57</v>
      </c>
    </row>
    <row r="245" spans="1:8" x14ac:dyDescent="0.3">
      <c r="A245">
        <v>26</v>
      </c>
      <c r="B245" s="5">
        <v>43856</v>
      </c>
      <c r="C245" t="s">
        <v>10</v>
      </c>
      <c r="D245">
        <v>98</v>
      </c>
      <c r="E245">
        <v>638</v>
      </c>
      <c r="F245" s="5">
        <v>43831</v>
      </c>
      <c r="G245">
        <v>98</v>
      </c>
      <c r="H245" t="s">
        <v>57</v>
      </c>
    </row>
    <row r="246" spans="1:8" x14ac:dyDescent="0.3">
      <c r="A246">
        <v>26</v>
      </c>
      <c r="B246" s="5">
        <v>43867</v>
      </c>
      <c r="C246" t="s">
        <v>11</v>
      </c>
      <c r="D246">
        <v>352</v>
      </c>
      <c r="E246">
        <v>286</v>
      </c>
      <c r="F246" s="5">
        <v>43862</v>
      </c>
      <c r="G246">
        <v>-352</v>
      </c>
      <c r="H246" t="s">
        <v>57</v>
      </c>
    </row>
    <row r="247" spans="1:8" x14ac:dyDescent="0.3">
      <c r="A247">
        <v>26</v>
      </c>
      <c r="B247" s="5">
        <v>43888</v>
      </c>
      <c r="C247" t="s">
        <v>12</v>
      </c>
      <c r="D247">
        <v>300</v>
      </c>
      <c r="E247">
        <v>-14</v>
      </c>
      <c r="F247" s="5">
        <v>43862</v>
      </c>
      <c r="G247">
        <v>-300</v>
      </c>
      <c r="H247" t="s">
        <v>58</v>
      </c>
    </row>
    <row r="248" spans="1:8" x14ac:dyDescent="0.3">
      <c r="A248">
        <v>26</v>
      </c>
      <c r="B248" s="5">
        <v>43888</v>
      </c>
      <c r="C248" t="s">
        <v>12</v>
      </c>
      <c r="D248">
        <v>17</v>
      </c>
      <c r="E248">
        <v>-31</v>
      </c>
      <c r="F248" s="5">
        <v>43862</v>
      </c>
      <c r="G248">
        <v>-17</v>
      </c>
      <c r="H248" t="s">
        <v>58</v>
      </c>
    </row>
    <row r="249" spans="1:8" x14ac:dyDescent="0.3">
      <c r="A249">
        <v>26</v>
      </c>
      <c r="B249" s="5">
        <v>43896</v>
      </c>
      <c r="C249" t="s">
        <v>10</v>
      </c>
      <c r="D249">
        <v>192</v>
      </c>
      <c r="E249">
        <v>161</v>
      </c>
      <c r="F249" s="5">
        <v>43891</v>
      </c>
      <c r="G249">
        <v>192</v>
      </c>
      <c r="H249" t="s">
        <v>57</v>
      </c>
    </row>
    <row r="250" spans="1:8" x14ac:dyDescent="0.3">
      <c r="A250">
        <v>26</v>
      </c>
      <c r="B250" s="5">
        <v>43900</v>
      </c>
      <c r="C250" t="s">
        <v>12</v>
      </c>
      <c r="D250">
        <v>381</v>
      </c>
      <c r="E250">
        <v>-220</v>
      </c>
      <c r="F250" s="5">
        <v>43891</v>
      </c>
      <c r="G250">
        <v>-381</v>
      </c>
      <c r="H250" t="s">
        <v>58</v>
      </c>
    </row>
    <row r="251" spans="1:8" x14ac:dyDescent="0.3">
      <c r="A251">
        <v>26</v>
      </c>
      <c r="B251" s="5">
        <v>43901</v>
      </c>
      <c r="C251" t="s">
        <v>12</v>
      </c>
      <c r="D251">
        <v>437</v>
      </c>
      <c r="E251">
        <v>-657</v>
      </c>
      <c r="F251" s="5">
        <v>43891</v>
      </c>
      <c r="G251">
        <v>-437</v>
      </c>
      <c r="H251" t="s">
        <v>58</v>
      </c>
    </row>
    <row r="252" spans="1:8" x14ac:dyDescent="0.3">
      <c r="A252">
        <v>26</v>
      </c>
      <c r="B252" s="5">
        <v>43903</v>
      </c>
      <c r="C252" t="s">
        <v>10</v>
      </c>
      <c r="D252">
        <v>35</v>
      </c>
      <c r="E252">
        <v>-622</v>
      </c>
      <c r="F252" s="5">
        <v>43891</v>
      </c>
      <c r="G252">
        <v>35</v>
      </c>
      <c r="H252" t="s">
        <v>58</v>
      </c>
    </row>
    <row r="253" spans="1:8" x14ac:dyDescent="0.3">
      <c r="A253">
        <v>26</v>
      </c>
      <c r="B253" s="5">
        <v>43925</v>
      </c>
      <c r="C253" t="s">
        <v>12</v>
      </c>
      <c r="D253">
        <v>456</v>
      </c>
      <c r="E253">
        <v>-1078</v>
      </c>
      <c r="F253" s="5">
        <v>43922</v>
      </c>
      <c r="G253">
        <v>-456</v>
      </c>
      <c r="H253" t="s">
        <v>58</v>
      </c>
    </row>
    <row r="254" spans="1:8" x14ac:dyDescent="0.3">
      <c r="A254">
        <v>26</v>
      </c>
      <c r="B254" s="5">
        <v>43934</v>
      </c>
      <c r="C254" t="s">
        <v>12</v>
      </c>
      <c r="D254">
        <v>792</v>
      </c>
      <c r="E254">
        <v>-1870</v>
      </c>
      <c r="F254" s="5">
        <v>43922</v>
      </c>
      <c r="G254">
        <v>-792</v>
      </c>
      <c r="H254" t="s">
        <v>58</v>
      </c>
    </row>
    <row r="255" spans="1:8" x14ac:dyDescent="0.3">
      <c r="A255">
        <v>27</v>
      </c>
      <c r="B255" s="5">
        <v>43831</v>
      </c>
      <c r="C255" t="s">
        <v>10</v>
      </c>
      <c r="D255">
        <v>809</v>
      </c>
      <c r="E255">
        <v>809</v>
      </c>
      <c r="F255" s="5">
        <v>43831</v>
      </c>
      <c r="G255">
        <v>809</v>
      </c>
      <c r="H255" t="s">
        <v>57</v>
      </c>
    </row>
    <row r="256" spans="1:8" x14ac:dyDescent="0.3">
      <c r="A256">
        <v>27</v>
      </c>
      <c r="B256" s="5">
        <v>43832</v>
      </c>
      <c r="C256" t="s">
        <v>12</v>
      </c>
      <c r="D256">
        <v>604</v>
      </c>
      <c r="E256">
        <v>205</v>
      </c>
      <c r="F256" s="5">
        <v>43831</v>
      </c>
      <c r="G256">
        <v>-604</v>
      </c>
      <c r="H256" t="s">
        <v>57</v>
      </c>
    </row>
    <row r="257" spans="1:8" x14ac:dyDescent="0.3">
      <c r="A257">
        <v>27</v>
      </c>
      <c r="B257" s="5">
        <v>43835</v>
      </c>
      <c r="C257" t="s">
        <v>10</v>
      </c>
      <c r="D257">
        <v>161</v>
      </c>
      <c r="E257">
        <v>366</v>
      </c>
      <c r="F257" s="5">
        <v>43831</v>
      </c>
      <c r="G257">
        <v>161</v>
      </c>
      <c r="H257" t="s">
        <v>57</v>
      </c>
    </row>
    <row r="258" spans="1:8" x14ac:dyDescent="0.3">
      <c r="A258">
        <v>27</v>
      </c>
      <c r="B258" s="5">
        <v>43838</v>
      </c>
      <c r="C258" t="s">
        <v>10</v>
      </c>
      <c r="D258">
        <v>134</v>
      </c>
      <c r="E258">
        <v>500</v>
      </c>
      <c r="F258" s="5">
        <v>43831</v>
      </c>
      <c r="G258">
        <v>134</v>
      </c>
      <c r="H258" t="s">
        <v>57</v>
      </c>
    </row>
    <row r="259" spans="1:8" x14ac:dyDescent="0.3">
      <c r="A259">
        <v>27</v>
      </c>
      <c r="B259" s="5">
        <v>43846</v>
      </c>
      <c r="C259" t="s">
        <v>12</v>
      </c>
      <c r="D259">
        <v>263</v>
      </c>
      <c r="E259">
        <v>237</v>
      </c>
      <c r="F259" s="5">
        <v>43831</v>
      </c>
      <c r="G259">
        <v>-263</v>
      </c>
      <c r="H259" t="s">
        <v>57</v>
      </c>
    </row>
    <row r="260" spans="1:8" x14ac:dyDescent="0.3">
      <c r="A260">
        <v>27</v>
      </c>
      <c r="B260" s="5">
        <v>43851</v>
      </c>
      <c r="C260" t="s">
        <v>11</v>
      </c>
      <c r="D260">
        <v>843</v>
      </c>
      <c r="E260">
        <v>-606</v>
      </c>
      <c r="F260" s="5">
        <v>43831</v>
      </c>
      <c r="G260">
        <v>-843</v>
      </c>
      <c r="H260" t="s">
        <v>58</v>
      </c>
    </row>
    <row r="261" spans="1:8" x14ac:dyDescent="0.3">
      <c r="A261">
        <v>27</v>
      </c>
      <c r="B261" s="5">
        <v>43855</v>
      </c>
      <c r="C261" t="s">
        <v>12</v>
      </c>
      <c r="D261">
        <v>583</v>
      </c>
      <c r="E261">
        <v>-1189</v>
      </c>
      <c r="F261" s="5">
        <v>43831</v>
      </c>
      <c r="G261">
        <v>-583</v>
      </c>
      <c r="H261" t="s">
        <v>58</v>
      </c>
    </row>
    <row r="262" spans="1:8" x14ac:dyDescent="0.3">
      <c r="A262">
        <v>27</v>
      </c>
      <c r="B262" s="5">
        <v>43863</v>
      </c>
      <c r="C262" t="s">
        <v>12</v>
      </c>
      <c r="D262">
        <v>666</v>
      </c>
      <c r="E262">
        <v>-1855</v>
      </c>
      <c r="F262" s="5">
        <v>43862</v>
      </c>
      <c r="G262">
        <v>-666</v>
      </c>
      <c r="H262" t="s">
        <v>58</v>
      </c>
    </row>
    <row r="263" spans="1:8" x14ac:dyDescent="0.3">
      <c r="A263">
        <v>27</v>
      </c>
      <c r="B263" s="5">
        <v>43868</v>
      </c>
      <c r="C263" t="s">
        <v>10</v>
      </c>
      <c r="D263">
        <v>734</v>
      </c>
      <c r="E263">
        <v>-1121</v>
      </c>
      <c r="F263" s="5">
        <v>43862</v>
      </c>
      <c r="G263">
        <v>734</v>
      </c>
      <c r="H263" t="s">
        <v>58</v>
      </c>
    </row>
    <row r="264" spans="1:8" x14ac:dyDescent="0.3">
      <c r="A264">
        <v>27</v>
      </c>
      <c r="B264" s="5">
        <v>43875</v>
      </c>
      <c r="C264" t="s">
        <v>12</v>
      </c>
      <c r="D264">
        <v>690</v>
      </c>
      <c r="E264">
        <v>-1811</v>
      </c>
      <c r="F264" s="5">
        <v>43862</v>
      </c>
      <c r="G264">
        <v>-690</v>
      </c>
      <c r="H264" t="s">
        <v>58</v>
      </c>
    </row>
    <row r="265" spans="1:8" x14ac:dyDescent="0.3">
      <c r="A265">
        <v>27</v>
      </c>
      <c r="B265" s="5">
        <v>43877</v>
      </c>
      <c r="C265" t="s">
        <v>11</v>
      </c>
      <c r="D265">
        <v>505</v>
      </c>
      <c r="E265">
        <v>-2316</v>
      </c>
      <c r="F265" s="5">
        <v>43862</v>
      </c>
      <c r="G265">
        <v>-505</v>
      </c>
      <c r="H265" t="s">
        <v>58</v>
      </c>
    </row>
    <row r="266" spans="1:8" x14ac:dyDescent="0.3">
      <c r="A266">
        <v>27</v>
      </c>
      <c r="B266" s="5">
        <v>43886</v>
      </c>
      <c r="C266" t="s">
        <v>10</v>
      </c>
      <c r="D266">
        <v>692</v>
      </c>
      <c r="E266">
        <v>-1624</v>
      </c>
      <c r="F266" s="5">
        <v>43862</v>
      </c>
      <c r="G266">
        <v>692</v>
      </c>
      <c r="H266" t="s">
        <v>58</v>
      </c>
    </row>
    <row r="267" spans="1:8" x14ac:dyDescent="0.3">
      <c r="A267">
        <v>27</v>
      </c>
      <c r="B267" s="5">
        <v>43889</v>
      </c>
      <c r="C267" t="s">
        <v>10</v>
      </c>
      <c r="D267">
        <v>911</v>
      </c>
      <c r="E267">
        <v>-713</v>
      </c>
      <c r="F267" s="5">
        <v>43862</v>
      </c>
      <c r="G267">
        <v>911</v>
      </c>
      <c r="H267" t="s">
        <v>58</v>
      </c>
    </row>
    <row r="268" spans="1:8" x14ac:dyDescent="0.3">
      <c r="A268">
        <v>27</v>
      </c>
      <c r="B268" s="5">
        <v>43893</v>
      </c>
      <c r="C268" t="s">
        <v>11</v>
      </c>
      <c r="D268">
        <v>769</v>
      </c>
      <c r="E268">
        <v>-1482</v>
      </c>
      <c r="F268" s="5">
        <v>43891</v>
      </c>
      <c r="G268">
        <v>-769</v>
      </c>
      <c r="H268" t="s">
        <v>58</v>
      </c>
    </row>
    <row r="269" spans="1:8" x14ac:dyDescent="0.3">
      <c r="A269">
        <v>27</v>
      </c>
      <c r="B269" s="5">
        <v>43901</v>
      </c>
      <c r="C269" t="s">
        <v>12</v>
      </c>
      <c r="D269">
        <v>992</v>
      </c>
      <c r="E269">
        <v>-2474</v>
      </c>
      <c r="F269" s="5">
        <v>43891</v>
      </c>
      <c r="G269">
        <v>-992</v>
      </c>
      <c r="H269" t="s">
        <v>58</v>
      </c>
    </row>
    <row r="270" spans="1:8" x14ac:dyDescent="0.3">
      <c r="A270">
        <v>27</v>
      </c>
      <c r="B270" s="5">
        <v>43902</v>
      </c>
      <c r="C270" t="s">
        <v>11</v>
      </c>
      <c r="D270">
        <v>175</v>
      </c>
      <c r="E270">
        <v>-2649</v>
      </c>
      <c r="F270" s="5">
        <v>43891</v>
      </c>
      <c r="G270">
        <v>-175</v>
      </c>
      <c r="H270" t="s">
        <v>58</v>
      </c>
    </row>
    <row r="271" spans="1:8" x14ac:dyDescent="0.3">
      <c r="A271">
        <v>27</v>
      </c>
      <c r="B271" s="5">
        <v>43903</v>
      </c>
      <c r="C271" t="s">
        <v>10</v>
      </c>
      <c r="D271">
        <v>71</v>
      </c>
      <c r="E271">
        <v>-2578</v>
      </c>
      <c r="F271" s="5">
        <v>43891</v>
      </c>
      <c r="G271">
        <v>71</v>
      </c>
      <c r="H271" t="s">
        <v>58</v>
      </c>
    </row>
    <row r="272" spans="1:8" x14ac:dyDescent="0.3">
      <c r="A272">
        <v>27</v>
      </c>
      <c r="B272" s="5">
        <v>43904</v>
      </c>
      <c r="C272" t="s">
        <v>11</v>
      </c>
      <c r="D272">
        <v>490</v>
      </c>
      <c r="E272">
        <v>-3068</v>
      </c>
      <c r="F272" s="5">
        <v>43891</v>
      </c>
      <c r="G272">
        <v>-490</v>
      </c>
      <c r="H272" t="s">
        <v>58</v>
      </c>
    </row>
    <row r="273" spans="1:8" x14ac:dyDescent="0.3">
      <c r="A273">
        <v>27</v>
      </c>
      <c r="B273" s="5">
        <v>43906</v>
      </c>
      <c r="C273" t="s">
        <v>10</v>
      </c>
      <c r="D273">
        <v>521</v>
      </c>
      <c r="E273">
        <v>-2547</v>
      </c>
      <c r="F273" s="5">
        <v>43891</v>
      </c>
      <c r="G273">
        <v>521</v>
      </c>
      <c r="H273" t="s">
        <v>58</v>
      </c>
    </row>
    <row r="274" spans="1:8" x14ac:dyDescent="0.3">
      <c r="A274">
        <v>27</v>
      </c>
      <c r="B274" s="5">
        <v>43915</v>
      </c>
      <c r="C274" t="s">
        <v>11</v>
      </c>
      <c r="D274">
        <v>569</v>
      </c>
      <c r="E274">
        <v>-3116</v>
      </c>
      <c r="F274" s="5">
        <v>43891</v>
      </c>
      <c r="G274">
        <v>-569</v>
      </c>
      <c r="H274" t="s">
        <v>58</v>
      </c>
    </row>
    <row r="275" spans="1:8" x14ac:dyDescent="0.3">
      <c r="A275">
        <v>28</v>
      </c>
      <c r="B275" s="5">
        <v>43850</v>
      </c>
      <c r="C275" t="s">
        <v>10</v>
      </c>
      <c r="D275">
        <v>451</v>
      </c>
      <c r="E275">
        <v>451</v>
      </c>
      <c r="F275" s="5">
        <v>43831</v>
      </c>
      <c r="G275">
        <v>451</v>
      </c>
      <c r="H275" t="s">
        <v>57</v>
      </c>
    </row>
    <row r="276" spans="1:8" x14ac:dyDescent="0.3">
      <c r="A276">
        <v>28</v>
      </c>
      <c r="B276" s="5">
        <v>43863</v>
      </c>
      <c r="C276" t="s">
        <v>12</v>
      </c>
      <c r="D276">
        <v>387</v>
      </c>
      <c r="E276">
        <v>64</v>
      </c>
      <c r="F276" s="5">
        <v>43862</v>
      </c>
      <c r="G276">
        <v>-387</v>
      </c>
      <c r="H276" t="s">
        <v>57</v>
      </c>
    </row>
    <row r="277" spans="1:8" x14ac:dyDescent="0.3">
      <c r="A277">
        <v>28</v>
      </c>
      <c r="B277" s="5">
        <v>43873</v>
      </c>
      <c r="C277" t="s">
        <v>11</v>
      </c>
      <c r="D277">
        <v>882</v>
      </c>
      <c r="E277">
        <v>-818</v>
      </c>
      <c r="F277" s="5">
        <v>43862</v>
      </c>
      <c r="G277">
        <v>-882</v>
      </c>
      <c r="H277" t="s">
        <v>58</v>
      </c>
    </row>
    <row r="278" spans="1:8" x14ac:dyDescent="0.3">
      <c r="A278">
        <v>28</v>
      </c>
      <c r="B278" s="5">
        <v>43906</v>
      </c>
      <c r="C278" t="s">
        <v>10</v>
      </c>
      <c r="D278">
        <v>274</v>
      </c>
      <c r="E278">
        <v>-544</v>
      </c>
      <c r="F278" s="5">
        <v>43891</v>
      </c>
      <c r="G278">
        <v>274</v>
      </c>
      <c r="H278" t="s">
        <v>58</v>
      </c>
    </row>
    <row r="279" spans="1:8" x14ac:dyDescent="0.3">
      <c r="A279">
        <v>28</v>
      </c>
      <c r="B279" s="5">
        <v>43907</v>
      </c>
      <c r="C279" t="s">
        <v>12</v>
      </c>
      <c r="D279">
        <v>501</v>
      </c>
      <c r="E279">
        <v>-1045</v>
      </c>
      <c r="F279" s="5">
        <v>43891</v>
      </c>
      <c r="G279">
        <v>-501</v>
      </c>
      <c r="H279" t="s">
        <v>58</v>
      </c>
    </row>
    <row r="280" spans="1:8" x14ac:dyDescent="0.3">
      <c r="A280">
        <v>28</v>
      </c>
      <c r="B280" s="5">
        <v>43915</v>
      </c>
      <c r="C280" t="s">
        <v>11</v>
      </c>
      <c r="D280">
        <v>183</v>
      </c>
      <c r="E280">
        <v>-1228</v>
      </c>
      <c r="F280" s="5">
        <v>43891</v>
      </c>
      <c r="G280">
        <v>-183</v>
      </c>
      <c r="H280" t="s">
        <v>58</v>
      </c>
    </row>
    <row r="281" spans="1:8" x14ac:dyDescent="0.3">
      <c r="A281">
        <v>28</v>
      </c>
      <c r="B281" s="5">
        <v>43927</v>
      </c>
      <c r="C281" t="s">
        <v>10</v>
      </c>
      <c r="D281">
        <v>677</v>
      </c>
      <c r="E281">
        <v>-551</v>
      </c>
      <c r="F281" s="5">
        <v>43922</v>
      </c>
      <c r="G281">
        <v>677</v>
      </c>
      <c r="H281" t="s">
        <v>58</v>
      </c>
    </row>
    <row r="282" spans="1:8" x14ac:dyDescent="0.3">
      <c r="A282">
        <v>28</v>
      </c>
      <c r="B282" s="5">
        <v>43938</v>
      </c>
      <c r="C282" t="s">
        <v>10</v>
      </c>
      <c r="D282">
        <v>823</v>
      </c>
      <c r="E282">
        <v>272</v>
      </c>
      <c r="F282" s="5">
        <v>43922</v>
      </c>
      <c r="G282">
        <v>823</v>
      </c>
      <c r="H282" t="s">
        <v>57</v>
      </c>
    </row>
    <row r="283" spans="1:8" x14ac:dyDescent="0.3">
      <c r="A283">
        <v>29</v>
      </c>
      <c r="B283" s="5">
        <v>43849</v>
      </c>
      <c r="C283" t="s">
        <v>10</v>
      </c>
      <c r="D283">
        <v>217</v>
      </c>
      <c r="E283">
        <v>217</v>
      </c>
      <c r="F283" s="5">
        <v>43831</v>
      </c>
      <c r="G283">
        <v>217</v>
      </c>
      <c r="H283" t="s">
        <v>57</v>
      </c>
    </row>
    <row r="284" spans="1:8" x14ac:dyDescent="0.3">
      <c r="A284">
        <v>29</v>
      </c>
      <c r="B284" s="5">
        <v>43855</v>
      </c>
      <c r="C284" t="s">
        <v>12</v>
      </c>
      <c r="D284">
        <v>522</v>
      </c>
      <c r="E284">
        <v>-305</v>
      </c>
      <c r="F284" s="5">
        <v>43831</v>
      </c>
      <c r="G284">
        <v>-522</v>
      </c>
      <c r="H284" t="s">
        <v>58</v>
      </c>
    </row>
    <row r="285" spans="1:8" x14ac:dyDescent="0.3">
      <c r="A285">
        <v>29</v>
      </c>
      <c r="B285" s="5">
        <v>43858</v>
      </c>
      <c r="C285" t="s">
        <v>12</v>
      </c>
      <c r="D285">
        <v>360</v>
      </c>
      <c r="E285">
        <v>-665</v>
      </c>
      <c r="F285" s="5">
        <v>43831</v>
      </c>
      <c r="G285">
        <v>-360</v>
      </c>
      <c r="H285" t="s">
        <v>58</v>
      </c>
    </row>
    <row r="286" spans="1:8" x14ac:dyDescent="0.3">
      <c r="A286">
        <v>29</v>
      </c>
      <c r="B286" s="5">
        <v>43861</v>
      </c>
      <c r="C286" t="s">
        <v>10</v>
      </c>
      <c r="D286">
        <v>527</v>
      </c>
      <c r="E286">
        <v>-138</v>
      </c>
      <c r="F286" s="5">
        <v>43831</v>
      </c>
      <c r="G286">
        <v>527</v>
      </c>
      <c r="H286" t="s">
        <v>58</v>
      </c>
    </row>
    <row r="287" spans="1:8" x14ac:dyDescent="0.3">
      <c r="A287">
        <v>29</v>
      </c>
      <c r="B287" s="5">
        <v>43870</v>
      </c>
      <c r="C287" t="s">
        <v>10</v>
      </c>
      <c r="D287">
        <v>937</v>
      </c>
      <c r="E287">
        <v>799</v>
      </c>
      <c r="F287" s="5">
        <v>43862</v>
      </c>
      <c r="G287">
        <v>937</v>
      </c>
      <c r="H287" t="s">
        <v>57</v>
      </c>
    </row>
    <row r="288" spans="1:8" x14ac:dyDescent="0.3">
      <c r="A288">
        <v>29</v>
      </c>
      <c r="B288" s="5">
        <v>43874</v>
      </c>
      <c r="C288" t="s">
        <v>11</v>
      </c>
      <c r="D288">
        <v>509</v>
      </c>
      <c r="E288">
        <v>290</v>
      </c>
      <c r="F288" s="5">
        <v>43862</v>
      </c>
      <c r="G288">
        <v>-509</v>
      </c>
      <c r="H288" t="s">
        <v>57</v>
      </c>
    </row>
    <row r="289" spans="1:8" x14ac:dyDescent="0.3">
      <c r="A289">
        <v>29</v>
      </c>
      <c r="B289" s="5">
        <v>43876</v>
      </c>
      <c r="C289" t="s">
        <v>11</v>
      </c>
      <c r="D289">
        <v>366</v>
      </c>
      <c r="E289">
        <v>-76</v>
      </c>
      <c r="F289" s="5">
        <v>43862</v>
      </c>
      <c r="G289">
        <v>-366</v>
      </c>
      <c r="H289" t="s">
        <v>58</v>
      </c>
    </row>
    <row r="290" spans="1:8" x14ac:dyDescent="0.3">
      <c r="A290">
        <v>29</v>
      </c>
      <c r="B290" s="5">
        <v>43893</v>
      </c>
      <c r="C290" t="s">
        <v>12</v>
      </c>
      <c r="D290">
        <v>834</v>
      </c>
      <c r="E290">
        <v>-910</v>
      </c>
      <c r="F290" s="5">
        <v>43891</v>
      </c>
      <c r="G290">
        <v>-834</v>
      </c>
      <c r="H290" t="s">
        <v>58</v>
      </c>
    </row>
    <row r="291" spans="1:8" x14ac:dyDescent="0.3">
      <c r="A291">
        <v>29</v>
      </c>
      <c r="B291" s="5">
        <v>43897</v>
      </c>
      <c r="C291" t="s">
        <v>10</v>
      </c>
      <c r="D291">
        <v>606</v>
      </c>
      <c r="E291">
        <v>-304</v>
      </c>
      <c r="F291" s="5">
        <v>43891</v>
      </c>
      <c r="G291">
        <v>606</v>
      </c>
      <c r="H291" t="s">
        <v>58</v>
      </c>
    </row>
    <row r="292" spans="1:8" x14ac:dyDescent="0.3">
      <c r="A292">
        <v>29</v>
      </c>
      <c r="B292" s="5">
        <v>43906</v>
      </c>
      <c r="C292" t="s">
        <v>12</v>
      </c>
      <c r="D292">
        <v>1</v>
      </c>
      <c r="E292">
        <v>-305</v>
      </c>
      <c r="F292" s="5">
        <v>43891</v>
      </c>
      <c r="G292">
        <v>-1</v>
      </c>
      <c r="H292" t="s">
        <v>58</v>
      </c>
    </row>
    <row r="293" spans="1:8" x14ac:dyDescent="0.3">
      <c r="A293">
        <v>29</v>
      </c>
      <c r="B293" s="5">
        <v>43910</v>
      </c>
      <c r="C293" t="s">
        <v>10</v>
      </c>
      <c r="D293">
        <v>335</v>
      </c>
      <c r="E293">
        <v>30</v>
      </c>
      <c r="F293" s="5">
        <v>43891</v>
      </c>
      <c r="G293">
        <v>335</v>
      </c>
      <c r="H293" t="s">
        <v>57</v>
      </c>
    </row>
    <row r="294" spans="1:8" x14ac:dyDescent="0.3">
      <c r="A294">
        <v>29</v>
      </c>
      <c r="B294" s="5">
        <v>43914</v>
      </c>
      <c r="C294" t="s">
        <v>10</v>
      </c>
      <c r="D294">
        <v>948</v>
      </c>
      <c r="E294">
        <v>978</v>
      </c>
      <c r="F294" s="5">
        <v>43891</v>
      </c>
      <c r="G294">
        <v>948</v>
      </c>
      <c r="H294" t="s">
        <v>57</v>
      </c>
    </row>
    <row r="295" spans="1:8" x14ac:dyDescent="0.3">
      <c r="A295">
        <v>29</v>
      </c>
      <c r="B295" s="5">
        <v>43915</v>
      </c>
      <c r="C295" t="s">
        <v>12</v>
      </c>
      <c r="D295">
        <v>147</v>
      </c>
      <c r="E295">
        <v>831</v>
      </c>
      <c r="F295" s="5">
        <v>43891</v>
      </c>
      <c r="G295">
        <v>-147</v>
      </c>
      <c r="H295" t="s">
        <v>57</v>
      </c>
    </row>
    <row r="296" spans="1:8" x14ac:dyDescent="0.3">
      <c r="A296">
        <v>29</v>
      </c>
      <c r="B296" s="5">
        <v>43931</v>
      </c>
      <c r="C296" t="s">
        <v>12</v>
      </c>
      <c r="D296">
        <v>682</v>
      </c>
      <c r="E296">
        <v>149</v>
      </c>
      <c r="F296" s="5">
        <v>43922</v>
      </c>
      <c r="G296">
        <v>-682</v>
      </c>
      <c r="H296" t="s">
        <v>57</v>
      </c>
    </row>
    <row r="297" spans="1:8" x14ac:dyDescent="0.3">
      <c r="A297">
        <v>29</v>
      </c>
      <c r="B297" s="5">
        <v>43931</v>
      </c>
      <c r="C297" t="s">
        <v>10</v>
      </c>
      <c r="D297">
        <v>800</v>
      </c>
      <c r="E297">
        <v>949</v>
      </c>
      <c r="F297" s="5">
        <v>43922</v>
      </c>
      <c r="G297">
        <v>800</v>
      </c>
      <c r="H297" t="s">
        <v>57</v>
      </c>
    </row>
    <row r="298" spans="1:8" x14ac:dyDescent="0.3">
      <c r="A298">
        <v>29</v>
      </c>
      <c r="B298" s="5">
        <v>43937</v>
      </c>
      <c r="C298" t="s">
        <v>11</v>
      </c>
      <c r="D298">
        <v>576</v>
      </c>
      <c r="E298">
        <v>373</v>
      </c>
      <c r="F298" s="5">
        <v>43922</v>
      </c>
      <c r="G298">
        <v>-576</v>
      </c>
      <c r="H298" t="s">
        <v>57</v>
      </c>
    </row>
    <row r="299" spans="1:8" x14ac:dyDescent="0.3">
      <c r="A299">
        <v>29</v>
      </c>
      <c r="B299" s="5">
        <v>43938</v>
      </c>
      <c r="C299" t="s">
        <v>12</v>
      </c>
      <c r="D299">
        <v>921</v>
      </c>
      <c r="E299">
        <v>-548</v>
      </c>
      <c r="F299" s="5">
        <v>43922</v>
      </c>
      <c r="G299">
        <v>-921</v>
      </c>
      <c r="H299" t="s">
        <v>58</v>
      </c>
    </row>
    <row r="300" spans="1:8" x14ac:dyDescent="0.3">
      <c r="A300">
        <v>30</v>
      </c>
      <c r="B300" s="5">
        <v>43856</v>
      </c>
      <c r="C300" t="s">
        <v>10</v>
      </c>
      <c r="D300">
        <v>33</v>
      </c>
      <c r="E300">
        <v>33</v>
      </c>
      <c r="F300" s="5">
        <v>43831</v>
      </c>
      <c r="G300">
        <v>33</v>
      </c>
      <c r="H300" t="s">
        <v>57</v>
      </c>
    </row>
    <row r="301" spans="1:8" x14ac:dyDescent="0.3">
      <c r="A301">
        <v>30</v>
      </c>
      <c r="B301" s="5">
        <v>43889</v>
      </c>
      <c r="C301" t="s">
        <v>12</v>
      </c>
      <c r="D301">
        <v>464</v>
      </c>
      <c r="E301">
        <v>-431</v>
      </c>
      <c r="F301" s="5">
        <v>43862</v>
      </c>
      <c r="G301">
        <v>-464</v>
      </c>
      <c r="H301" t="s">
        <v>58</v>
      </c>
    </row>
    <row r="302" spans="1:8" x14ac:dyDescent="0.3">
      <c r="A302">
        <v>30</v>
      </c>
      <c r="B302" s="5">
        <v>43922</v>
      </c>
      <c r="C302" t="s">
        <v>10</v>
      </c>
      <c r="D302">
        <v>392</v>
      </c>
      <c r="E302">
        <v>-39</v>
      </c>
      <c r="F302" s="5">
        <v>43922</v>
      </c>
      <c r="G302">
        <v>392</v>
      </c>
      <c r="H302" t="s">
        <v>58</v>
      </c>
    </row>
    <row r="303" spans="1:8" x14ac:dyDescent="0.3">
      <c r="A303">
        <v>30</v>
      </c>
      <c r="B303" s="5">
        <v>43945</v>
      </c>
      <c r="C303" t="s">
        <v>10</v>
      </c>
      <c r="D303">
        <v>547</v>
      </c>
      <c r="E303">
        <v>508</v>
      </c>
      <c r="F303" s="5">
        <v>43922</v>
      </c>
      <c r="G303">
        <v>547</v>
      </c>
      <c r="H303" t="s">
        <v>57</v>
      </c>
    </row>
    <row r="304" spans="1:8" x14ac:dyDescent="0.3">
      <c r="A304">
        <v>31</v>
      </c>
      <c r="B304" s="5">
        <v>43836</v>
      </c>
      <c r="C304" t="s">
        <v>10</v>
      </c>
      <c r="D304">
        <v>83</v>
      </c>
      <c r="E304">
        <v>83</v>
      </c>
      <c r="F304" s="5">
        <v>43831</v>
      </c>
      <c r="G304">
        <v>83</v>
      </c>
      <c r="H304" t="s">
        <v>57</v>
      </c>
    </row>
    <row r="305" spans="1:8" x14ac:dyDescent="0.3">
      <c r="A305">
        <v>31</v>
      </c>
      <c r="B305" s="5">
        <v>43896</v>
      </c>
      <c r="C305" t="s">
        <v>11</v>
      </c>
      <c r="D305">
        <v>247</v>
      </c>
      <c r="E305">
        <v>-164</v>
      </c>
      <c r="F305" s="5">
        <v>43891</v>
      </c>
      <c r="G305">
        <v>-247</v>
      </c>
      <c r="H305" t="s">
        <v>58</v>
      </c>
    </row>
    <row r="306" spans="1:8" x14ac:dyDescent="0.3">
      <c r="A306">
        <v>31</v>
      </c>
      <c r="B306" s="5">
        <v>43908</v>
      </c>
      <c r="C306" t="s">
        <v>12</v>
      </c>
      <c r="D306">
        <v>929</v>
      </c>
      <c r="E306">
        <v>-1093</v>
      </c>
      <c r="F306" s="5">
        <v>43891</v>
      </c>
      <c r="G306">
        <v>-929</v>
      </c>
      <c r="H306" t="s">
        <v>58</v>
      </c>
    </row>
    <row r="307" spans="1:8" x14ac:dyDescent="0.3">
      <c r="A307">
        <v>31</v>
      </c>
      <c r="B307" s="5">
        <v>43914</v>
      </c>
      <c r="C307" t="s">
        <v>10</v>
      </c>
      <c r="D307">
        <v>952</v>
      </c>
      <c r="E307">
        <v>-141</v>
      </c>
      <c r="F307" s="5">
        <v>43891</v>
      </c>
      <c r="G307">
        <v>952</v>
      </c>
      <c r="H307" t="s">
        <v>58</v>
      </c>
    </row>
    <row r="308" spans="1:8" x14ac:dyDescent="0.3">
      <c r="A308">
        <v>32</v>
      </c>
      <c r="B308" s="5">
        <v>43842</v>
      </c>
      <c r="C308" t="s">
        <v>10</v>
      </c>
      <c r="D308">
        <v>812</v>
      </c>
      <c r="E308">
        <v>812</v>
      </c>
      <c r="F308" s="5">
        <v>43831</v>
      </c>
      <c r="G308">
        <v>812</v>
      </c>
      <c r="H308" t="s">
        <v>57</v>
      </c>
    </row>
    <row r="309" spans="1:8" x14ac:dyDescent="0.3">
      <c r="A309">
        <v>32</v>
      </c>
      <c r="B309" s="5">
        <v>43845</v>
      </c>
      <c r="C309" t="s">
        <v>11</v>
      </c>
      <c r="D309">
        <v>352</v>
      </c>
      <c r="E309">
        <v>460</v>
      </c>
      <c r="F309" s="5">
        <v>43831</v>
      </c>
      <c r="G309">
        <v>-352</v>
      </c>
      <c r="H309" t="s">
        <v>57</v>
      </c>
    </row>
    <row r="310" spans="1:8" x14ac:dyDescent="0.3">
      <c r="A310">
        <v>32</v>
      </c>
      <c r="B310" s="5">
        <v>43849</v>
      </c>
      <c r="C310" t="s">
        <v>11</v>
      </c>
      <c r="D310">
        <v>527</v>
      </c>
      <c r="E310">
        <v>-67</v>
      </c>
      <c r="F310" s="5">
        <v>43831</v>
      </c>
      <c r="G310">
        <v>-527</v>
      </c>
      <c r="H310" t="s">
        <v>58</v>
      </c>
    </row>
    <row r="311" spans="1:8" x14ac:dyDescent="0.3">
      <c r="A311">
        <v>32</v>
      </c>
      <c r="B311" s="5">
        <v>43858</v>
      </c>
      <c r="C311" t="s">
        <v>10</v>
      </c>
      <c r="D311">
        <v>0</v>
      </c>
      <c r="E311">
        <v>-67</v>
      </c>
      <c r="F311" s="5">
        <v>43831</v>
      </c>
      <c r="G311">
        <v>0</v>
      </c>
      <c r="H311" t="s">
        <v>58</v>
      </c>
    </row>
    <row r="312" spans="1:8" x14ac:dyDescent="0.3">
      <c r="A312">
        <v>32</v>
      </c>
      <c r="B312" s="5">
        <v>43858</v>
      </c>
      <c r="C312" t="s">
        <v>10</v>
      </c>
      <c r="D312">
        <v>97</v>
      </c>
      <c r="E312">
        <v>30</v>
      </c>
      <c r="F312" s="5">
        <v>43831</v>
      </c>
      <c r="G312">
        <v>97</v>
      </c>
      <c r="H312" t="s">
        <v>57</v>
      </c>
    </row>
    <row r="313" spans="1:8" x14ac:dyDescent="0.3">
      <c r="A313">
        <v>32</v>
      </c>
      <c r="B313" s="5">
        <v>43859</v>
      </c>
      <c r="C313" t="s">
        <v>12</v>
      </c>
      <c r="D313">
        <v>119</v>
      </c>
      <c r="E313">
        <v>-89</v>
      </c>
      <c r="F313" s="5">
        <v>43831</v>
      </c>
      <c r="G313">
        <v>-119</v>
      </c>
      <c r="H313" t="s">
        <v>58</v>
      </c>
    </row>
    <row r="314" spans="1:8" x14ac:dyDescent="0.3">
      <c r="A314">
        <v>32</v>
      </c>
      <c r="B314" s="5">
        <v>43870</v>
      </c>
      <c r="C314" t="s">
        <v>10</v>
      </c>
      <c r="D314">
        <v>957</v>
      </c>
      <c r="E314">
        <v>868</v>
      </c>
      <c r="F314" s="5">
        <v>43862</v>
      </c>
      <c r="G314">
        <v>957</v>
      </c>
      <c r="H314" t="s">
        <v>57</v>
      </c>
    </row>
    <row r="315" spans="1:8" x14ac:dyDescent="0.3">
      <c r="A315">
        <v>32</v>
      </c>
      <c r="B315" s="5">
        <v>43873</v>
      </c>
      <c r="C315" t="s">
        <v>10</v>
      </c>
      <c r="D315">
        <v>215</v>
      </c>
      <c r="E315">
        <v>1083</v>
      </c>
      <c r="F315" s="5">
        <v>43862</v>
      </c>
      <c r="G315">
        <v>215</v>
      </c>
      <c r="H315" t="s">
        <v>57</v>
      </c>
    </row>
    <row r="316" spans="1:8" x14ac:dyDescent="0.3">
      <c r="A316">
        <v>32</v>
      </c>
      <c r="B316" s="5">
        <v>43885</v>
      </c>
      <c r="C316" t="s">
        <v>12</v>
      </c>
      <c r="D316">
        <v>707</v>
      </c>
      <c r="E316">
        <v>376</v>
      </c>
      <c r="F316" s="5">
        <v>43862</v>
      </c>
      <c r="G316">
        <v>-707</v>
      </c>
      <c r="H316" t="s">
        <v>57</v>
      </c>
    </row>
    <row r="317" spans="1:8" x14ac:dyDescent="0.3">
      <c r="A317">
        <v>32</v>
      </c>
      <c r="B317" s="5">
        <v>43900</v>
      </c>
      <c r="C317" t="s">
        <v>11</v>
      </c>
      <c r="D317">
        <v>483</v>
      </c>
      <c r="E317">
        <v>-107</v>
      </c>
      <c r="F317" s="5">
        <v>43891</v>
      </c>
      <c r="G317">
        <v>-483</v>
      </c>
      <c r="H317" t="s">
        <v>58</v>
      </c>
    </row>
    <row r="318" spans="1:8" x14ac:dyDescent="0.3">
      <c r="A318">
        <v>32</v>
      </c>
      <c r="B318" s="5">
        <v>43905</v>
      </c>
      <c r="C318" t="s">
        <v>12</v>
      </c>
      <c r="D318">
        <v>517</v>
      </c>
      <c r="E318">
        <v>-624</v>
      </c>
      <c r="F318" s="5">
        <v>43891</v>
      </c>
      <c r="G318">
        <v>-517</v>
      </c>
      <c r="H318" t="s">
        <v>58</v>
      </c>
    </row>
    <row r="319" spans="1:8" x14ac:dyDescent="0.3">
      <c r="A319">
        <v>32</v>
      </c>
      <c r="B319" s="5">
        <v>43906</v>
      </c>
      <c r="C319" t="s">
        <v>11</v>
      </c>
      <c r="D319">
        <v>219</v>
      </c>
      <c r="E319">
        <v>-843</v>
      </c>
      <c r="F319" s="5">
        <v>43891</v>
      </c>
      <c r="G319">
        <v>-219</v>
      </c>
      <c r="H319" t="s">
        <v>58</v>
      </c>
    </row>
    <row r="320" spans="1:8" x14ac:dyDescent="0.3">
      <c r="A320">
        <v>32</v>
      </c>
      <c r="B320" s="5">
        <v>43928</v>
      </c>
      <c r="C320" t="s">
        <v>11</v>
      </c>
      <c r="D320">
        <v>158</v>
      </c>
      <c r="E320">
        <v>-1001</v>
      </c>
      <c r="F320" s="5">
        <v>43922</v>
      </c>
      <c r="G320">
        <v>-158</v>
      </c>
      <c r="H320" t="s">
        <v>58</v>
      </c>
    </row>
    <row r="321" spans="1:8" x14ac:dyDescent="0.3">
      <c r="A321">
        <v>33</v>
      </c>
      <c r="B321" s="5">
        <v>43854</v>
      </c>
      <c r="C321" t="s">
        <v>10</v>
      </c>
      <c r="D321">
        <v>473</v>
      </c>
      <c r="E321">
        <v>473</v>
      </c>
      <c r="F321" s="5">
        <v>43831</v>
      </c>
      <c r="G321">
        <v>473</v>
      </c>
      <c r="H321" t="s">
        <v>57</v>
      </c>
    </row>
    <row r="322" spans="1:8" x14ac:dyDescent="0.3">
      <c r="A322">
        <v>33</v>
      </c>
      <c r="B322" s="5">
        <v>43866</v>
      </c>
      <c r="C322" t="s">
        <v>12</v>
      </c>
      <c r="D322">
        <v>321</v>
      </c>
      <c r="E322">
        <v>152</v>
      </c>
      <c r="F322" s="5">
        <v>43862</v>
      </c>
      <c r="G322">
        <v>-321</v>
      </c>
      <c r="H322" t="s">
        <v>57</v>
      </c>
    </row>
    <row r="323" spans="1:8" x14ac:dyDescent="0.3">
      <c r="A323">
        <v>33</v>
      </c>
      <c r="B323" s="5">
        <v>43869</v>
      </c>
      <c r="C323" t="s">
        <v>10</v>
      </c>
      <c r="D323">
        <v>176</v>
      </c>
      <c r="E323">
        <v>328</v>
      </c>
      <c r="F323" s="5">
        <v>43862</v>
      </c>
      <c r="G323">
        <v>176</v>
      </c>
      <c r="H323" t="s">
        <v>57</v>
      </c>
    </row>
    <row r="324" spans="1:8" x14ac:dyDescent="0.3">
      <c r="A324">
        <v>33</v>
      </c>
      <c r="B324" s="5">
        <v>43875</v>
      </c>
      <c r="C324" t="s">
        <v>11</v>
      </c>
      <c r="D324">
        <v>778</v>
      </c>
      <c r="E324">
        <v>-450</v>
      </c>
      <c r="F324" s="5">
        <v>43862</v>
      </c>
      <c r="G324">
        <v>-778</v>
      </c>
      <c r="H324" t="s">
        <v>58</v>
      </c>
    </row>
    <row r="325" spans="1:8" x14ac:dyDescent="0.3">
      <c r="A325">
        <v>33</v>
      </c>
      <c r="B325" s="5">
        <v>43887</v>
      </c>
      <c r="C325" t="s">
        <v>10</v>
      </c>
      <c r="D325">
        <v>334</v>
      </c>
      <c r="E325">
        <v>-116</v>
      </c>
      <c r="F325" s="5">
        <v>43862</v>
      </c>
      <c r="G325">
        <v>334</v>
      </c>
      <c r="H325" t="s">
        <v>58</v>
      </c>
    </row>
    <row r="326" spans="1:8" x14ac:dyDescent="0.3">
      <c r="A326">
        <v>33</v>
      </c>
      <c r="B326" s="5">
        <v>43891</v>
      </c>
      <c r="C326" t="s">
        <v>11</v>
      </c>
      <c r="D326">
        <v>581</v>
      </c>
      <c r="E326">
        <v>-697</v>
      </c>
      <c r="F326" s="5">
        <v>43891</v>
      </c>
      <c r="G326">
        <v>-581</v>
      </c>
      <c r="H326" t="s">
        <v>58</v>
      </c>
    </row>
    <row r="327" spans="1:8" x14ac:dyDescent="0.3">
      <c r="A327">
        <v>33</v>
      </c>
      <c r="B327" s="5">
        <v>43891</v>
      </c>
      <c r="C327" t="s">
        <v>10</v>
      </c>
      <c r="D327">
        <v>18</v>
      </c>
      <c r="E327">
        <v>-679</v>
      </c>
      <c r="F327" s="5">
        <v>43891</v>
      </c>
      <c r="G327">
        <v>18</v>
      </c>
      <c r="H327" t="s">
        <v>58</v>
      </c>
    </row>
    <row r="328" spans="1:8" x14ac:dyDescent="0.3">
      <c r="A328">
        <v>33</v>
      </c>
      <c r="B328" s="5">
        <v>43893</v>
      </c>
      <c r="C328" t="s">
        <v>10</v>
      </c>
      <c r="D328">
        <v>260</v>
      </c>
      <c r="E328">
        <v>-419</v>
      </c>
      <c r="F328" s="5">
        <v>43891</v>
      </c>
      <c r="G328">
        <v>260</v>
      </c>
      <c r="H328" t="s">
        <v>58</v>
      </c>
    </row>
    <row r="329" spans="1:8" x14ac:dyDescent="0.3">
      <c r="A329">
        <v>33</v>
      </c>
      <c r="B329" s="5">
        <v>43898</v>
      </c>
      <c r="C329" t="s">
        <v>12</v>
      </c>
      <c r="D329">
        <v>63</v>
      </c>
      <c r="E329">
        <v>-482</v>
      </c>
      <c r="F329" s="5">
        <v>43891</v>
      </c>
      <c r="G329">
        <v>-63</v>
      </c>
      <c r="H329" t="s">
        <v>58</v>
      </c>
    </row>
    <row r="330" spans="1:8" x14ac:dyDescent="0.3">
      <c r="A330">
        <v>33</v>
      </c>
      <c r="B330" s="5">
        <v>43905</v>
      </c>
      <c r="C330" t="s">
        <v>10</v>
      </c>
      <c r="D330">
        <v>454</v>
      </c>
      <c r="E330">
        <v>-28</v>
      </c>
      <c r="F330" s="5">
        <v>43891</v>
      </c>
      <c r="G330">
        <v>454</v>
      </c>
      <c r="H330" t="s">
        <v>58</v>
      </c>
    </row>
    <row r="331" spans="1:8" x14ac:dyDescent="0.3">
      <c r="A331">
        <v>33</v>
      </c>
      <c r="B331" s="5">
        <v>43908</v>
      </c>
      <c r="C331" t="s">
        <v>10</v>
      </c>
      <c r="D331">
        <v>732</v>
      </c>
      <c r="E331">
        <v>704</v>
      </c>
      <c r="F331" s="5">
        <v>43891</v>
      </c>
      <c r="G331">
        <v>732</v>
      </c>
      <c r="H331" t="s">
        <v>57</v>
      </c>
    </row>
    <row r="332" spans="1:8" x14ac:dyDescent="0.3">
      <c r="A332">
        <v>33</v>
      </c>
      <c r="B332" s="5">
        <v>43916</v>
      </c>
      <c r="C332" t="s">
        <v>11</v>
      </c>
      <c r="D332">
        <v>351</v>
      </c>
      <c r="E332">
        <v>353</v>
      </c>
      <c r="F332" s="5">
        <v>43891</v>
      </c>
      <c r="G332">
        <v>-351</v>
      </c>
      <c r="H332" t="s">
        <v>57</v>
      </c>
    </row>
    <row r="333" spans="1:8" x14ac:dyDescent="0.3">
      <c r="A333">
        <v>33</v>
      </c>
      <c r="B333" s="5">
        <v>43919</v>
      </c>
      <c r="C333" t="s">
        <v>10</v>
      </c>
      <c r="D333">
        <v>872</v>
      </c>
      <c r="E333">
        <v>1225</v>
      </c>
      <c r="F333" s="5">
        <v>43891</v>
      </c>
      <c r="G333">
        <v>872</v>
      </c>
      <c r="H333" t="s">
        <v>57</v>
      </c>
    </row>
    <row r="334" spans="1:8" x14ac:dyDescent="0.3">
      <c r="A334">
        <v>33</v>
      </c>
      <c r="B334" s="5">
        <v>43922</v>
      </c>
      <c r="C334" t="s">
        <v>11</v>
      </c>
      <c r="D334">
        <v>375</v>
      </c>
      <c r="E334">
        <v>850</v>
      </c>
      <c r="F334" s="5">
        <v>43922</v>
      </c>
      <c r="G334">
        <v>-375</v>
      </c>
      <c r="H334" t="s">
        <v>57</v>
      </c>
    </row>
    <row r="335" spans="1:8" x14ac:dyDescent="0.3">
      <c r="A335">
        <v>33</v>
      </c>
      <c r="B335" s="5">
        <v>43929</v>
      </c>
      <c r="C335" t="s">
        <v>11</v>
      </c>
      <c r="D335">
        <v>559</v>
      </c>
      <c r="E335">
        <v>291</v>
      </c>
      <c r="F335" s="5">
        <v>43922</v>
      </c>
      <c r="G335">
        <v>-559</v>
      </c>
      <c r="H335" t="s">
        <v>57</v>
      </c>
    </row>
    <row r="336" spans="1:8" x14ac:dyDescent="0.3">
      <c r="A336">
        <v>33</v>
      </c>
      <c r="B336" s="5">
        <v>43930</v>
      </c>
      <c r="C336" t="s">
        <v>10</v>
      </c>
      <c r="D336">
        <v>602</v>
      </c>
      <c r="E336">
        <v>893</v>
      </c>
      <c r="F336" s="5">
        <v>43922</v>
      </c>
      <c r="G336">
        <v>602</v>
      </c>
      <c r="H336" t="s">
        <v>57</v>
      </c>
    </row>
    <row r="337" spans="1:8" x14ac:dyDescent="0.3">
      <c r="A337">
        <v>33</v>
      </c>
      <c r="B337" s="5">
        <v>43939</v>
      </c>
      <c r="C337" t="s">
        <v>10</v>
      </c>
      <c r="D337">
        <v>184</v>
      </c>
      <c r="E337">
        <v>1077</v>
      </c>
      <c r="F337" s="5">
        <v>43922</v>
      </c>
      <c r="G337">
        <v>184</v>
      </c>
      <c r="H337" t="s">
        <v>57</v>
      </c>
    </row>
    <row r="338" spans="1:8" x14ac:dyDescent="0.3">
      <c r="A338">
        <v>33</v>
      </c>
      <c r="B338" s="5">
        <v>43943</v>
      </c>
      <c r="C338" t="s">
        <v>12</v>
      </c>
      <c r="D338">
        <v>88</v>
      </c>
      <c r="E338">
        <v>989</v>
      </c>
      <c r="F338" s="5">
        <v>43922</v>
      </c>
      <c r="G338">
        <v>-88</v>
      </c>
      <c r="H338" t="s">
        <v>57</v>
      </c>
    </row>
    <row r="339" spans="1:8" x14ac:dyDescent="0.3">
      <c r="A339">
        <v>34</v>
      </c>
      <c r="B339" s="5">
        <v>43860</v>
      </c>
      <c r="C339" t="s">
        <v>10</v>
      </c>
      <c r="D339">
        <v>976</v>
      </c>
      <c r="E339">
        <v>976</v>
      </c>
      <c r="F339" s="5">
        <v>43831</v>
      </c>
      <c r="G339">
        <v>976</v>
      </c>
      <c r="H339" t="s">
        <v>57</v>
      </c>
    </row>
    <row r="340" spans="1:8" x14ac:dyDescent="0.3">
      <c r="A340">
        <v>34</v>
      </c>
      <c r="B340" s="5">
        <v>43862</v>
      </c>
      <c r="C340" t="s">
        <v>11</v>
      </c>
      <c r="D340">
        <v>396</v>
      </c>
      <c r="E340">
        <v>580</v>
      </c>
      <c r="F340" s="5">
        <v>43862</v>
      </c>
      <c r="G340">
        <v>-396</v>
      </c>
      <c r="H340" t="s">
        <v>57</v>
      </c>
    </row>
    <row r="341" spans="1:8" x14ac:dyDescent="0.3">
      <c r="A341">
        <v>34</v>
      </c>
      <c r="B341" s="5">
        <v>43874</v>
      </c>
      <c r="C341" t="s">
        <v>12</v>
      </c>
      <c r="D341">
        <v>510</v>
      </c>
      <c r="E341">
        <v>70</v>
      </c>
      <c r="F341" s="5">
        <v>43862</v>
      </c>
      <c r="G341">
        <v>-510</v>
      </c>
      <c r="H341" t="s">
        <v>57</v>
      </c>
    </row>
    <row r="342" spans="1:8" x14ac:dyDescent="0.3">
      <c r="A342">
        <v>34</v>
      </c>
      <c r="B342" s="5">
        <v>43887</v>
      </c>
      <c r="C342" t="s">
        <v>12</v>
      </c>
      <c r="D342">
        <v>417</v>
      </c>
      <c r="E342">
        <v>-347</v>
      </c>
      <c r="F342" s="5">
        <v>43862</v>
      </c>
      <c r="G342">
        <v>-417</v>
      </c>
      <c r="H342" t="s">
        <v>58</v>
      </c>
    </row>
    <row r="343" spans="1:8" x14ac:dyDescent="0.3">
      <c r="A343">
        <v>34</v>
      </c>
      <c r="B343" s="5">
        <v>43895</v>
      </c>
      <c r="C343" t="s">
        <v>11</v>
      </c>
      <c r="D343">
        <v>165</v>
      </c>
      <c r="E343">
        <v>-512</v>
      </c>
      <c r="F343" s="5">
        <v>43891</v>
      </c>
      <c r="G343">
        <v>-165</v>
      </c>
      <c r="H343" t="s">
        <v>58</v>
      </c>
    </row>
    <row r="344" spans="1:8" x14ac:dyDescent="0.3">
      <c r="A344">
        <v>34</v>
      </c>
      <c r="B344" s="5">
        <v>43896</v>
      </c>
      <c r="C344" t="s">
        <v>10</v>
      </c>
      <c r="D344">
        <v>327</v>
      </c>
      <c r="E344">
        <v>-185</v>
      </c>
      <c r="F344" s="5">
        <v>43891</v>
      </c>
      <c r="G344">
        <v>327</v>
      </c>
      <c r="H344" t="s">
        <v>58</v>
      </c>
    </row>
    <row r="345" spans="1:8" x14ac:dyDescent="0.3">
      <c r="A345">
        <v>35</v>
      </c>
      <c r="B345" s="5">
        <v>43847</v>
      </c>
      <c r="C345" t="s">
        <v>10</v>
      </c>
      <c r="D345">
        <v>936</v>
      </c>
      <c r="E345">
        <v>936</v>
      </c>
      <c r="F345" s="5">
        <v>43831</v>
      </c>
      <c r="G345">
        <v>936</v>
      </c>
      <c r="H345" t="s">
        <v>57</v>
      </c>
    </row>
    <row r="346" spans="1:8" x14ac:dyDescent="0.3">
      <c r="A346">
        <v>35</v>
      </c>
      <c r="B346" s="5">
        <v>43849</v>
      </c>
      <c r="C346" t="s">
        <v>11</v>
      </c>
      <c r="D346">
        <v>159</v>
      </c>
      <c r="E346">
        <v>777</v>
      </c>
      <c r="F346" s="5">
        <v>43831</v>
      </c>
      <c r="G346">
        <v>-159</v>
      </c>
      <c r="H346" t="s">
        <v>57</v>
      </c>
    </row>
    <row r="347" spans="1:8" x14ac:dyDescent="0.3">
      <c r="A347">
        <v>35</v>
      </c>
      <c r="B347" s="5">
        <v>43855</v>
      </c>
      <c r="C347" t="s">
        <v>10</v>
      </c>
      <c r="D347">
        <v>472</v>
      </c>
      <c r="E347">
        <v>1249</v>
      </c>
      <c r="F347" s="5">
        <v>43831</v>
      </c>
      <c r="G347">
        <v>472</v>
      </c>
      <c r="H347" t="s">
        <v>57</v>
      </c>
    </row>
    <row r="348" spans="1:8" x14ac:dyDescent="0.3">
      <c r="A348">
        <v>35</v>
      </c>
      <c r="B348" s="5">
        <v>43855</v>
      </c>
      <c r="C348" t="s">
        <v>12</v>
      </c>
      <c r="D348">
        <v>403</v>
      </c>
      <c r="E348">
        <v>846</v>
      </c>
      <c r="F348" s="5">
        <v>43831</v>
      </c>
      <c r="G348">
        <v>-403</v>
      </c>
      <c r="H348" t="s">
        <v>57</v>
      </c>
    </row>
    <row r="349" spans="1:8" x14ac:dyDescent="0.3">
      <c r="A349">
        <v>35</v>
      </c>
      <c r="B349" s="5">
        <v>43856</v>
      </c>
      <c r="C349" t="s">
        <v>11</v>
      </c>
      <c r="D349">
        <v>339</v>
      </c>
      <c r="E349">
        <v>507</v>
      </c>
      <c r="F349" s="5">
        <v>43831</v>
      </c>
      <c r="G349">
        <v>-339</v>
      </c>
      <c r="H349" t="s">
        <v>57</v>
      </c>
    </row>
    <row r="350" spans="1:8" x14ac:dyDescent="0.3">
      <c r="A350">
        <v>35</v>
      </c>
      <c r="B350" s="5">
        <v>43864</v>
      </c>
      <c r="C350" t="s">
        <v>12</v>
      </c>
      <c r="D350">
        <v>733</v>
      </c>
      <c r="E350">
        <v>-226</v>
      </c>
      <c r="F350" s="5">
        <v>43862</v>
      </c>
      <c r="G350">
        <v>-733</v>
      </c>
      <c r="H350" t="s">
        <v>58</v>
      </c>
    </row>
    <row r="351" spans="1:8" x14ac:dyDescent="0.3">
      <c r="A351">
        <v>35</v>
      </c>
      <c r="B351" s="5">
        <v>43867</v>
      </c>
      <c r="C351" t="s">
        <v>11</v>
      </c>
      <c r="D351">
        <v>595</v>
      </c>
      <c r="E351">
        <v>-821</v>
      </c>
      <c r="F351" s="5">
        <v>43862</v>
      </c>
      <c r="G351">
        <v>-595</v>
      </c>
      <c r="H351" t="s">
        <v>58</v>
      </c>
    </row>
    <row r="352" spans="1:8" x14ac:dyDescent="0.3">
      <c r="A352">
        <v>35</v>
      </c>
      <c r="B352" s="5">
        <v>43891</v>
      </c>
      <c r="C352" t="s">
        <v>10</v>
      </c>
      <c r="D352">
        <v>305</v>
      </c>
      <c r="E352">
        <v>-516</v>
      </c>
      <c r="F352" s="5">
        <v>43891</v>
      </c>
      <c r="G352">
        <v>305</v>
      </c>
      <c r="H352" t="s">
        <v>58</v>
      </c>
    </row>
    <row r="353" spans="1:8" x14ac:dyDescent="0.3">
      <c r="A353">
        <v>35</v>
      </c>
      <c r="B353" s="5">
        <v>43891</v>
      </c>
      <c r="C353" t="s">
        <v>11</v>
      </c>
      <c r="D353">
        <v>778</v>
      </c>
      <c r="E353">
        <v>-1294</v>
      </c>
      <c r="F353" s="5">
        <v>43891</v>
      </c>
      <c r="G353">
        <v>-778</v>
      </c>
      <c r="H353" t="s">
        <v>58</v>
      </c>
    </row>
    <row r="354" spans="1:8" x14ac:dyDescent="0.3">
      <c r="A354">
        <v>35</v>
      </c>
      <c r="B354" s="5">
        <v>43903</v>
      </c>
      <c r="C354" t="s">
        <v>11</v>
      </c>
      <c r="D354">
        <v>706</v>
      </c>
      <c r="E354">
        <v>-2000</v>
      </c>
      <c r="F354" s="5">
        <v>43891</v>
      </c>
      <c r="G354">
        <v>-706</v>
      </c>
      <c r="H354" t="s">
        <v>58</v>
      </c>
    </row>
    <row r="355" spans="1:8" x14ac:dyDescent="0.3">
      <c r="A355">
        <v>35</v>
      </c>
      <c r="B355" s="5">
        <v>43908</v>
      </c>
      <c r="C355" t="s">
        <v>10</v>
      </c>
      <c r="D355">
        <v>664</v>
      </c>
      <c r="E355">
        <v>-1336</v>
      </c>
      <c r="F355" s="5">
        <v>43891</v>
      </c>
      <c r="G355">
        <v>664</v>
      </c>
      <c r="H355" t="s">
        <v>58</v>
      </c>
    </row>
    <row r="356" spans="1:8" x14ac:dyDescent="0.3">
      <c r="A356">
        <v>35</v>
      </c>
      <c r="B356" s="5">
        <v>43910</v>
      </c>
      <c r="C356" t="s">
        <v>10</v>
      </c>
      <c r="D356">
        <v>500</v>
      </c>
      <c r="E356">
        <v>-836</v>
      </c>
      <c r="F356" s="5">
        <v>43891</v>
      </c>
      <c r="G356">
        <v>500</v>
      </c>
      <c r="H356" t="s">
        <v>58</v>
      </c>
    </row>
    <row r="357" spans="1:8" x14ac:dyDescent="0.3">
      <c r="A357">
        <v>35</v>
      </c>
      <c r="B357" s="5">
        <v>43920</v>
      </c>
      <c r="C357" t="s">
        <v>11</v>
      </c>
      <c r="D357">
        <v>327</v>
      </c>
      <c r="E357">
        <v>-1163</v>
      </c>
      <c r="F357" s="5">
        <v>43891</v>
      </c>
      <c r="G357">
        <v>-327</v>
      </c>
      <c r="H357" t="s">
        <v>58</v>
      </c>
    </row>
    <row r="358" spans="1:8" x14ac:dyDescent="0.3">
      <c r="A358">
        <v>36</v>
      </c>
      <c r="B358" s="5">
        <v>43860</v>
      </c>
      <c r="C358" t="s">
        <v>10</v>
      </c>
      <c r="D358">
        <v>149</v>
      </c>
      <c r="E358">
        <v>149</v>
      </c>
      <c r="F358" s="5">
        <v>43831</v>
      </c>
      <c r="G358">
        <v>149</v>
      </c>
      <c r="H358" t="s">
        <v>57</v>
      </c>
    </row>
    <row r="359" spans="1:8" x14ac:dyDescent="0.3">
      <c r="A359">
        <v>36</v>
      </c>
      <c r="B359" s="5">
        <v>43870</v>
      </c>
      <c r="C359" t="s">
        <v>10</v>
      </c>
      <c r="D359">
        <v>990</v>
      </c>
      <c r="E359">
        <v>1139</v>
      </c>
      <c r="F359" s="5">
        <v>43862</v>
      </c>
      <c r="G359">
        <v>990</v>
      </c>
      <c r="H359" t="s">
        <v>57</v>
      </c>
    </row>
    <row r="360" spans="1:8" x14ac:dyDescent="0.3">
      <c r="A360">
        <v>36</v>
      </c>
      <c r="B360" s="5">
        <v>43873</v>
      </c>
      <c r="C360" t="s">
        <v>12</v>
      </c>
      <c r="D360">
        <v>849</v>
      </c>
      <c r="E360">
        <v>290</v>
      </c>
      <c r="F360" s="5">
        <v>43862</v>
      </c>
      <c r="G360">
        <v>-849</v>
      </c>
      <c r="H360" t="s">
        <v>57</v>
      </c>
    </row>
    <row r="361" spans="1:8" x14ac:dyDescent="0.3">
      <c r="A361">
        <v>36</v>
      </c>
      <c r="B361" s="5">
        <v>43906</v>
      </c>
      <c r="C361" t="s">
        <v>11</v>
      </c>
      <c r="D361">
        <v>280</v>
      </c>
      <c r="E361">
        <v>10</v>
      </c>
      <c r="F361" s="5">
        <v>43891</v>
      </c>
      <c r="G361">
        <v>-280</v>
      </c>
      <c r="H361" t="s">
        <v>57</v>
      </c>
    </row>
    <row r="362" spans="1:8" x14ac:dyDescent="0.3">
      <c r="A362">
        <v>36</v>
      </c>
      <c r="B362" s="5">
        <v>43906</v>
      </c>
      <c r="C362" t="s">
        <v>10</v>
      </c>
      <c r="D362">
        <v>86</v>
      </c>
      <c r="E362">
        <v>96</v>
      </c>
      <c r="F362" s="5">
        <v>43891</v>
      </c>
      <c r="G362">
        <v>86</v>
      </c>
      <c r="H362" t="s">
        <v>57</v>
      </c>
    </row>
    <row r="363" spans="1:8" x14ac:dyDescent="0.3">
      <c r="A363">
        <v>36</v>
      </c>
      <c r="B363" s="5">
        <v>43909</v>
      </c>
      <c r="C363" t="s">
        <v>10</v>
      </c>
      <c r="D363">
        <v>421</v>
      </c>
      <c r="E363">
        <v>517</v>
      </c>
      <c r="F363" s="5">
        <v>43891</v>
      </c>
      <c r="G363">
        <v>421</v>
      </c>
      <c r="H363" t="s">
        <v>57</v>
      </c>
    </row>
    <row r="364" spans="1:8" x14ac:dyDescent="0.3">
      <c r="A364">
        <v>36</v>
      </c>
      <c r="B364" s="5">
        <v>43918</v>
      </c>
      <c r="C364" t="s">
        <v>10</v>
      </c>
      <c r="D364">
        <v>524</v>
      </c>
      <c r="E364">
        <v>1041</v>
      </c>
      <c r="F364" s="5">
        <v>43891</v>
      </c>
      <c r="G364">
        <v>524</v>
      </c>
      <c r="H364" t="s">
        <v>57</v>
      </c>
    </row>
    <row r="365" spans="1:8" x14ac:dyDescent="0.3">
      <c r="A365">
        <v>36</v>
      </c>
      <c r="B365" s="5">
        <v>43943</v>
      </c>
      <c r="C365" t="s">
        <v>10</v>
      </c>
      <c r="D365">
        <v>560</v>
      </c>
      <c r="E365">
        <v>1601</v>
      </c>
      <c r="F365" s="5">
        <v>43922</v>
      </c>
      <c r="G365">
        <v>560</v>
      </c>
      <c r="H365" t="s">
        <v>57</v>
      </c>
    </row>
    <row r="366" spans="1:8" x14ac:dyDescent="0.3">
      <c r="A366">
        <v>36</v>
      </c>
      <c r="B366" s="5">
        <v>43949</v>
      </c>
      <c r="C366" t="s">
        <v>11</v>
      </c>
      <c r="D366">
        <v>610</v>
      </c>
      <c r="E366">
        <v>991</v>
      </c>
      <c r="F366" s="5">
        <v>43922</v>
      </c>
      <c r="G366">
        <v>-610</v>
      </c>
      <c r="H366" t="s">
        <v>57</v>
      </c>
    </row>
    <row r="367" spans="1:8" x14ac:dyDescent="0.3">
      <c r="A367">
        <v>36</v>
      </c>
      <c r="B367" s="5">
        <v>43949</v>
      </c>
      <c r="C367" t="s">
        <v>11</v>
      </c>
      <c r="D367">
        <v>564</v>
      </c>
      <c r="E367">
        <v>427</v>
      </c>
      <c r="F367" s="5">
        <v>43922</v>
      </c>
      <c r="G367">
        <v>-564</v>
      </c>
      <c r="H367" t="s">
        <v>57</v>
      </c>
    </row>
    <row r="368" spans="1:8" x14ac:dyDescent="0.3">
      <c r="A368">
        <v>37</v>
      </c>
      <c r="B368" s="5">
        <v>43859</v>
      </c>
      <c r="C368" t="s">
        <v>10</v>
      </c>
      <c r="D368">
        <v>946</v>
      </c>
      <c r="E368">
        <v>946</v>
      </c>
      <c r="F368" s="5">
        <v>43831</v>
      </c>
      <c r="G368">
        <v>946</v>
      </c>
      <c r="H368" t="s">
        <v>57</v>
      </c>
    </row>
    <row r="369" spans="1:8" x14ac:dyDescent="0.3">
      <c r="A369">
        <v>37</v>
      </c>
      <c r="B369" s="5">
        <v>43860</v>
      </c>
      <c r="C369" t="s">
        <v>11</v>
      </c>
      <c r="D369">
        <v>861</v>
      </c>
      <c r="E369">
        <v>85</v>
      </c>
      <c r="F369" s="5">
        <v>43831</v>
      </c>
      <c r="G369">
        <v>-861</v>
      </c>
      <c r="H369" t="s">
        <v>57</v>
      </c>
    </row>
    <row r="370" spans="1:8" x14ac:dyDescent="0.3">
      <c r="A370">
        <v>37</v>
      </c>
      <c r="B370" s="5">
        <v>43864</v>
      </c>
      <c r="C370" t="s">
        <v>11</v>
      </c>
      <c r="D370">
        <v>331</v>
      </c>
      <c r="E370">
        <v>-246</v>
      </c>
      <c r="F370" s="5">
        <v>43862</v>
      </c>
      <c r="G370">
        <v>-331</v>
      </c>
      <c r="H370" t="s">
        <v>58</v>
      </c>
    </row>
    <row r="371" spans="1:8" x14ac:dyDescent="0.3">
      <c r="A371">
        <v>37</v>
      </c>
      <c r="B371" s="5">
        <v>43867</v>
      </c>
      <c r="C371" t="s">
        <v>10</v>
      </c>
      <c r="D371">
        <v>544</v>
      </c>
      <c r="E371">
        <v>298</v>
      </c>
      <c r="F371" s="5">
        <v>43862</v>
      </c>
      <c r="G371">
        <v>544</v>
      </c>
      <c r="H371" t="s">
        <v>57</v>
      </c>
    </row>
    <row r="372" spans="1:8" x14ac:dyDescent="0.3">
      <c r="A372">
        <v>37</v>
      </c>
      <c r="B372" s="5">
        <v>43869</v>
      </c>
      <c r="C372" t="s">
        <v>11</v>
      </c>
      <c r="D372">
        <v>922</v>
      </c>
      <c r="E372">
        <v>-624</v>
      </c>
      <c r="F372" s="5">
        <v>43862</v>
      </c>
      <c r="G372">
        <v>-922</v>
      </c>
      <c r="H372" t="s">
        <v>58</v>
      </c>
    </row>
    <row r="373" spans="1:8" x14ac:dyDescent="0.3">
      <c r="A373">
        <v>37</v>
      </c>
      <c r="B373" s="5">
        <v>43872</v>
      </c>
      <c r="C373" t="s">
        <v>10</v>
      </c>
      <c r="D373">
        <v>630</v>
      </c>
      <c r="E373">
        <v>6</v>
      </c>
      <c r="F373" s="5">
        <v>43862</v>
      </c>
      <c r="G373">
        <v>630</v>
      </c>
      <c r="H373" t="s">
        <v>57</v>
      </c>
    </row>
    <row r="374" spans="1:8" x14ac:dyDescent="0.3">
      <c r="A374">
        <v>37</v>
      </c>
      <c r="B374" s="5">
        <v>43876</v>
      </c>
      <c r="C374" t="s">
        <v>10</v>
      </c>
      <c r="D374">
        <v>356</v>
      </c>
      <c r="E374">
        <v>362</v>
      </c>
      <c r="F374" s="5">
        <v>43862</v>
      </c>
      <c r="G374">
        <v>356</v>
      </c>
      <c r="H374" t="s">
        <v>57</v>
      </c>
    </row>
    <row r="375" spans="1:8" x14ac:dyDescent="0.3">
      <c r="A375">
        <v>37</v>
      </c>
      <c r="B375" s="5">
        <v>43878</v>
      </c>
      <c r="C375" t="s">
        <v>10</v>
      </c>
      <c r="D375">
        <v>666</v>
      </c>
      <c r="E375">
        <v>1028</v>
      </c>
      <c r="F375" s="5">
        <v>43862</v>
      </c>
      <c r="G375">
        <v>666</v>
      </c>
      <c r="H375" t="s">
        <v>57</v>
      </c>
    </row>
    <row r="376" spans="1:8" x14ac:dyDescent="0.3">
      <c r="A376">
        <v>37</v>
      </c>
      <c r="B376" s="5">
        <v>43881</v>
      </c>
      <c r="C376" t="s">
        <v>10</v>
      </c>
      <c r="D376">
        <v>711</v>
      </c>
      <c r="E376">
        <v>1739</v>
      </c>
      <c r="F376" s="5">
        <v>43862</v>
      </c>
      <c r="G376">
        <v>711</v>
      </c>
      <c r="H376" t="s">
        <v>57</v>
      </c>
    </row>
    <row r="377" spans="1:8" x14ac:dyDescent="0.3">
      <c r="A377">
        <v>37</v>
      </c>
      <c r="B377" s="5">
        <v>43889</v>
      </c>
      <c r="C377" t="s">
        <v>11</v>
      </c>
      <c r="D377">
        <v>837</v>
      </c>
      <c r="E377">
        <v>902</v>
      </c>
      <c r="F377" s="5">
        <v>43862</v>
      </c>
      <c r="G377">
        <v>-837</v>
      </c>
      <c r="H377" t="s">
        <v>57</v>
      </c>
    </row>
    <row r="378" spans="1:8" x14ac:dyDescent="0.3">
      <c r="A378">
        <v>37</v>
      </c>
      <c r="B378" s="5">
        <v>43891</v>
      </c>
      <c r="C378" t="s">
        <v>12</v>
      </c>
      <c r="D378">
        <v>54</v>
      </c>
      <c r="E378">
        <v>848</v>
      </c>
      <c r="F378" s="5">
        <v>43891</v>
      </c>
      <c r="G378">
        <v>-54</v>
      </c>
      <c r="H378" t="s">
        <v>57</v>
      </c>
    </row>
    <row r="379" spans="1:8" x14ac:dyDescent="0.3">
      <c r="A379">
        <v>37</v>
      </c>
      <c r="B379" s="5">
        <v>43902</v>
      </c>
      <c r="C379" t="s">
        <v>12</v>
      </c>
      <c r="D379">
        <v>360</v>
      </c>
      <c r="E379">
        <v>488</v>
      </c>
      <c r="F379" s="5">
        <v>43891</v>
      </c>
      <c r="G379">
        <v>-360</v>
      </c>
      <c r="H379" t="s">
        <v>57</v>
      </c>
    </row>
    <row r="380" spans="1:8" x14ac:dyDescent="0.3">
      <c r="A380">
        <v>37</v>
      </c>
      <c r="B380" s="5">
        <v>43913</v>
      </c>
      <c r="C380" t="s">
        <v>11</v>
      </c>
      <c r="D380">
        <v>351</v>
      </c>
      <c r="E380">
        <v>137</v>
      </c>
      <c r="F380" s="5">
        <v>43891</v>
      </c>
      <c r="G380">
        <v>-351</v>
      </c>
      <c r="H380" t="s">
        <v>57</v>
      </c>
    </row>
    <row r="381" spans="1:8" x14ac:dyDescent="0.3">
      <c r="A381">
        <v>37</v>
      </c>
      <c r="B381" s="5">
        <v>43920</v>
      </c>
      <c r="C381" t="s">
        <v>11</v>
      </c>
      <c r="D381">
        <v>396</v>
      </c>
      <c r="E381">
        <v>-259</v>
      </c>
      <c r="F381" s="5">
        <v>43891</v>
      </c>
      <c r="G381">
        <v>-396</v>
      </c>
      <c r="H381" t="s">
        <v>58</v>
      </c>
    </row>
    <row r="382" spans="1:8" x14ac:dyDescent="0.3">
      <c r="A382">
        <v>37</v>
      </c>
      <c r="B382" s="5">
        <v>43920</v>
      </c>
      <c r="C382" t="s">
        <v>12</v>
      </c>
      <c r="D382">
        <v>810</v>
      </c>
      <c r="E382">
        <v>-1069</v>
      </c>
      <c r="F382" s="5">
        <v>43891</v>
      </c>
      <c r="G382">
        <v>-810</v>
      </c>
      <c r="H382" t="s">
        <v>58</v>
      </c>
    </row>
    <row r="383" spans="1:8" x14ac:dyDescent="0.3">
      <c r="A383">
        <v>37</v>
      </c>
      <c r="B383" s="5">
        <v>43933</v>
      </c>
      <c r="C383" t="s">
        <v>11</v>
      </c>
      <c r="D383">
        <v>80</v>
      </c>
      <c r="E383">
        <v>-1149</v>
      </c>
      <c r="F383" s="5">
        <v>43922</v>
      </c>
      <c r="G383">
        <v>-80</v>
      </c>
      <c r="H383" t="s">
        <v>58</v>
      </c>
    </row>
    <row r="384" spans="1:8" x14ac:dyDescent="0.3">
      <c r="A384">
        <v>37</v>
      </c>
      <c r="B384" s="5">
        <v>43935</v>
      </c>
      <c r="C384" t="s">
        <v>10</v>
      </c>
      <c r="D384">
        <v>371</v>
      </c>
      <c r="E384">
        <v>-778</v>
      </c>
      <c r="F384" s="5">
        <v>43922</v>
      </c>
      <c r="G384">
        <v>371</v>
      </c>
      <c r="H384" t="s">
        <v>58</v>
      </c>
    </row>
    <row r="385" spans="1:8" x14ac:dyDescent="0.3">
      <c r="A385">
        <v>37</v>
      </c>
      <c r="B385" s="5">
        <v>43935</v>
      </c>
      <c r="C385" t="s">
        <v>12</v>
      </c>
      <c r="D385">
        <v>812</v>
      </c>
      <c r="E385">
        <v>-1590</v>
      </c>
      <c r="F385" s="5">
        <v>43922</v>
      </c>
      <c r="G385">
        <v>-812</v>
      </c>
      <c r="H385" t="s">
        <v>58</v>
      </c>
    </row>
    <row r="386" spans="1:8" x14ac:dyDescent="0.3">
      <c r="A386">
        <v>37</v>
      </c>
      <c r="B386" s="5">
        <v>43938</v>
      </c>
      <c r="C386" t="s">
        <v>10</v>
      </c>
      <c r="D386">
        <v>190</v>
      </c>
      <c r="E386">
        <v>-1400</v>
      </c>
      <c r="F386" s="5">
        <v>43922</v>
      </c>
      <c r="G386">
        <v>190</v>
      </c>
      <c r="H386" t="s">
        <v>58</v>
      </c>
    </row>
    <row r="387" spans="1:8" x14ac:dyDescent="0.3">
      <c r="A387">
        <v>37</v>
      </c>
      <c r="B387" s="5">
        <v>43945</v>
      </c>
      <c r="C387" t="s">
        <v>10</v>
      </c>
      <c r="D387">
        <v>371</v>
      </c>
      <c r="E387">
        <v>-1029</v>
      </c>
      <c r="F387" s="5">
        <v>43922</v>
      </c>
      <c r="G387">
        <v>371</v>
      </c>
      <c r="H387" t="s">
        <v>58</v>
      </c>
    </row>
    <row r="388" spans="1:8" x14ac:dyDescent="0.3">
      <c r="A388">
        <v>37</v>
      </c>
      <c r="B388" s="5">
        <v>43946</v>
      </c>
      <c r="C388" t="s">
        <v>10</v>
      </c>
      <c r="D388">
        <v>730</v>
      </c>
      <c r="E388">
        <v>-299</v>
      </c>
      <c r="F388" s="5">
        <v>43922</v>
      </c>
      <c r="G388">
        <v>730</v>
      </c>
      <c r="H388" t="s">
        <v>58</v>
      </c>
    </row>
    <row r="389" spans="1:8" x14ac:dyDescent="0.3">
      <c r="A389">
        <v>37</v>
      </c>
      <c r="B389" s="5">
        <v>43947</v>
      </c>
      <c r="C389" t="s">
        <v>11</v>
      </c>
      <c r="D389">
        <v>660</v>
      </c>
      <c r="E389">
        <v>-959</v>
      </c>
      <c r="F389" s="5">
        <v>43922</v>
      </c>
      <c r="G389">
        <v>-660</v>
      </c>
      <c r="H389" t="s">
        <v>58</v>
      </c>
    </row>
    <row r="390" spans="1:8" x14ac:dyDescent="0.3">
      <c r="A390">
        <v>38</v>
      </c>
      <c r="B390" s="5">
        <v>43851</v>
      </c>
      <c r="C390" t="s">
        <v>11</v>
      </c>
      <c r="D390">
        <v>28</v>
      </c>
      <c r="E390">
        <v>-28</v>
      </c>
      <c r="F390" s="5">
        <v>43831</v>
      </c>
      <c r="G390">
        <v>-28</v>
      </c>
      <c r="H390" t="s">
        <v>58</v>
      </c>
    </row>
    <row r="391" spans="1:8" x14ac:dyDescent="0.3">
      <c r="A391">
        <v>38</v>
      </c>
      <c r="B391" s="5">
        <v>43851</v>
      </c>
      <c r="C391" t="s">
        <v>10</v>
      </c>
      <c r="D391">
        <v>367</v>
      </c>
      <c r="E391">
        <v>339</v>
      </c>
      <c r="F391" s="5">
        <v>43831</v>
      </c>
      <c r="G391">
        <v>367</v>
      </c>
      <c r="H391" t="s">
        <v>57</v>
      </c>
    </row>
    <row r="392" spans="1:8" x14ac:dyDescent="0.3">
      <c r="A392">
        <v>38</v>
      </c>
      <c r="B392" s="5">
        <v>43857</v>
      </c>
      <c r="C392" t="s">
        <v>11</v>
      </c>
      <c r="D392">
        <v>700</v>
      </c>
      <c r="E392">
        <v>-361</v>
      </c>
      <c r="F392" s="5">
        <v>43831</v>
      </c>
      <c r="G392">
        <v>-700</v>
      </c>
      <c r="H392" t="s">
        <v>58</v>
      </c>
    </row>
    <row r="393" spans="1:8" x14ac:dyDescent="0.3">
      <c r="A393">
        <v>38</v>
      </c>
      <c r="B393" s="5">
        <v>43860</v>
      </c>
      <c r="C393" t="s">
        <v>10</v>
      </c>
      <c r="D393">
        <v>728</v>
      </c>
      <c r="E393">
        <v>367</v>
      </c>
      <c r="F393" s="5">
        <v>43831</v>
      </c>
      <c r="G393">
        <v>728</v>
      </c>
      <c r="H393" t="s">
        <v>57</v>
      </c>
    </row>
    <row r="394" spans="1:8" x14ac:dyDescent="0.3">
      <c r="A394">
        <v>38</v>
      </c>
      <c r="B394" s="5">
        <v>43872</v>
      </c>
      <c r="C394" t="s">
        <v>10</v>
      </c>
      <c r="D394">
        <v>475</v>
      </c>
      <c r="E394">
        <v>842</v>
      </c>
      <c r="F394" s="5">
        <v>43862</v>
      </c>
      <c r="G394">
        <v>475</v>
      </c>
      <c r="H394" t="s">
        <v>57</v>
      </c>
    </row>
    <row r="395" spans="1:8" x14ac:dyDescent="0.3">
      <c r="A395">
        <v>38</v>
      </c>
      <c r="B395" s="5">
        <v>43875</v>
      </c>
      <c r="C395" t="s">
        <v>11</v>
      </c>
      <c r="D395">
        <v>894</v>
      </c>
      <c r="E395">
        <v>-52</v>
      </c>
      <c r="F395" s="5">
        <v>43862</v>
      </c>
      <c r="G395">
        <v>-894</v>
      </c>
      <c r="H395" t="s">
        <v>58</v>
      </c>
    </row>
    <row r="396" spans="1:8" x14ac:dyDescent="0.3">
      <c r="A396">
        <v>38</v>
      </c>
      <c r="B396" s="5">
        <v>43875</v>
      </c>
      <c r="C396" t="s">
        <v>10</v>
      </c>
      <c r="D396">
        <v>83</v>
      </c>
      <c r="E396">
        <v>31</v>
      </c>
      <c r="F396" s="5">
        <v>43862</v>
      </c>
      <c r="G396">
        <v>83</v>
      </c>
      <c r="H396" t="s">
        <v>57</v>
      </c>
    </row>
    <row r="397" spans="1:8" x14ac:dyDescent="0.3">
      <c r="A397">
        <v>38</v>
      </c>
      <c r="B397" s="5">
        <v>43882</v>
      </c>
      <c r="C397" t="s">
        <v>11</v>
      </c>
      <c r="D397">
        <v>496</v>
      </c>
      <c r="E397">
        <v>-465</v>
      </c>
      <c r="F397" s="5">
        <v>43862</v>
      </c>
      <c r="G397">
        <v>-496</v>
      </c>
      <c r="H397" t="s">
        <v>58</v>
      </c>
    </row>
    <row r="398" spans="1:8" x14ac:dyDescent="0.3">
      <c r="A398">
        <v>38</v>
      </c>
      <c r="B398" s="5">
        <v>43894</v>
      </c>
      <c r="C398" t="s">
        <v>11</v>
      </c>
      <c r="D398">
        <v>788</v>
      </c>
      <c r="E398">
        <v>-1253</v>
      </c>
      <c r="F398" s="5">
        <v>43891</v>
      </c>
      <c r="G398">
        <v>-788</v>
      </c>
      <c r="H398" t="s">
        <v>58</v>
      </c>
    </row>
    <row r="399" spans="1:8" x14ac:dyDescent="0.3">
      <c r="A399">
        <v>38</v>
      </c>
      <c r="B399" s="5">
        <v>43897</v>
      </c>
      <c r="C399" t="s">
        <v>11</v>
      </c>
      <c r="D399">
        <v>42</v>
      </c>
      <c r="E399">
        <v>-1295</v>
      </c>
      <c r="F399" s="5">
        <v>43891</v>
      </c>
      <c r="G399">
        <v>-42</v>
      </c>
      <c r="H399" t="s">
        <v>58</v>
      </c>
    </row>
    <row r="400" spans="1:8" x14ac:dyDescent="0.3">
      <c r="A400">
        <v>38</v>
      </c>
      <c r="B400" s="5">
        <v>43906</v>
      </c>
      <c r="C400" t="s">
        <v>10</v>
      </c>
      <c r="D400">
        <v>410</v>
      </c>
      <c r="E400">
        <v>-885</v>
      </c>
      <c r="F400" s="5">
        <v>43891</v>
      </c>
      <c r="G400">
        <v>410</v>
      </c>
      <c r="H400" t="s">
        <v>58</v>
      </c>
    </row>
    <row r="401" spans="1:8" x14ac:dyDescent="0.3">
      <c r="A401">
        <v>38</v>
      </c>
      <c r="B401" s="5">
        <v>43908</v>
      </c>
      <c r="C401" t="s">
        <v>10</v>
      </c>
      <c r="D401">
        <v>354</v>
      </c>
      <c r="E401">
        <v>-531</v>
      </c>
      <c r="F401" s="5">
        <v>43891</v>
      </c>
      <c r="G401">
        <v>354</v>
      </c>
      <c r="H401" t="s">
        <v>58</v>
      </c>
    </row>
    <row r="402" spans="1:8" x14ac:dyDescent="0.3">
      <c r="A402">
        <v>38</v>
      </c>
      <c r="B402" s="5">
        <v>43908</v>
      </c>
      <c r="C402" t="s">
        <v>11</v>
      </c>
      <c r="D402">
        <v>128</v>
      </c>
      <c r="E402">
        <v>-659</v>
      </c>
      <c r="F402" s="5">
        <v>43891</v>
      </c>
      <c r="G402">
        <v>-128</v>
      </c>
      <c r="H402" t="s">
        <v>58</v>
      </c>
    </row>
    <row r="403" spans="1:8" x14ac:dyDescent="0.3">
      <c r="A403">
        <v>38</v>
      </c>
      <c r="B403" s="5">
        <v>43912</v>
      </c>
      <c r="C403" t="s">
        <v>10</v>
      </c>
      <c r="D403">
        <v>724</v>
      </c>
      <c r="E403">
        <v>65</v>
      </c>
      <c r="F403" s="5">
        <v>43891</v>
      </c>
      <c r="G403">
        <v>724</v>
      </c>
      <c r="H403" t="s">
        <v>57</v>
      </c>
    </row>
    <row r="404" spans="1:8" x14ac:dyDescent="0.3">
      <c r="A404">
        <v>38</v>
      </c>
      <c r="B404" s="5">
        <v>43915</v>
      </c>
      <c r="C404" t="s">
        <v>11</v>
      </c>
      <c r="D404">
        <v>628</v>
      </c>
      <c r="E404">
        <v>-563</v>
      </c>
      <c r="F404" s="5">
        <v>43891</v>
      </c>
      <c r="G404">
        <v>-628</v>
      </c>
      <c r="H404" t="s">
        <v>58</v>
      </c>
    </row>
    <row r="405" spans="1:8" x14ac:dyDescent="0.3">
      <c r="A405">
        <v>38</v>
      </c>
      <c r="B405" s="5">
        <v>43916</v>
      </c>
      <c r="C405" t="s">
        <v>11</v>
      </c>
      <c r="D405">
        <v>235</v>
      </c>
      <c r="E405">
        <v>-798</v>
      </c>
      <c r="F405" s="5">
        <v>43891</v>
      </c>
      <c r="G405">
        <v>-235</v>
      </c>
      <c r="H405" t="s">
        <v>58</v>
      </c>
    </row>
    <row r="406" spans="1:8" x14ac:dyDescent="0.3">
      <c r="A406">
        <v>38</v>
      </c>
      <c r="B406" s="5">
        <v>43928</v>
      </c>
      <c r="C406" t="s">
        <v>10</v>
      </c>
      <c r="D406">
        <v>759</v>
      </c>
      <c r="E406">
        <v>-39</v>
      </c>
      <c r="F406" s="5">
        <v>43922</v>
      </c>
      <c r="G406">
        <v>759</v>
      </c>
      <c r="H406" t="s">
        <v>58</v>
      </c>
    </row>
    <row r="407" spans="1:8" x14ac:dyDescent="0.3">
      <c r="A407">
        <v>38</v>
      </c>
      <c r="B407" s="5">
        <v>43932</v>
      </c>
      <c r="C407" t="s">
        <v>10</v>
      </c>
      <c r="D407">
        <v>152</v>
      </c>
      <c r="E407">
        <v>113</v>
      </c>
      <c r="F407" s="5">
        <v>43922</v>
      </c>
      <c r="G407">
        <v>152</v>
      </c>
      <c r="H407" t="s">
        <v>57</v>
      </c>
    </row>
    <row r="408" spans="1:8" x14ac:dyDescent="0.3">
      <c r="A408">
        <v>38</v>
      </c>
      <c r="B408" s="5">
        <v>43940</v>
      </c>
      <c r="C408" t="s">
        <v>12</v>
      </c>
      <c r="D408">
        <v>409</v>
      </c>
      <c r="E408">
        <v>-296</v>
      </c>
      <c r="F408" s="5">
        <v>43922</v>
      </c>
      <c r="G408">
        <v>-409</v>
      </c>
      <c r="H408" t="s">
        <v>58</v>
      </c>
    </row>
    <row r="409" spans="1:8" x14ac:dyDescent="0.3">
      <c r="A409">
        <v>38</v>
      </c>
      <c r="B409" s="5">
        <v>43940</v>
      </c>
      <c r="C409" t="s">
        <v>11</v>
      </c>
      <c r="D409">
        <v>950</v>
      </c>
      <c r="E409">
        <v>-1246</v>
      </c>
      <c r="F409" s="5">
        <v>43922</v>
      </c>
      <c r="G409">
        <v>-950</v>
      </c>
      <c r="H409" t="s">
        <v>58</v>
      </c>
    </row>
    <row r="410" spans="1:8" x14ac:dyDescent="0.3">
      <c r="A410">
        <v>39</v>
      </c>
      <c r="B410" s="5">
        <v>43852</v>
      </c>
      <c r="C410" t="s">
        <v>10</v>
      </c>
      <c r="D410">
        <v>996</v>
      </c>
      <c r="E410">
        <v>996</v>
      </c>
      <c r="F410" s="5">
        <v>43831</v>
      </c>
      <c r="G410">
        <v>996</v>
      </c>
      <c r="H410" t="s">
        <v>57</v>
      </c>
    </row>
    <row r="411" spans="1:8" x14ac:dyDescent="0.3">
      <c r="A411">
        <v>39</v>
      </c>
      <c r="B411" s="5">
        <v>43852</v>
      </c>
      <c r="C411" t="s">
        <v>10</v>
      </c>
      <c r="D411">
        <v>433</v>
      </c>
      <c r="E411">
        <v>1429</v>
      </c>
      <c r="F411" s="5">
        <v>43831</v>
      </c>
      <c r="G411">
        <v>433</v>
      </c>
      <c r="H411" t="s">
        <v>57</v>
      </c>
    </row>
    <row r="412" spans="1:8" x14ac:dyDescent="0.3">
      <c r="A412">
        <v>39</v>
      </c>
      <c r="B412" s="5">
        <v>43862</v>
      </c>
      <c r="C412" t="s">
        <v>10</v>
      </c>
      <c r="D412">
        <v>608</v>
      </c>
      <c r="E412">
        <v>2037</v>
      </c>
      <c r="F412" s="5">
        <v>43862</v>
      </c>
      <c r="G412">
        <v>608</v>
      </c>
      <c r="H412" t="s">
        <v>57</v>
      </c>
    </row>
    <row r="413" spans="1:8" x14ac:dyDescent="0.3">
      <c r="A413">
        <v>39</v>
      </c>
      <c r="B413" s="5">
        <v>43871</v>
      </c>
      <c r="C413" t="s">
        <v>10</v>
      </c>
      <c r="D413">
        <v>73</v>
      </c>
      <c r="E413">
        <v>2110</v>
      </c>
      <c r="F413" s="5">
        <v>43862</v>
      </c>
      <c r="G413">
        <v>73</v>
      </c>
      <c r="H413" t="s">
        <v>57</v>
      </c>
    </row>
    <row r="414" spans="1:8" x14ac:dyDescent="0.3">
      <c r="A414">
        <v>39</v>
      </c>
      <c r="B414" s="5">
        <v>43876</v>
      </c>
      <c r="C414" t="s">
        <v>10</v>
      </c>
      <c r="D414">
        <v>792</v>
      </c>
      <c r="E414">
        <v>2902</v>
      </c>
      <c r="F414" s="5">
        <v>43862</v>
      </c>
      <c r="G414">
        <v>792</v>
      </c>
      <c r="H414" t="s">
        <v>57</v>
      </c>
    </row>
    <row r="415" spans="1:8" x14ac:dyDescent="0.3">
      <c r="A415">
        <v>39</v>
      </c>
      <c r="B415" s="5">
        <v>43880</v>
      </c>
      <c r="C415" t="s">
        <v>12</v>
      </c>
      <c r="D415">
        <v>281</v>
      </c>
      <c r="E415">
        <v>2621</v>
      </c>
      <c r="F415" s="5">
        <v>43862</v>
      </c>
      <c r="G415">
        <v>-281</v>
      </c>
      <c r="H415" t="s">
        <v>57</v>
      </c>
    </row>
    <row r="416" spans="1:8" x14ac:dyDescent="0.3">
      <c r="A416">
        <v>39</v>
      </c>
      <c r="B416" s="5">
        <v>43888</v>
      </c>
      <c r="C416" t="s">
        <v>11</v>
      </c>
      <c r="D416">
        <v>233</v>
      </c>
      <c r="E416">
        <v>2388</v>
      </c>
      <c r="F416" s="5">
        <v>43862</v>
      </c>
      <c r="G416">
        <v>-233</v>
      </c>
      <c r="H416" t="s">
        <v>57</v>
      </c>
    </row>
    <row r="417" spans="1:8" x14ac:dyDescent="0.3">
      <c r="A417">
        <v>39</v>
      </c>
      <c r="B417" s="5">
        <v>43894</v>
      </c>
      <c r="C417" t="s">
        <v>10</v>
      </c>
      <c r="D417">
        <v>536</v>
      </c>
      <c r="E417">
        <v>2924</v>
      </c>
      <c r="F417" s="5">
        <v>43891</v>
      </c>
      <c r="G417">
        <v>536</v>
      </c>
      <c r="H417" t="s">
        <v>57</v>
      </c>
    </row>
    <row r="418" spans="1:8" x14ac:dyDescent="0.3">
      <c r="A418">
        <v>39</v>
      </c>
      <c r="B418" s="5">
        <v>43915</v>
      </c>
      <c r="C418" t="s">
        <v>12</v>
      </c>
      <c r="D418">
        <v>409</v>
      </c>
      <c r="E418">
        <v>2515</v>
      </c>
      <c r="F418" s="5">
        <v>43891</v>
      </c>
      <c r="G418">
        <v>-409</v>
      </c>
      <c r="H418" t="s">
        <v>57</v>
      </c>
    </row>
    <row r="419" spans="1:8" x14ac:dyDescent="0.3">
      <c r="A419">
        <v>39</v>
      </c>
      <c r="B419" s="5">
        <v>43917</v>
      </c>
      <c r="C419" t="s">
        <v>12</v>
      </c>
      <c r="D419">
        <v>55</v>
      </c>
      <c r="E419">
        <v>2460</v>
      </c>
      <c r="F419" s="5">
        <v>43891</v>
      </c>
      <c r="G419">
        <v>-55</v>
      </c>
      <c r="H419" t="s">
        <v>57</v>
      </c>
    </row>
    <row r="420" spans="1:8" x14ac:dyDescent="0.3">
      <c r="A420">
        <v>39</v>
      </c>
      <c r="B420" s="5">
        <v>43922</v>
      </c>
      <c r="C420" t="s">
        <v>11</v>
      </c>
      <c r="D420">
        <v>375</v>
      </c>
      <c r="E420">
        <v>2085</v>
      </c>
      <c r="F420" s="5">
        <v>43922</v>
      </c>
      <c r="G420">
        <v>-375</v>
      </c>
      <c r="H420" t="s">
        <v>57</v>
      </c>
    </row>
    <row r="421" spans="1:8" x14ac:dyDescent="0.3">
      <c r="A421">
        <v>39</v>
      </c>
      <c r="B421" s="5">
        <v>43925</v>
      </c>
      <c r="C421" t="s">
        <v>11</v>
      </c>
      <c r="D421">
        <v>28</v>
      </c>
      <c r="E421">
        <v>2057</v>
      </c>
      <c r="F421" s="5">
        <v>43922</v>
      </c>
      <c r="G421">
        <v>-28</v>
      </c>
      <c r="H421" t="s">
        <v>57</v>
      </c>
    </row>
    <row r="422" spans="1:8" x14ac:dyDescent="0.3">
      <c r="A422">
        <v>39</v>
      </c>
      <c r="B422" s="5">
        <v>43929</v>
      </c>
      <c r="C422" t="s">
        <v>12</v>
      </c>
      <c r="D422">
        <v>240</v>
      </c>
      <c r="E422">
        <v>1817</v>
      </c>
      <c r="F422" s="5">
        <v>43922</v>
      </c>
      <c r="G422">
        <v>-240</v>
      </c>
      <c r="H422" t="s">
        <v>57</v>
      </c>
    </row>
    <row r="423" spans="1:8" x14ac:dyDescent="0.3">
      <c r="A423">
        <v>39</v>
      </c>
      <c r="B423" s="5">
        <v>43930</v>
      </c>
      <c r="C423" t="s">
        <v>10</v>
      </c>
      <c r="D423">
        <v>939</v>
      </c>
      <c r="E423">
        <v>2756</v>
      </c>
      <c r="F423" s="5">
        <v>43922</v>
      </c>
      <c r="G423">
        <v>939</v>
      </c>
      <c r="H423" t="s">
        <v>57</v>
      </c>
    </row>
    <row r="424" spans="1:8" x14ac:dyDescent="0.3">
      <c r="A424">
        <v>39</v>
      </c>
      <c r="B424" s="5">
        <v>43930</v>
      </c>
      <c r="C424" t="s">
        <v>12</v>
      </c>
      <c r="D424">
        <v>529</v>
      </c>
      <c r="E424">
        <v>2227</v>
      </c>
      <c r="F424" s="5">
        <v>43922</v>
      </c>
      <c r="G424">
        <v>-529</v>
      </c>
      <c r="H424" t="s">
        <v>57</v>
      </c>
    </row>
    <row r="425" spans="1:8" x14ac:dyDescent="0.3">
      <c r="A425">
        <v>39</v>
      </c>
      <c r="B425" s="5">
        <v>43934</v>
      </c>
      <c r="C425" t="s">
        <v>12</v>
      </c>
      <c r="D425">
        <v>644</v>
      </c>
      <c r="E425">
        <v>1583</v>
      </c>
      <c r="F425" s="5">
        <v>43922</v>
      </c>
      <c r="G425">
        <v>-644</v>
      </c>
      <c r="H425" t="s">
        <v>57</v>
      </c>
    </row>
    <row r="426" spans="1:8" x14ac:dyDescent="0.3">
      <c r="A426">
        <v>39</v>
      </c>
      <c r="B426" s="5">
        <v>43938</v>
      </c>
      <c r="C426" t="s">
        <v>10</v>
      </c>
      <c r="D426">
        <v>933</v>
      </c>
      <c r="E426">
        <v>2516</v>
      </c>
      <c r="F426" s="5">
        <v>43922</v>
      </c>
      <c r="G426">
        <v>933</v>
      </c>
      <c r="H426" t="s">
        <v>57</v>
      </c>
    </row>
    <row r="427" spans="1:8" x14ac:dyDescent="0.3">
      <c r="A427">
        <v>40</v>
      </c>
      <c r="B427" s="5">
        <v>43851</v>
      </c>
      <c r="C427" t="s">
        <v>10</v>
      </c>
      <c r="D427">
        <v>857</v>
      </c>
      <c r="E427">
        <v>857</v>
      </c>
      <c r="F427" s="5">
        <v>43831</v>
      </c>
      <c r="G427">
        <v>857</v>
      </c>
      <c r="H427" t="s">
        <v>57</v>
      </c>
    </row>
    <row r="428" spans="1:8" x14ac:dyDescent="0.3">
      <c r="A428">
        <v>40</v>
      </c>
      <c r="B428" s="5">
        <v>43856</v>
      </c>
      <c r="C428" t="s">
        <v>12</v>
      </c>
      <c r="D428">
        <v>510</v>
      </c>
      <c r="E428">
        <v>347</v>
      </c>
      <c r="F428" s="5">
        <v>43831</v>
      </c>
      <c r="G428">
        <v>-510</v>
      </c>
      <c r="H428" t="s">
        <v>57</v>
      </c>
    </row>
    <row r="429" spans="1:8" x14ac:dyDescent="0.3">
      <c r="A429">
        <v>40</v>
      </c>
      <c r="B429" s="5">
        <v>43872</v>
      </c>
      <c r="C429" t="s">
        <v>10</v>
      </c>
      <c r="D429">
        <v>914</v>
      </c>
      <c r="E429">
        <v>1261</v>
      </c>
      <c r="F429" s="5">
        <v>43862</v>
      </c>
      <c r="G429">
        <v>914</v>
      </c>
      <c r="H429" t="s">
        <v>57</v>
      </c>
    </row>
    <row r="430" spans="1:8" x14ac:dyDescent="0.3">
      <c r="A430">
        <v>40</v>
      </c>
      <c r="B430" s="5">
        <v>43874</v>
      </c>
      <c r="C430" t="s">
        <v>12</v>
      </c>
      <c r="D430">
        <v>630</v>
      </c>
      <c r="E430">
        <v>631</v>
      </c>
      <c r="F430" s="5">
        <v>43862</v>
      </c>
      <c r="G430">
        <v>-630</v>
      </c>
      <c r="H430" t="s">
        <v>57</v>
      </c>
    </row>
    <row r="431" spans="1:8" x14ac:dyDescent="0.3">
      <c r="A431">
        <v>40</v>
      </c>
      <c r="B431" s="5">
        <v>43877</v>
      </c>
      <c r="C431" t="s">
        <v>11</v>
      </c>
      <c r="D431">
        <v>737</v>
      </c>
      <c r="E431">
        <v>-106</v>
      </c>
      <c r="F431" s="5">
        <v>43862</v>
      </c>
      <c r="G431">
        <v>-737</v>
      </c>
      <c r="H431" t="s">
        <v>58</v>
      </c>
    </row>
    <row r="432" spans="1:8" x14ac:dyDescent="0.3">
      <c r="A432">
        <v>40</v>
      </c>
      <c r="B432" s="5">
        <v>43881</v>
      </c>
      <c r="C432" t="s">
        <v>10</v>
      </c>
      <c r="D432">
        <v>401</v>
      </c>
      <c r="E432">
        <v>295</v>
      </c>
      <c r="F432" s="5">
        <v>43862</v>
      </c>
      <c r="G432">
        <v>401</v>
      </c>
      <c r="H432" t="s">
        <v>57</v>
      </c>
    </row>
    <row r="433" spans="1:8" x14ac:dyDescent="0.3">
      <c r="A433">
        <v>40</v>
      </c>
      <c r="B433" s="5">
        <v>43895</v>
      </c>
      <c r="C433" t="s">
        <v>10</v>
      </c>
      <c r="D433">
        <v>934</v>
      </c>
      <c r="E433">
        <v>1229</v>
      </c>
      <c r="F433" s="5">
        <v>43891</v>
      </c>
      <c r="G433">
        <v>934</v>
      </c>
      <c r="H433" t="s">
        <v>57</v>
      </c>
    </row>
    <row r="434" spans="1:8" x14ac:dyDescent="0.3">
      <c r="A434">
        <v>40</v>
      </c>
      <c r="B434" s="5">
        <v>43901</v>
      </c>
      <c r="C434" t="s">
        <v>11</v>
      </c>
      <c r="D434">
        <v>275</v>
      </c>
      <c r="E434">
        <v>954</v>
      </c>
      <c r="F434" s="5">
        <v>43891</v>
      </c>
      <c r="G434">
        <v>-275</v>
      </c>
      <c r="H434" t="s">
        <v>57</v>
      </c>
    </row>
    <row r="435" spans="1:8" x14ac:dyDescent="0.3">
      <c r="A435">
        <v>40</v>
      </c>
      <c r="B435" s="5">
        <v>43910</v>
      </c>
      <c r="C435" t="s">
        <v>11</v>
      </c>
      <c r="D435">
        <v>712</v>
      </c>
      <c r="E435">
        <v>242</v>
      </c>
      <c r="F435" s="5">
        <v>43891</v>
      </c>
      <c r="G435">
        <v>-712</v>
      </c>
      <c r="H435" t="s">
        <v>57</v>
      </c>
    </row>
    <row r="436" spans="1:8" x14ac:dyDescent="0.3">
      <c r="A436">
        <v>40</v>
      </c>
      <c r="B436" s="5">
        <v>43915</v>
      </c>
      <c r="C436" t="s">
        <v>10</v>
      </c>
      <c r="D436">
        <v>417</v>
      </c>
      <c r="E436">
        <v>659</v>
      </c>
      <c r="F436" s="5">
        <v>43891</v>
      </c>
      <c r="G436">
        <v>417</v>
      </c>
      <c r="H436" t="s">
        <v>57</v>
      </c>
    </row>
    <row r="437" spans="1:8" x14ac:dyDescent="0.3">
      <c r="A437">
        <v>40</v>
      </c>
      <c r="B437" s="5">
        <v>43924</v>
      </c>
      <c r="C437" t="s">
        <v>12</v>
      </c>
      <c r="D437">
        <v>867</v>
      </c>
      <c r="E437">
        <v>-208</v>
      </c>
      <c r="F437" s="5">
        <v>43922</v>
      </c>
      <c r="G437">
        <v>-867</v>
      </c>
      <c r="H437" t="s">
        <v>58</v>
      </c>
    </row>
    <row r="438" spans="1:8" x14ac:dyDescent="0.3">
      <c r="A438">
        <v>41</v>
      </c>
      <c r="B438" s="5">
        <v>43860</v>
      </c>
      <c r="C438" t="s">
        <v>10</v>
      </c>
      <c r="D438">
        <v>790</v>
      </c>
      <c r="E438">
        <v>790</v>
      </c>
      <c r="F438" s="5">
        <v>43831</v>
      </c>
      <c r="G438">
        <v>790</v>
      </c>
      <c r="H438" t="s">
        <v>57</v>
      </c>
    </row>
    <row r="439" spans="1:8" x14ac:dyDescent="0.3">
      <c r="A439">
        <v>41</v>
      </c>
      <c r="B439" s="5">
        <v>43861</v>
      </c>
      <c r="C439" t="s">
        <v>12</v>
      </c>
      <c r="D439">
        <v>836</v>
      </c>
      <c r="E439">
        <v>-46</v>
      </c>
      <c r="F439" s="5">
        <v>43831</v>
      </c>
      <c r="G439">
        <v>-836</v>
      </c>
      <c r="H439" t="s">
        <v>58</v>
      </c>
    </row>
    <row r="440" spans="1:8" x14ac:dyDescent="0.3">
      <c r="A440">
        <v>41</v>
      </c>
      <c r="B440" s="5">
        <v>43863</v>
      </c>
      <c r="C440" t="s">
        <v>10</v>
      </c>
      <c r="D440">
        <v>443</v>
      </c>
      <c r="E440">
        <v>397</v>
      </c>
      <c r="F440" s="5">
        <v>43862</v>
      </c>
      <c r="G440">
        <v>443</v>
      </c>
      <c r="H440" t="s">
        <v>57</v>
      </c>
    </row>
    <row r="441" spans="1:8" x14ac:dyDescent="0.3">
      <c r="A441">
        <v>41</v>
      </c>
      <c r="B441" s="5">
        <v>43867</v>
      </c>
      <c r="C441" t="s">
        <v>10</v>
      </c>
      <c r="D441">
        <v>84</v>
      </c>
      <c r="E441">
        <v>481</v>
      </c>
      <c r="F441" s="5">
        <v>43862</v>
      </c>
      <c r="G441">
        <v>84</v>
      </c>
      <c r="H441" t="s">
        <v>57</v>
      </c>
    </row>
    <row r="442" spans="1:8" x14ac:dyDescent="0.3">
      <c r="A442">
        <v>41</v>
      </c>
      <c r="B442" s="5">
        <v>43884</v>
      </c>
      <c r="C442" t="s">
        <v>10</v>
      </c>
      <c r="D442">
        <v>898</v>
      </c>
      <c r="E442">
        <v>1379</v>
      </c>
      <c r="F442" s="5">
        <v>43862</v>
      </c>
      <c r="G442">
        <v>898</v>
      </c>
      <c r="H442" t="s">
        <v>57</v>
      </c>
    </row>
    <row r="443" spans="1:8" x14ac:dyDescent="0.3">
      <c r="A443">
        <v>41</v>
      </c>
      <c r="B443" s="5">
        <v>43895</v>
      </c>
      <c r="C443" t="s">
        <v>10</v>
      </c>
      <c r="D443">
        <v>914</v>
      </c>
      <c r="E443">
        <v>2293</v>
      </c>
      <c r="F443" s="5">
        <v>43891</v>
      </c>
      <c r="G443">
        <v>914</v>
      </c>
      <c r="H443" t="s">
        <v>57</v>
      </c>
    </row>
    <row r="444" spans="1:8" x14ac:dyDescent="0.3">
      <c r="A444">
        <v>41</v>
      </c>
      <c r="B444" s="5">
        <v>43902</v>
      </c>
      <c r="C444" t="s">
        <v>11</v>
      </c>
      <c r="D444">
        <v>293</v>
      </c>
      <c r="E444">
        <v>2000</v>
      </c>
      <c r="F444" s="5">
        <v>43891</v>
      </c>
      <c r="G444">
        <v>-293</v>
      </c>
      <c r="H444" t="s">
        <v>57</v>
      </c>
    </row>
    <row r="445" spans="1:8" x14ac:dyDescent="0.3">
      <c r="A445">
        <v>41</v>
      </c>
      <c r="B445" s="5">
        <v>43902</v>
      </c>
      <c r="C445" t="s">
        <v>10</v>
      </c>
      <c r="D445">
        <v>151</v>
      </c>
      <c r="E445">
        <v>2151</v>
      </c>
      <c r="F445" s="5">
        <v>43891</v>
      </c>
      <c r="G445">
        <v>151</v>
      </c>
      <c r="H445" t="s">
        <v>57</v>
      </c>
    </row>
    <row r="446" spans="1:8" x14ac:dyDescent="0.3">
      <c r="A446">
        <v>41</v>
      </c>
      <c r="B446" s="5">
        <v>43905</v>
      </c>
      <c r="C446" t="s">
        <v>11</v>
      </c>
      <c r="D446">
        <v>397</v>
      </c>
      <c r="E446">
        <v>1754</v>
      </c>
      <c r="F446" s="5">
        <v>43891</v>
      </c>
      <c r="G446">
        <v>-397</v>
      </c>
      <c r="H446" t="s">
        <v>57</v>
      </c>
    </row>
    <row r="447" spans="1:8" x14ac:dyDescent="0.3">
      <c r="A447">
        <v>41</v>
      </c>
      <c r="B447" s="5">
        <v>43912</v>
      </c>
      <c r="C447" t="s">
        <v>10</v>
      </c>
      <c r="D447">
        <v>232</v>
      </c>
      <c r="E447">
        <v>1986</v>
      </c>
      <c r="F447" s="5">
        <v>43891</v>
      </c>
      <c r="G447">
        <v>232</v>
      </c>
      <c r="H447" t="s">
        <v>57</v>
      </c>
    </row>
    <row r="448" spans="1:8" x14ac:dyDescent="0.3">
      <c r="A448">
        <v>41</v>
      </c>
      <c r="B448" s="5">
        <v>43913</v>
      </c>
      <c r="C448" t="s">
        <v>10</v>
      </c>
      <c r="D448">
        <v>582</v>
      </c>
      <c r="E448">
        <v>2568</v>
      </c>
      <c r="F448" s="5">
        <v>43891</v>
      </c>
      <c r="G448">
        <v>582</v>
      </c>
      <c r="H448" t="s">
        <v>57</v>
      </c>
    </row>
    <row r="449" spans="1:8" x14ac:dyDescent="0.3">
      <c r="A449">
        <v>41</v>
      </c>
      <c r="B449" s="5">
        <v>43915</v>
      </c>
      <c r="C449" t="s">
        <v>10</v>
      </c>
      <c r="D449">
        <v>872</v>
      </c>
      <c r="E449">
        <v>3440</v>
      </c>
      <c r="F449" s="5">
        <v>43891</v>
      </c>
      <c r="G449">
        <v>872</v>
      </c>
      <c r="H449" t="s">
        <v>57</v>
      </c>
    </row>
    <row r="450" spans="1:8" x14ac:dyDescent="0.3">
      <c r="A450">
        <v>41</v>
      </c>
      <c r="B450" s="5">
        <v>43916</v>
      </c>
      <c r="C450" t="s">
        <v>10</v>
      </c>
      <c r="D450">
        <v>65</v>
      </c>
      <c r="E450">
        <v>3505</v>
      </c>
      <c r="F450" s="5">
        <v>43891</v>
      </c>
      <c r="G450">
        <v>65</v>
      </c>
      <c r="H450" t="s">
        <v>57</v>
      </c>
    </row>
    <row r="451" spans="1:8" x14ac:dyDescent="0.3">
      <c r="A451">
        <v>41</v>
      </c>
      <c r="B451" s="5">
        <v>43916</v>
      </c>
      <c r="C451" t="s">
        <v>11</v>
      </c>
      <c r="D451">
        <v>617</v>
      </c>
      <c r="E451">
        <v>2888</v>
      </c>
      <c r="F451" s="5">
        <v>43891</v>
      </c>
      <c r="G451">
        <v>-617</v>
      </c>
      <c r="H451" t="s">
        <v>57</v>
      </c>
    </row>
    <row r="452" spans="1:8" x14ac:dyDescent="0.3">
      <c r="A452">
        <v>41</v>
      </c>
      <c r="B452" s="5">
        <v>43917</v>
      </c>
      <c r="C452" t="s">
        <v>10</v>
      </c>
      <c r="D452">
        <v>689</v>
      </c>
      <c r="E452">
        <v>3577</v>
      </c>
      <c r="F452" s="5">
        <v>43891</v>
      </c>
      <c r="G452">
        <v>689</v>
      </c>
      <c r="H452" t="s">
        <v>57</v>
      </c>
    </row>
    <row r="453" spans="1:8" x14ac:dyDescent="0.3">
      <c r="A453">
        <v>41</v>
      </c>
      <c r="B453" s="5">
        <v>43920</v>
      </c>
      <c r="C453" t="s">
        <v>11</v>
      </c>
      <c r="D453">
        <v>136</v>
      </c>
      <c r="E453">
        <v>3441</v>
      </c>
      <c r="F453" s="5">
        <v>43891</v>
      </c>
      <c r="G453">
        <v>-136</v>
      </c>
      <c r="H453" t="s">
        <v>57</v>
      </c>
    </row>
    <row r="454" spans="1:8" x14ac:dyDescent="0.3">
      <c r="A454">
        <v>41</v>
      </c>
      <c r="B454" s="5">
        <v>43925</v>
      </c>
      <c r="C454" t="s">
        <v>12</v>
      </c>
      <c r="D454">
        <v>177</v>
      </c>
      <c r="E454">
        <v>3264</v>
      </c>
      <c r="F454" s="5">
        <v>43922</v>
      </c>
      <c r="G454">
        <v>-177</v>
      </c>
      <c r="H454" t="s">
        <v>57</v>
      </c>
    </row>
    <row r="455" spans="1:8" x14ac:dyDescent="0.3">
      <c r="A455">
        <v>41</v>
      </c>
      <c r="B455" s="5">
        <v>43946</v>
      </c>
      <c r="C455" t="s">
        <v>12</v>
      </c>
      <c r="D455">
        <v>739</v>
      </c>
      <c r="E455">
        <v>2525</v>
      </c>
      <c r="F455" s="5">
        <v>43922</v>
      </c>
      <c r="G455">
        <v>-739</v>
      </c>
      <c r="H455" t="s">
        <v>57</v>
      </c>
    </row>
    <row r="456" spans="1:8" x14ac:dyDescent="0.3">
      <c r="A456">
        <v>42</v>
      </c>
      <c r="B456" s="5">
        <v>43841</v>
      </c>
      <c r="C456" t="s">
        <v>10</v>
      </c>
      <c r="D456">
        <v>154</v>
      </c>
      <c r="E456">
        <v>154</v>
      </c>
      <c r="F456" s="5">
        <v>43831</v>
      </c>
      <c r="G456">
        <v>154</v>
      </c>
      <c r="H456" t="s">
        <v>57</v>
      </c>
    </row>
    <row r="457" spans="1:8" x14ac:dyDescent="0.3">
      <c r="A457">
        <v>42</v>
      </c>
      <c r="B457" s="5">
        <v>43851</v>
      </c>
      <c r="C457" t="s">
        <v>10</v>
      </c>
      <c r="D457">
        <v>989</v>
      </c>
      <c r="E457">
        <v>1143</v>
      </c>
      <c r="F457" s="5">
        <v>43831</v>
      </c>
      <c r="G457">
        <v>989</v>
      </c>
      <c r="H457" t="s">
        <v>57</v>
      </c>
    </row>
    <row r="458" spans="1:8" x14ac:dyDescent="0.3">
      <c r="A458">
        <v>42</v>
      </c>
      <c r="B458" s="5">
        <v>43858</v>
      </c>
      <c r="C458" t="s">
        <v>12</v>
      </c>
      <c r="D458">
        <v>696</v>
      </c>
      <c r="E458">
        <v>447</v>
      </c>
      <c r="F458" s="5">
        <v>43831</v>
      </c>
      <c r="G458">
        <v>-696</v>
      </c>
      <c r="H458" t="s">
        <v>57</v>
      </c>
    </row>
    <row r="459" spans="1:8" x14ac:dyDescent="0.3">
      <c r="A459">
        <v>42</v>
      </c>
      <c r="B459" s="5">
        <v>43865</v>
      </c>
      <c r="C459" t="s">
        <v>11</v>
      </c>
      <c r="D459">
        <v>457</v>
      </c>
      <c r="E459">
        <v>-10</v>
      </c>
      <c r="F459" s="5">
        <v>43862</v>
      </c>
      <c r="G459">
        <v>-457</v>
      </c>
      <c r="H459" t="s">
        <v>58</v>
      </c>
    </row>
    <row r="460" spans="1:8" x14ac:dyDescent="0.3">
      <c r="A460">
        <v>42</v>
      </c>
      <c r="B460" s="5">
        <v>43870</v>
      </c>
      <c r="C460" t="s">
        <v>10</v>
      </c>
      <c r="D460">
        <v>9</v>
      </c>
      <c r="E460">
        <v>-1</v>
      </c>
      <c r="F460" s="5">
        <v>43862</v>
      </c>
      <c r="G460">
        <v>9</v>
      </c>
      <c r="H460" t="s">
        <v>58</v>
      </c>
    </row>
    <row r="461" spans="1:8" x14ac:dyDescent="0.3">
      <c r="A461">
        <v>42</v>
      </c>
      <c r="B461" s="5">
        <v>43875</v>
      </c>
      <c r="C461" t="s">
        <v>10</v>
      </c>
      <c r="D461">
        <v>900</v>
      </c>
      <c r="E461">
        <v>899</v>
      </c>
      <c r="F461" s="5">
        <v>43862</v>
      </c>
      <c r="G461">
        <v>900</v>
      </c>
      <c r="H461" t="s">
        <v>57</v>
      </c>
    </row>
    <row r="462" spans="1:8" x14ac:dyDescent="0.3">
      <c r="A462">
        <v>42</v>
      </c>
      <c r="B462" s="5">
        <v>43885</v>
      </c>
      <c r="C462" t="s">
        <v>11</v>
      </c>
      <c r="D462">
        <v>897</v>
      </c>
      <c r="E462">
        <v>2</v>
      </c>
      <c r="F462" s="5">
        <v>43862</v>
      </c>
      <c r="G462">
        <v>-897</v>
      </c>
      <c r="H462" t="s">
        <v>57</v>
      </c>
    </row>
    <row r="463" spans="1:8" x14ac:dyDescent="0.3">
      <c r="A463">
        <v>42</v>
      </c>
      <c r="B463" s="5">
        <v>43886</v>
      </c>
      <c r="C463" t="s">
        <v>10</v>
      </c>
      <c r="D463">
        <v>210</v>
      </c>
      <c r="E463">
        <v>212</v>
      </c>
      <c r="F463" s="5">
        <v>43862</v>
      </c>
      <c r="G463">
        <v>210</v>
      </c>
      <c r="H463" t="s">
        <v>57</v>
      </c>
    </row>
    <row r="464" spans="1:8" x14ac:dyDescent="0.3">
      <c r="A464">
        <v>42</v>
      </c>
      <c r="B464" s="5">
        <v>43890</v>
      </c>
      <c r="C464" t="s">
        <v>10</v>
      </c>
      <c r="D464">
        <v>855</v>
      </c>
      <c r="E464">
        <v>1067</v>
      </c>
      <c r="F464" s="5">
        <v>43862</v>
      </c>
      <c r="G464">
        <v>855</v>
      </c>
      <c r="H464" t="s">
        <v>57</v>
      </c>
    </row>
    <row r="465" spans="1:8" x14ac:dyDescent="0.3">
      <c r="A465">
        <v>42</v>
      </c>
      <c r="B465" s="5">
        <v>43892</v>
      </c>
      <c r="C465" t="s">
        <v>11</v>
      </c>
      <c r="D465">
        <v>675</v>
      </c>
      <c r="E465">
        <v>392</v>
      </c>
      <c r="F465" s="5">
        <v>43891</v>
      </c>
      <c r="G465">
        <v>-675</v>
      </c>
      <c r="H465" t="s">
        <v>57</v>
      </c>
    </row>
    <row r="466" spans="1:8" x14ac:dyDescent="0.3">
      <c r="A466">
        <v>42</v>
      </c>
      <c r="B466" s="5">
        <v>43893</v>
      </c>
      <c r="C466" t="s">
        <v>12</v>
      </c>
      <c r="D466">
        <v>163</v>
      </c>
      <c r="E466">
        <v>229</v>
      </c>
      <c r="F466" s="5">
        <v>43891</v>
      </c>
      <c r="G466">
        <v>-163</v>
      </c>
      <c r="H466" t="s">
        <v>57</v>
      </c>
    </row>
    <row r="467" spans="1:8" x14ac:dyDescent="0.3">
      <c r="A467">
        <v>42</v>
      </c>
      <c r="B467" s="5">
        <v>43904</v>
      </c>
      <c r="C467" t="s">
        <v>11</v>
      </c>
      <c r="D467">
        <v>662</v>
      </c>
      <c r="E467">
        <v>-433</v>
      </c>
      <c r="F467" s="5">
        <v>43891</v>
      </c>
      <c r="G467">
        <v>-662</v>
      </c>
      <c r="H467" t="s">
        <v>58</v>
      </c>
    </row>
    <row r="468" spans="1:8" x14ac:dyDescent="0.3">
      <c r="A468">
        <v>42</v>
      </c>
      <c r="B468" s="5">
        <v>43920</v>
      </c>
      <c r="C468" t="s">
        <v>11</v>
      </c>
      <c r="D468">
        <v>454</v>
      </c>
      <c r="E468">
        <v>-887</v>
      </c>
      <c r="F468" s="5">
        <v>43891</v>
      </c>
      <c r="G468">
        <v>-454</v>
      </c>
      <c r="H468" t="s">
        <v>58</v>
      </c>
    </row>
    <row r="469" spans="1:8" x14ac:dyDescent="0.3">
      <c r="A469">
        <v>42</v>
      </c>
      <c r="B469" s="5">
        <v>43930</v>
      </c>
      <c r="C469" t="s">
        <v>12</v>
      </c>
      <c r="D469">
        <v>999</v>
      </c>
      <c r="E469">
        <v>-1886</v>
      </c>
      <c r="F469" s="5">
        <v>43922</v>
      </c>
      <c r="G469">
        <v>-999</v>
      </c>
      <c r="H469" t="s">
        <v>58</v>
      </c>
    </row>
    <row r="470" spans="1:8" x14ac:dyDescent="0.3">
      <c r="A470">
        <v>43</v>
      </c>
      <c r="B470" s="5">
        <v>43858</v>
      </c>
      <c r="C470" t="s">
        <v>10</v>
      </c>
      <c r="D470">
        <v>318</v>
      </c>
      <c r="E470">
        <v>318</v>
      </c>
      <c r="F470" s="5">
        <v>43831</v>
      </c>
      <c r="G470">
        <v>318</v>
      </c>
      <c r="H470" t="s">
        <v>57</v>
      </c>
    </row>
    <row r="471" spans="1:8" x14ac:dyDescent="0.3">
      <c r="A471">
        <v>43</v>
      </c>
      <c r="B471" s="5">
        <v>43861</v>
      </c>
      <c r="C471" t="s">
        <v>12</v>
      </c>
      <c r="D471">
        <v>519</v>
      </c>
      <c r="E471">
        <v>-201</v>
      </c>
      <c r="F471" s="5">
        <v>43831</v>
      </c>
      <c r="G471">
        <v>-519</v>
      </c>
      <c r="H471" t="s">
        <v>58</v>
      </c>
    </row>
    <row r="472" spans="1:8" x14ac:dyDescent="0.3">
      <c r="A472">
        <v>43</v>
      </c>
      <c r="B472" s="5">
        <v>43870</v>
      </c>
      <c r="C472" t="s">
        <v>10</v>
      </c>
      <c r="D472">
        <v>875</v>
      </c>
      <c r="E472">
        <v>674</v>
      </c>
      <c r="F472" s="5">
        <v>43862</v>
      </c>
      <c r="G472">
        <v>875</v>
      </c>
      <c r="H472" t="s">
        <v>57</v>
      </c>
    </row>
    <row r="473" spans="1:8" x14ac:dyDescent="0.3">
      <c r="A473">
        <v>43</v>
      </c>
      <c r="B473" s="5">
        <v>43875</v>
      </c>
      <c r="C473" t="s">
        <v>12</v>
      </c>
      <c r="D473">
        <v>96</v>
      </c>
      <c r="E473">
        <v>578</v>
      </c>
      <c r="F473" s="5">
        <v>43862</v>
      </c>
      <c r="G473">
        <v>-96</v>
      </c>
      <c r="H473" t="s">
        <v>57</v>
      </c>
    </row>
    <row r="474" spans="1:8" x14ac:dyDescent="0.3">
      <c r="A474">
        <v>43</v>
      </c>
      <c r="B474" s="5">
        <v>43881</v>
      </c>
      <c r="C474" t="s">
        <v>11</v>
      </c>
      <c r="D474">
        <v>314</v>
      </c>
      <c r="E474">
        <v>264</v>
      </c>
      <c r="F474" s="5">
        <v>43862</v>
      </c>
      <c r="G474">
        <v>-314</v>
      </c>
      <c r="H474" t="s">
        <v>57</v>
      </c>
    </row>
    <row r="475" spans="1:8" x14ac:dyDescent="0.3">
      <c r="A475">
        <v>43</v>
      </c>
      <c r="B475" s="5">
        <v>43884</v>
      </c>
      <c r="C475" t="s">
        <v>11</v>
      </c>
      <c r="D475">
        <v>670</v>
      </c>
      <c r="E475">
        <v>-406</v>
      </c>
      <c r="F475" s="5">
        <v>43862</v>
      </c>
      <c r="G475">
        <v>-670</v>
      </c>
      <c r="H475" t="s">
        <v>58</v>
      </c>
    </row>
    <row r="476" spans="1:8" x14ac:dyDescent="0.3">
      <c r="A476">
        <v>43</v>
      </c>
      <c r="B476" s="5">
        <v>43898</v>
      </c>
      <c r="C476" t="s">
        <v>10</v>
      </c>
      <c r="D476">
        <v>971</v>
      </c>
      <c r="E476">
        <v>565</v>
      </c>
      <c r="F476" s="5">
        <v>43891</v>
      </c>
      <c r="G476">
        <v>971</v>
      </c>
      <c r="H476" t="s">
        <v>57</v>
      </c>
    </row>
    <row r="477" spans="1:8" x14ac:dyDescent="0.3">
      <c r="A477">
        <v>43</v>
      </c>
      <c r="B477" s="5">
        <v>43908</v>
      </c>
      <c r="C477" t="s">
        <v>12</v>
      </c>
      <c r="D477">
        <v>412</v>
      </c>
      <c r="E477">
        <v>153</v>
      </c>
      <c r="F477" s="5">
        <v>43891</v>
      </c>
      <c r="G477">
        <v>-412</v>
      </c>
      <c r="H477" t="s">
        <v>57</v>
      </c>
    </row>
    <row r="478" spans="1:8" x14ac:dyDescent="0.3">
      <c r="A478">
        <v>43</v>
      </c>
      <c r="B478" s="5">
        <v>43917</v>
      </c>
      <c r="C478" t="s">
        <v>10</v>
      </c>
      <c r="D478">
        <v>716</v>
      </c>
      <c r="E478">
        <v>869</v>
      </c>
      <c r="F478" s="5">
        <v>43891</v>
      </c>
      <c r="G478">
        <v>716</v>
      </c>
      <c r="H478" t="s">
        <v>57</v>
      </c>
    </row>
    <row r="479" spans="1:8" x14ac:dyDescent="0.3">
      <c r="A479">
        <v>43</v>
      </c>
      <c r="B479" s="5">
        <v>43928</v>
      </c>
      <c r="C479" t="s">
        <v>11</v>
      </c>
      <c r="D479">
        <v>842</v>
      </c>
      <c r="E479">
        <v>27</v>
      </c>
      <c r="F479" s="5">
        <v>43922</v>
      </c>
      <c r="G479">
        <v>-842</v>
      </c>
      <c r="H479" t="s">
        <v>57</v>
      </c>
    </row>
    <row r="480" spans="1:8" x14ac:dyDescent="0.3">
      <c r="A480">
        <v>43</v>
      </c>
      <c r="B480" s="5">
        <v>43945</v>
      </c>
      <c r="C480" t="s">
        <v>10</v>
      </c>
      <c r="D480">
        <v>518</v>
      </c>
      <c r="E480">
        <v>545</v>
      </c>
      <c r="F480" s="5">
        <v>43922</v>
      </c>
      <c r="G480">
        <v>518</v>
      </c>
      <c r="H480" t="s">
        <v>57</v>
      </c>
    </row>
    <row r="481" spans="1:8" x14ac:dyDescent="0.3">
      <c r="A481">
        <v>44</v>
      </c>
      <c r="B481" s="5">
        <v>43849</v>
      </c>
      <c r="C481" t="s">
        <v>10</v>
      </c>
      <c r="D481">
        <v>71</v>
      </c>
      <c r="E481">
        <v>71</v>
      </c>
      <c r="F481" s="5">
        <v>43831</v>
      </c>
      <c r="G481">
        <v>71</v>
      </c>
      <c r="H481" t="s">
        <v>57</v>
      </c>
    </row>
    <row r="482" spans="1:8" x14ac:dyDescent="0.3">
      <c r="A482">
        <v>44</v>
      </c>
      <c r="B482" s="5">
        <v>43850</v>
      </c>
      <c r="C482" t="s">
        <v>12</v>
      </c>
      <c r="D482">
        <v>761</v>
      </c>
      <c r="E482">
        <v>-690</v>
      </c>
      <c r="F482" s="5">
        <v>43831</v>
      </c>
      <c r="G482">
        <v>-761</v>
      </c>
      <c r="H482" t="s">
        <v>58</v>
      </c>
    </row>
    <row r="483" spans="1:8" x14ac:dyDescent="0.3">
      <c r="A483">
        <v>44</v>
      </c>
      <c r="B483" s="5">
        <v>43873</v>
      </c>
      <c r="C483" t="s">
        <v>10</v>
      </c>
      <c r="D483">
        <v>671</v>
      </c>
      <c r="E483">
        <v>-19</v>
      </c>
      <c r="F483" s="5">
        <v>43862</v>
      </c>
      <c r="G483">
        <v>671</v>
      </c>
      <c r="H483" t="s">
        <v>58</v>
      </c>
    </row>
    <row r="484" spans="1:8" x14ac:dyDescent="0.3">
      <c r="A484">
        <v>44</v>
      </c>
      <c r="B484" s="5">
        <v>43929</v>
      </c>
      <c r="C484" t="s">
        <v>11</v>
      </c>
      <c r="D484">
        <v>320</v>
      </c>
      <c r="E484">
        <v>-339</v>
      </c>
      <c r="F484" s="5">
        <v>43922</v>
      </c>
      <c r="G484">
        <v>-320</v>
      </c>
      <c r="H484" t="s">
        <v>58</v>
      </c>
    </row>
    <row r="485" spans="1:8" x14ac:dyDescent="0.3">
      <c r="A485">
        <v>45</v>
      </c>
      <c r="B485" s="5">
        <v>43844</v>
      </c>
      <c r="C485" t="s">
        <v>10</v>
      </c>
      <c r="D485">
        <v>650</v>
      </c>
      <c r="E485">
        <v>650</v>
      </c>
      <c r="F485" s="5">
        <v>43831</v>
      </c>
      <c r="G485">
        <v>650</v>
      </c>
      <c r="H485" t="s">
        <v>57</v>
      </c>
    </row>
    <row r="486" spans="1:8" x14ac:dyDescent="0.3">
      <c r="A486">
        <v>45</v>
      </c>
      <c r="B486" s="5">
        <v>43845</v>
      </c>
      <c r="C486" t="s">
        <v>10</v>
      </c>
      <c r="D486">
        <v>392</v>
      </c>
      <c r="E486">
        <v>1042</v>
      </c>
      <c r="F486" s="5">
        <v>43831</v>
      </c>
      <c r="G486">
        <v>392</v>
      </c>
      <c r="H486" t="s">
        <v>57</v>
      </c>
    </row>
    <row r="487" spans="1:8" x14ac:dyDescent="0.3">
      <c r="A487">
        <v>45</v>
      </c>
      <c r="B487" s="5">
        <v>43846</v>
      </c>
      <c r="C487" t="s">
        <v>11</v>
      </c>
      <c r="D487">
        <v>296</v>
      </c>
      <c r="E487">
        <v>746</v>
      </c>
      <c r="F487" s="5">
        <v>43831</v>
      </c>
      <c r="G487">
        <v>-296</v>
      </c>
      <c r="H487" t="s">
        <v>57</v>
      </c>
    </row>
    <row r="488" spans="1:8" x14ac:dyDescent="0.3">
      <c r="A488">
        <v>45</v>
      </c>
      <c r="B488" s="5">
        <v>43847</v>
      </c>
      <c r="C488" t="s">
        <v>10</v>
      </c>
      <c r="D488">
        <v>915</v>
      </c>
      <c r="E488">
        <v>1661</v>
      </c>
      <c r="F488" s="5">
        <v>43831</v>
      </c>
      <c r="G488">
        <v>915</v>
      </c>
      <c r="H488" t="s">
        <v>57</v>
      </c>
    </row>
    <row r="489" spans="1:8" x14ac:dyDescent="0.3">
      <c r="A489">
        <v>45</v>
      </c>
      <c r="B489" s="5">
        <v>43848</v>
      </c>
      <c r="C489" t="s">
        <v>11</v>
      </c>
      <c r="D489">
        <v>281</v>
      </c>
      <c r="E489">
        <v>1380</v>
      </c>
      <c r="F489" s="5">
        <v>43831</v>
      </c>
      <c r="G489">
        <v>-281</v>
      </c>
      <c r="H489" t="s">
        <v>57</v>
      </c>
    </row>
    <row r="490" spans="1:8" x14ac:dyDescent="0.3">
      <c r="A490">
        <v>45</v>
      </c>
      <c r="B490" s="5">
        <v>43854</v>
      </c>
      <c r="C490" t="s">
        <v>12</v>
      </c>
      <c r="D490">
        <v>656</v>
      </c>
      <c r="E490">
        <v>724</v>
      </c>
      <c r="F490" s="5">
        <v>43831</v>
      </c>
      <c r="G490">
        <v>-656</v>
      </c>
      <c r="H490" t="s">
        <v>57</v>
      </c>
    </row>
    <row r="491" spans="1:8" x14ac:dyDescent="0.3">
      <c r="A491">
        <v>45</v>
      </c>
      <c r="B491" s="5">
        <v>43855</v>
      </c>
      <c r="C491" t="s">
        <v>10</v>
      </c>
      <c r="D491">
        <v>997</v>
      </c>
      <c r="E491">
        <v>1721</v>
      </c>
      <c r="F491" s="5">
        <v>43831</v>
      </c>
      <c r="G491">
        <v>997</v>
      </c>
      <c r="H491" t="s">
        <v>57</v>
      </c>
    </row>
    <row r="492" spans="1:8" x14ac:dyDescent="0.3">
      <c r="A492">
        <v>45</v>
      </c>
      <c r="B492" s="5">
        <v>43857</v>
      </c>
      <c r="C492" t="s">
        <v>11</v>
      </c>
      <c r="D492">
        <v>465</v>
      </c>
      <c r="E492">
        <v>1256</v>
      </c>
      <c r="F492" s="5">
        <v>43831</v>
      </c>
      <c r="G492">
        <v>-465</v>
      </c>
      <c r="H492" t="s">
        <v>57</v>
      </c>
    </row>
    <row r="493" spans="1:8" x14ac:dyDescent="0.3">
      <c r="A493">
        <v>45</v>
      </c>
      <c r="B493" s="5">
        <v>43860</v>
      </c>
      <c r="C493" t="s">
        <v>11</v>
      </c>
      <c r="D493">
        <v>316</v>
      </c>
      <c r="E493">
        <v>940</v>
      </c>
      <c r="F493" s="5">
        <v>43831</v>
      </c>
      <c r="G493">
        <v>-316</v>
      </c>
      <c r="H493" t="s">
        <v>57</v>
      </c>
    </row>
    <row r="494" spans="1:8" x14ac:dyDescent="0.3">
      <c r="A494">
        <v>45</v>
      </c>
      <c r="B494" s="5">
        <v>43864</v>
      </c>
      <c r="C494" t="s">
        <v>12</v>
      </c>
      <c r="D494">
        <v>760</v>
      </c>
      <c r="E494">
        <v>180</v>
      </c>
      <c r="F494" s="5">
        <v>43862</v>
      </c>
      <c r="G494">
        <v>-760</v>
      </c>
      <c r="H494" t="s">
        <v>57</v>
      </c>
    </row>
    <row r="495" spans="1:8" x14ac:dyDescent="0.3">
      <c r="A495">
        <v>45</v>
      </c>
      <c r="B495" s="5">
        <v>43874</v>
      </c>
      <c r="C495" t="s">
        <v>12</v>
      </c>
      <c r="D495">
        <v>11</v>
      </c>
      <c r="E495">
        <v>169</v>
      </c>
      <c r="F495" s="5">
        <v>43862</v>
      </c>
      <c r="G495">
        <v>-11</v>
      </c>
      <c r="H495" t="s">
        <v>57</v>
      </c>
    </row>
    <row r="496" spans="1:8" x14ac:dyDescent="0.3">
      <c r="A496">
        <v>45</v>
      </c>
      <c r="B496" s="5">
        <v>43876</v>
      </c>
      <c r="C496" t="s">
        <v>12</v>
      </c>
      <c r="D496">
        <v>10</v>
      </c>
      <c r="E496">
        <v>159</v>
      </c>
      <c r="F496" s="5">
        <v>43862</v>
      </c>
      <c r="G496">
        <v>-10</v>
      </c>
      <c r="H496" t="s">
        <v>57</v>
      </c>
    </row>
    <row r="497" spans="1:8" x14ac:dyDescent="0.3">
      <c r="A497">
        <v>45</v>
      </c>
      <c r="B497" s="5">
        <v>43879</v>
      </c>
      <c r="C497" t="s">
        <v>12</v>
      </c>
      <c r="D497">
        <v>983</v>
      </c>
      <c r="E497">
        <v>-824</v>
      </c>
      <c r="F497" s="5">
        <v>43862</v>
      </c>
      <c r="G497">
        <v>-983</v>
      </c>
      <c r="H497" t="s">
        <v>58</v>
      </c>
    </row>
    <row r="498" spans="1:8" x14ac:dyDescent="0.3">
      <c r="A498">
        <v>45</v>
      </c>
      <c r="B498" s="5">
        <v>43889</v>
      </c>
      <c r="C498" t="s">
        <v>11</v>
      </c>
      <c r="D498">
        <v>328</v>
      </c>
      <c r="E498">
        <v>-1152</v>
      </c>
      <c r="F498" s="5">
        <v>43862</v>
      </c>
      <c r="G498">
        <v>-328</v>
      </c>
      <c r="H498" t="s">
        <v>58</v>
      </c>
    </row>
    <row r="499" spans="1:8" x14ac:dyDescent="0.3">
      <c r="A499">
        <v>45</v>
      </c>
      <c r="B499" s="5">
        <v>43895</v>
      </c>
      <c r="C499" t="s">
        <v>10</v>
      </c>
      <c r="D499">
        <v>357</v>
      </c>
      <c r="E499">
        <v>-795</v>
      </c>
      <c r="F499" s="5">
        <v>43891</v>
      </c>
      <c r="G499">
        <v>357</v>
      </c>
      <c r="H499" t="s">
        <v>58</v>
      </c>
    </row>
    <row r="500" spans="1:8" x14ac:dyDescent="0.3">
      <c r="A500">
        <v>45</v>
      </c>
      <c r="B500" s="5">
        <v>43899</v>
      </c>
      <c r="C500" t="s">
        <v>10</v>
      </c>
      <c r="D500">
        <v>609</v>
      </c>
      <c r="E500">
        <v>-186</v>
      </c>
      <c r="F500" s="5">
        <v>43891</v>
      </c>
      <c r="G500">
        <v>609</v>
      </c>
      <c r="H500" t="s">
        <v>58</v>
      </c>
    </row>
    <row r="501" spans="1:8" x14ac:dyDescent="0.3">
      <c r="A501">
        <v>45</v>
      </c>
      <c r="B501" s="5">
        <v>43919</v>
      </c>
      <c r="C501" t="s">
        <v>10</v>
      </c>
      <c r="D501">
        <v>434</v>
      </c>
      <c r="E501">
        <v>248</v>
      </c>
      <c r="F501" s="5">
        <v>43891</v>
      </c>
      <c r="G501">
        <v>434</v>
      </c>
      <c r="H501" t="s">
        <v>57</v>
      </c>
    </row>
    <row r="502" spans="1:8" x14ac:dyDescent="0.3">
      <c r="A502">
        <v>45</v>
      </c>
      <c r="B502" s="5">
        <v>43921</v>
      </c>
      <c r="C502" t="s">
        <v>10</v>
      </c>
      <c r="D502">
        <v>336</v>
      </c>
      <c r="E502">
        <v>584</v>
      </c>
      <c r="F502" s="5">
        <v>43891</v>
      </c>
      <c r="G502">
        <v>336</v>
      </c>
      <c r="H502" t="s">
        <v>57</v>
      </c>
    </row>
    <row r="503" spans="1:8" x14ac:dyDescent="0.3">
      <c r="A503">
        <v>46</v>
      </c>
      <c r="B503" s="5">
        <v>43853</v>
      </c>
      <c r="C503" t="s">
        <v>10</v>
      </c>
      <c r="D503">
        <v>356</v>
      </c>
      <c r="E503">
        <v>356</v>
      </c>
      <c r="F503" s="5">
        <v>43831</v>
      </c>
      <c r="G503">
        <v>356</v>
      </c>
      <c r="H503" t="s">
        <v>57</v>
      </c>
    </row>
    <row r="504" spans="1:8" x14ac:dyDescent="0.3">
      <c r="A504">
        <v>46</v>
      </c>
      <c r="B504" s="5">
        <v>43854</v>
      </c>
      <c r="C504" t="s">
        <v>11</v>
      </c>
      <c r="D504">
        <v>495</v>
      </c>
      <c r="E504">
        <v>-139</v>
      </c>
      <c r="F504" s="5">
        <v>43831</v>
      </c>
      <c r="G504">
        <v>-495</v>
      </c>
      <c r="H504" t="s">
        <v>58</v>
      </c>
    </row>
    <row r="505" spans="1:8" x14ac:dyDescent="0.3">
      <c r="A505">
        <v>46</v>
      </c>
      <c r="B505" s="5">
        <v>43861</v>
      </c>
      <c r="C505" t="s">
        <v>10</v>
      </c>
      <c r="D505">
        <v>661</v>
      </c>
      <c r="E505">
        <v>522</v>
      </c>
      <c r="F505" s="5">
        <v>43831</v>
      </c>
      <c r="G505">
        <v>661</v>
      </c>
      <c r="H505" t="s">
        <v>57</v>
      </c>
    </row>
    <row r="506" spans="1:8" x14ac:dyDescent="0.3">
      <c r="A506">
        <v>46</v>
      </c>
      <c r="B506" s="5">
        <v>43876</v>
      </c>
      <c r="C506" t="s">
        <v>11</v>
      </c>
      <c r="D506">
        <v>104</v>
      </c>
      <c r="E506">
        <v>418</v>
      </c>
      <c r="F506" s="5">
        <v>43862</v>
      </c>
      <c r="G506">
        <v>-104</v>
      </c>
      <c r="H506" t="s">
        <v>57</v>
      </c>
    </row>
    <row r="507" spans="1:8" x14ac:dyDescent="0.3">
      <c r="A507">
        <v>46</v>
      </c>
      <c r="B507" s="5">
        <v>43877</v>
      </c>
      <c r="C507" t="s">
        <v>10</v>
      </c>
      <c r="D507">
        <v>970</v>
      </c>
      <c r="E507">
        <v>1388</v>
      </c>
      <c r="F507" s="5">
        <v>43862</v>
      </c>
      <c r="G507">
        <v>970</v>
      </c>
      <c r="H507" t="s">
        <v>57</v>
      </c>
    </row>
    <row r="508" spans="1:8" x14ac:dyDescent="0.3">
      <c r="A508">
        <v>46</v>
      </c>
      <c r="B508" s="5">
        <v>43893</v>
      </c>
      <c r="C508" t="s">
        <v>10</v>
      </c>
      <c r="D508">
        <v>101</v>
      </c>
      <c r="E508">
        <v>1489</v>
      </c>
      <c r="F508" s="5">
        <v>43891</v>
      </c>
      <c r="G508">
        <v>101</v>
      </c>
      <c r="H508" t="s">
        <v>57</v>
      </c>
    </row>
    <row r="509" spans="1:8" x14ac:dyDescent="0.3">
      <c r="A509">
        <v>46</v>
      </c>
      <c r="B509" s="5">
        <v>43894</v>
      </c>
      <c r="C509" t="s">
        <v>11</v>
      </c>
      <c r="D509">
        <v>294</v>
      </c>
      <c r="E509">
        <v>1195</v>
      </c>
      <c r="F509" s="5">
        <v>43891</v>
      </c>
      <c r="G509">
        <v>-294</v>
      </c>
      <c r="H509" t="s">
        <v>57</v>
      </c>
    </row>
    <row r="510" spans="1:8" x14ac:dyDescent="0.3">
      <c r="A510">
        <v>46</v>
      </c>
      <c r="B510" s="5">
        <v>43904</v>
      </c>
      <c r="C510" t="s">
        <v>11</v>
      </c>
      <c r="D510">
        <v>574</v>
      </c>
      <c r="E510">
        <v>621</v>
      </c>
      <c r="F510" s="5">
        <v>43891</v>
      </c>
      <c r="G510">
        <v>-574</v>
      </c>
      <c r="H510" t="s">
        <v>57</v>
      </c>
    </row>
    <row r="511" spans="1:8" x14ac:dyDescent="0.3">
      <c r="A511">
        <v>46</v>
      </c>
      <c r="B511" s="5">
        <v>43913</v>
      </c>
      <c r="C511" t="s">
        <v>12</v>
      </c>
      <c r="D511">
        <v>541</v>
      </c>
      <c r="E511">
        <v>80</v>
      </c>
      <c r="F511" s="5">
        <v>43891</v>
      </c>
      <c r="G511">
        <v>-541</v>
      </c>
      <c r="H511" t="s">
        <v>57</v>
      </c>
    </row>
    <row r="512" spans="1:8" x14ac:dyDescent="0.3">
      <c r="A512">
        <v>46</v>
      </c>
      <c r="B512" s="5">
        <v>43922</v>
      </c>
      <c r="C512" t="s">
        <v>11</v>
      </c>
      <c r="D512">
        <v>885</v>
      </c>
      <c r="E512">
        <v>-805</v>
      </c>
      <c r="F512" s="5">
        <v>43922</v>
      </c>
      <c r="G512">
        <v>-885</v>
      </c>
      <c r="H512" t="s">
        <v>58</v>
      </c>
    </row>
    <row r="513" spans="1:8" x14ac:dyDescent="0.3">
      <c r="A513">
        <v>46</v>
      </c>
      <c r="B513" s="5">
        <v>43924</v>
      </c>
      <c r="C513" t="s">
        <v>10</v>
      </c>
      <c r="D513">
        <v>631</v>
      </c>
      <c r="E513">
        <v>-174</v>
      </c>
      <c r="F513" s="5">
        <v>43922</v>
      </c>
      <c r="G513">
        <v>631</v>
      </c>
      <c r="H513" t="s">
        <v>58</v>
      </c>
    </row>
    <row r="514" spans="1:8" x14ac:dyDescent="0.3">
      <c r="A514">
        <v>46</v>
      </c>
      <c r="B514" s="5">
        <v>43935</v>
      </c>
      <c r="C514" t="s">
        <v>11</v>
      </c>
      <c r="D514">
        <v>152</v>
      </c>
      <c r="E514">
        <v>-326</v>
      </c>
      <c r="F514" s="5">
        <v>43922</v>
      </c>
      <c r="G514">
        <v>-152</v>
      </c>
      <c r="H514" t="s">
        <v>58</v>
      </c>
    </row>
    <row r="515" spans="1:8" x14ac:dyDescent="0.3">
      <c r="A515">
        <v>46</v>
      </c>
      <c r="B515" s="5">
        <v>43941</v>
      </c>
      <c r="C515" t="s">
        <v>10</v>
      </c>
      <c r="D515">
        <v>430</v>
      </c>
      <c r="E515">
        <v>104</v>
      </c>
      <c r="F515" s="5">
        <v>43922</v>
      </c>
      <c r="G515">
        <v>430</v>
      </c>
      <c r="H515" t="s">
        <v>57</v>
      </c>
    </row>
    <row r="516" spans="1:8" x14ac:dyDescent="0.3">
      <c r="A516">
        <v>47</v>
      </c>
      <c r="B516" s="5">
        <v>43852</v>
      </c>
      <c r="C516" t="s">
        <v>10</v>
      </c>
      <c r="D516">
        <v>203</v>
      </c>
      <c r="E516">
        <v>203</v>
      </c>
      <c r="F516" s="5">
        <v>43831</v>
      </c>
      <c r="G516">
        <v>203</v>
      </c>
      <c r="H516" t="s">
        <v>57</v>
      </c>
    </row>
    <row r="517" spans="1:8" x14ac:dyDescent="0.3">
      <c r="A517">
        <v>47</v>
      </c>
      <c r="B517" s="5">
        <v>43852</v>
      </c>
      <c r="C517" t="s">
        <v>11</v>
      </c>
      <c r="D517">
        <v>447</v>
      </c>
      <c r="E517">
        <v>-244</v>
      </c>
      <c r="F517" s="5">
        <v>43831</v>
      </c>
      <c r="G517">
        <v>-447</v>
      </c>
      <c r="H517" t="s">
        <v>58</v>
      </c>
    </row>
    <row r="518" spans="1:8" x14ac:dyDescent="0.3">
      <c r="A518">
        <v>47</v>
      </c>
      <c r="B518" s="5">
        <v>43856</v>
      </c>
      <c r="C518" t="s">
        <v>12</v>
      </c>
      <c r="D518">
        <v>554</v>
      </c>
      <c r="E518">
        <v>-798</v>
      </c>
      <c r="F518" s="5">
        <v>43831</v>
      </c>
      <c r="G518">
        <v>-554</v>
      </c>
      <c r="H518" t="s">
        <v>58</v>
      </c>
    </row>
    <row r="519" spans="1:8" x14ac:dyDescent="0.3">
      <c r="A519">
        <v>47</v>
      </c>
      <c r="B519" s="5">
        <v>43861</v>
      </c>
      <c r="C519" t="s">
        <v>12</v>
      </c>
      <c r="D519">
        <v>822</v>
      </c>
      <c r="E519">
        <v>-1620</v>
      </c>
      <c r="F519" s="5">
        <v>43831</v>
      </c>
      <c r="G519">
        <v>-822</v>
      </c>
      <c r="H519" t="s">
        <v>58</v>
      </c>
    </row>
    <row r="520" spans="1:8" x14ac:dyDescent="0.3">
      <c r="A520">
        <v>47</v>
      </c>
      <c r="B520" s="5">
        <v>43861</v>
      </c>
      <c r="C520" t="s">
        <v>10</v>
      </c>
      <c r="D520">
        <v>467</v>
      </c>
      <c r="E520">
        <v>-1153</v>
      </c>
      <c r="F520" s="5">
        <v>43831</v>
      </c>
      <c r="G520">
        <v>467</v>
      </c>
      <c r="H520" t="s">
        <v>58</v>
      </c>
    </row>
    <row r="521" spans="1:8" x14ac:dyDescent="0.3">
      <c r="A521">
        <v>47</v>
      </c>
      <c r="B521" s="5">
        <v>43864</v>
      </c>
      <c r="C521" t="s">
        <v>11</v>
      </c>
      <c r="D521">
        <v>35</v>
      </c>
      <c r="E521">
        <v>-1188</v>
      </c>
      <c r="F521" s="5">
        <v>43862</v>
      </c>
      <c r="G521">
        <v>-35</v>
      </c>
      <c r="H521" t="s">
        <v>58</v>
      </c>
    </row>
    <row r="522" spans="1:8" x14ac:dyDescent="0.3">
      <c r="A522">
        <v>47</v>
      </c>
      <c r="B522" s="5">
        <v>43865</v>
      </c>
      <c r="C522" t="s">
        <v>12</v>
      </c>
      <c r="D522">
        <v>647</v>
      </c>
      <c r="E522">
        <v>-1835</v>
      </c>
      <c r="F522" s="5">
        <v>43862</v>
      </c>
      <c r="G522">
        <v>-647</v>
      </c>
      <c r="H522" t="s">
        <v>58</v>
      </c>
    </row>
    <row r="523" spans="1:8" x14ac:dyDescent="0.3">
      <c r="A523">
        <v>47</v>
      </c>
      <c r="B523" s="5">
        <v>43873</v>
      </c>
      <c r="C523" t="s">
        <v>10</v>
      </c>
      <c r="D523">
        <v>496</v>
      </c>
      <c r="E523">
        <v>-1339</v>
      </c>
      <c r="F523" s="5">
        <v>43862</v>
      </c>
      <c r="G523">
        <v>496</v>
      </c>
      <c r="H523" t="s">
        <v>58</v>
      </c>
    </row>
    <row r="524" spans="1:8" x14ac:dyDescent="0.3">
      <c r="A524">
        <v>47</v>
      </c>
      <c r="B524" s="5">
        <v>43875</v>
      </c>
      <c r="C524" t="s">
        <v>10</v>
      </c>
      <c r="D524">
        <v>307</v>
      </c>
      <c r="E524">
        <v>-1032</v>
      </c>
      <c r="F524" s="5">
        <v>43862</v>
      </c>
      <c r="G524">
        <v>307</v>
      </c>
      <c r="H524" t="s">
        <v>58</v>
      </c>
    </row>
    <row r="525" spans="1:8" x14ac:dyDescent="0.3">
      <c r="A525">
        <v>47</v>
      </c>
      <c r="B525" s="5">
        <v>43875</v>
      </c>
      <c r="C525" t="s">
        <v>11</v>
      </c>
      <c r="D525">
        <v>532</v>
      </c>
      <c r="E525">
        <v>-1564</v>
      </c>
      <c r="F525" s="5">
        <v>43862</v>
      </c>
      <c r="G525">
        <v>-532</v>
      </c>
      <c r="H525" t="s">
        <v>58</v>
      </c>
    </row>
    <row r="526" spans="1:8" x14ac:dyDescent="0.3">
      <c r="A526">
        <v>47</v>
      </c>
      <c r="B526" s="5">
        <v>43887</v>
      </c>
      <c r="C526" t="s">
        <v>10</v>
      </c>
      <c r="D526">
        <v>281</v>
      </c>
      <c r="E526">
        <v>-1283</v>
      </c>
      <c r="F526" s="5">
        <v>43862</v>
      </c>
      <c r="G526">
        <v>281</v>
      </c>
      <c r="H526" t="s">
        <v>58</v>
      </c>
    </row>
    <row r="527" spans="1:8" x14ac:dyDescent="0.3">
      <c r="A527">
        <v>47</v>
      </c>
      <c r="B527" s="5">
        <v>43895</v>
      </c>
      <c r="C527" t="s">
        <v>11</v>
      </c>
      <c r="D527">
        <v>466</v>
      </c>
      <c r="E527">
        <v>-1749</v>
      </c>
      <c r="F527" s="5">
        <v>43891</v>
      </c>
      <c r="G527">
        <v>-466</v>
      </c>
      <c r="H527" t="s">
        <v>58</v>
      </c>
    </row>
    <row r="528" spans="1:8" x14ac:dyDescent="0.3">
      <c r="A528">
        <v>47</v>
      </c>
      <c r="B528" s="5">
        <v>43905</v>
      </c>
      <c r="C528" t="s">
        <v>12</v>
      </c>
      <c r="D528">
        <v>707</v>
      </c>
      <c r="E528">
        <v>-2456</v>
      </c>
      <c r="F528" s="5">
        <v>43891</v>
      </c>
      <c r="G528">
        <v>-707</v>
      </c>
      <c r="H528" t="s">
        <v>58</v>
      </c>
    </row>
    <row r="529" spans="1:8" x14ac:dyDescent="0.3">
      <c r="A529">
        <v>47</v>
      </c>
      <c r="B529" s="5">
        <v>43916</v>
      </c>
      <c r="C529" t="s">
        <v>12</v>
      </c>
      <c r="D529">
        <v>275</v>
      </c>
      <c r="E529">
        <v>-2731</v>
      </c>
      <c r="F529" s="5">
        <v>43891</v>
      </c>
      <c r="G529">
        <v>-275</v>
      </c>
      <c r="H529" t="s">
        <v>58</v>
      </c>
    </row>
    <row r="530" spans="1:8" x14ac:dyDescent="0.3">
      <c r="A530">
        <v>47</v>
      </c>
      <c r="B530" s="5">
        <v>43918</v>
      </c>
      <c r="C530" t="s">
        <v>10</v>
      </c>
      <c r="D530">
        <v>867</v>
      </c>
      <c r="E530">
        <v>-1864</v>
      </c>
      <c r="F530" s="5">
        <v>43891</v>
      </c>
      <c r="G530">
        <v>867</v>
      </c>
      <c r="H530" t="s">
        <v>58</v>
      </c>
    </row>
    <row r="531" spans="1:8" x14ac:dyDescent="0.3">
      <c r="A531">
        <v>47</v>
      </c>
      <c r="B531" s="5">
        <v>43921</v>
      </c>
      <c r="C531" t="s">
        <v>12</v>
      </c>
      <c r="D531">
        <v>998</v>
      </c>
      <c r="E531">
        <v>-2862</v>
      </c>
      <c r="F531" s="5">
        <v>43891</v>
      </c>
      <c r="G531">
        <v>-998</v>
      </c>
      <c r="H531" t="s">
        <v>58</v>
      </c>
    </row>
    <row r="532" spans="1:8" x14ac:dyDescent="0.3">
      <c r="A532">
        <v>47</v>
      </c>
      <c r="B532" s="5">
        <v>43929</v>
      </c>
      <c r="C532" t="s">
        <v>11</v>
      </c>
      <c r="D532">
        <v>307</v>
      </c>
      <c r="E532">
        <v>-3169</v>
      </c>
      <c r="F532" s="5">
        <v>43922</v>
      </c>
      <c r="G532">
        <v>-307</v>
      </c>
      <c r="H532" t="s">
        <v>58</v>
      </c>
    </row>
    <row r="533" spans="1:8" x14ac:dyDescent="0.3">
      <c r="A533">
        <v>48</v>
      </c>
      <c r="B533" s="5">
        <v>43831</v>
      </c>
      <c r="C533" t="s">
        <v>10</v>
      </c>
      <c r="D533">
        <v>427</v>
      </c>
      <c r="E533">
        <v>427</v>
      </c>
      <c r="F533" s="5">
        <v>43831</v>
      </c>
      <c r="G533">
        <v>427</v>
      </c>
      <c r="H533" t="s">
        <v>57</v>
      </c>
    </row>
    <row r="534" spans="1:8" x14ac:dyDescent="0.3">
      <c r="A534">
        <v>48</v>
      </c>
      <c r="B534" s="5">
        <v>43839</v>
      </c>
      <c r="C534" t="s">
        <v>12</v>
      </c>
      <c r="D534">
        <v>784</v>
      </c>
      <c r="E534">
        <v>-357</v>
      </c>
      <c r="F534" s="5">
        <v>43831</v>
      </c>
      <c r="G534">
        <v>-784</v>
      </c>
      <c r="H534" t="s">
        <v>58</v>
      </c>
    </row>
    <row r="535" spans="1:8" x14ac:dyDescent="0.3">
      <c r="A535">
        <v>48</v>
      </c>
      <c r="B535" s="5">
        <v>43844</v>
      </c>
      <c r="C535" t="s">
        <v>11</v>
      </c>
      <c r="D535">
        <v>144</v>
      </c>
      <c r="E535">
        <v>-501</v>
      </c>
      <c r="F535" s="5">
        <v>43831</v>
      </c>
      <c r="G535">
        <v>-144</v>
      </c>
      <c r="H535" t="s">
        <v>58</v>
      </c>
    </row>
    <row r="536" spans="1:8" x14ac:dyDescent="0.3">
      <c r="A536">
        <v>48</v>
      </c>
      <c r="B536" s="5">
        <v>43844</v>
      </c>
      <c r="C536" t="s">
        <v>11</v>
      </c>
      <c r="D536">
        <v>534</v>
      </c>
      <c r="E536">
        <v>-1035</v>
      </c>
      <c r="F536" s="5">
        <v>43831</v>
      </c>
      <c r="G536">
        <v>-534</v>
      </c>
      <c r="H536" t="s">
        <v>58</v>
      </c>
    </row>
    <row r="537" spans="1:8" x14ac:dyDescent="0.3">
      <c r="A537">
        <v>48</v>
      </c>
      <c r="B537" s="5">
        <v>43853</v>
      </c>
      <c r="C537" t="s">
        <v>11</v>
      </c>
      <c r="D537">
        <v>339</v>
      </c>
      <c r="E537">
        <v>-1374</v>
      </c>
      <c r="F537" s="5">
        <v>43831</v>
      </c>
      <c r="G537">
        <v>-339</v>
      </c>
      <c r="H537" t="s">
        <v>58</v>
      </c>
    </row>
    <row r="538" spans="1:8" x14ac:dyDescent="0.3">
      <c r="A538">
        <v>48</v>
      </c>
      <c r="B538" s="5">
        <v>43853</v>
      </c>
      <c r="C538" t="s">
        <v>12</v>
      </c>
      <c r="D538">
        <v>955</v>
      </c>
      <c r="E538">
        <v>-2329</v>
      </c>
      <c r="F538" s="5">
        <v>43831</v>
      </c>
      <c r="G538">
        <v>-955</v>
      </c>
      <c r="H538" t="s">
        <v>58</v>
      </c>
    </row>
    <row r="539" spans="1:8" x14ac:dyDescent="0.3">
      <c r="A539">
        <v>48</v>
      </c>
      <c r="B539" s="5">
        <v>43853</v>
      </c>
      <c r="C539" t="s">
        <v>12</v>
      </c>
      <c r="D539">
        <v>440</v>
      </c>
      <c r="E539">
        <v>-2769</v>
      </c>
      <c r="F539" s="5">
        <v>43831</v>
      </c>
      <c r="G539">
        <v>-440</v>
      </c>
      <c r="H539" t="s">
        <v>58</v>
      </c>
    </row>
    <row r="540" spans="1:8" x14ac:dyDescent="0.3">
      <c r="A540">
        <v>48</v>
      </c>
      <c r="B540" s="5">
        <v>43855</v>
      </c>
      <c r="C540" t="s">
        <v>12</v>
      </c>
      <c r="D540">
        <v>236</v>
      </c>
      <c r="E540">
        <v>-3005</v>
      </c>
      <c r="F540" s="5">
        <v>43831</v>
      </c>
      <c r="G540">
        <v>-236</v>
      </c>
      <c r="H540" t="s">
        <v>58</v>
      </c>
    </row>
    <row r="541" spans="1:8" x14ac:dyDescent="0.3">
      <c r="A541">
        <v>48</v>
      </c>
      <c r="B541" s="5">
        <v>43857</v>
      </c>
      <c r="C541" t="s">
        <v>10</v>
      </c>
      <c r="D541">
        <v>166</v>
      </c>
      <c r="E541">
        <v>-2839</v>
      </c>
      <c r="F541" s="5">
        <v>43831</v>
      </c>
      <c r="G541">
        <v>166</v>
      </c>
      <c r="H541" t="s">
        <v>58</v>
      </c>
    </row>
    <row r="542" spans="1:8" x14ac:dyDescent="0.3">
      <c r="A542">
        <v>48</v>
      </c>
      <c r="B542" s="5">
        <v>43859</v>
      </c>
      <c r="C542" t="s">
        <v>10</v>
      </c>
      <c r="D542">
        <v>471</v>
      </c>
      <c r="E542">
        <v>-2368</v>
      </c>
      <c r="F542" s="5">
        <v>43831</v>
      </c>
      <c r="G542">
        <v>471</v>
      </c>
      <c r="H542" t="s">
        <v>58</v>
      </c>
    </row>
    <row r="543" spans="1:8" x14ac:dyDescent="0.3">
      <c r="A543">
        <v>48</v>
      </c>
      <c r="B543" s="5">
        <v>43866</v>
      </c>
      <c r="C543" t="s">
        <v>11</v>
      </c>
      <c r="D543">
        <v>950</v>
      </c>
      <c r="E543">
        <v>-3318</v>
      </c>
      <c r="F543" s="5">
        <v>43862</v>
      </c>
      <c r="G543">
        <v>-950</v>
      </c>
      <c r="H543" t="s">
        <v>58</v>
      </c>
    </row>
    <row r="544" spans="1:8" x14ac:dyDescent="0.3">
      <c r="A544">
        <v>48</v>
      </c>
      <c r="B544" s="5">
        <v>43876</v>
      </c>
      <c r="C544" t="s">
        <v>12</v>
      </c>
      <c r="D544">
        <v>199</v>
      </c>
      <c r="E544">
        <v>-3517</v>
      </c>
      <c r="F544" s="5">
        <v>43862</v>
      </c>
      <c r="G544">
        <v>-199</v>
      </c>
      <c r="H544" t="s">
        <v>58</v>
      </c>
    </row>
    <row r="545" spans="1:8" x14ac:dyDescent="0.3">
      <c r="A545">
        <v>48</v>
      </c>
      <c r="B545" s="5">
        <v>43877</v>
      </c>
      <c r="C545" t="s">
        <v>11</v>
      </c>
      <c r="D545">
        <v>84</v>
      </c>
      <c r="E545">
        <v>-3601</v>
      </c>
      <c r="F545" s="5">
        <v>43862</v>
      </c>
      <c r="G545">
        <v>-84</v>
      </c>
      <c r="H545" t="s">
        <v>58</v>
      </c>
    </row>
    <row r="546" spans="1:8" x14ac:dyDescent="0.3">
      <c r="A546">
        <v>48</v>
      </c>
      <c r="B546" s="5">
        <v>43878</v>
      </c>
      <c r="C546" t="s">
        <v>12</v>
      </c>
      <c r="D546">
        <v>38</v>
      </c>
      <c r="E546">
        <v>-3639</v>
      </c>
      <c r="F546" s="5">
        <v>43862</v>
      </c>
      <c r="G546">
        <v>-38</v>
      </c>
      <c r="H546" t="s">
        <v>58</v>
      </c>
    </row>
    <row r="547" spans="1:8" x14ac:dyDescent="0.3">
      <c r="A547">
        <v>48</v>
      </c>
      <c r="B547" s="5">
        <v>43884</v>
      </c>
      <c r="C547" t="s">
        <v>10</v>
      </c>
      <c r="D547">
        <v>856</v>
      </c>
      <c r="E547">
        <v>-2783</v>
      </c>
      <c r="F547" s="5">
        <v>43862</v>
      </c>
      <c r="G547">
        <v>856</v>
      </c>
      <c r="H547" t="s">
        <v>58</v>
      </c>
    </row>
    <row r="548" spans="1:8" x14ac:dyDescent="0.3">
      <c r="A548">
        <v>48</v>
      </c>
      <c r="B548" s="5">
        <v>43890</v>
      </c>
      <c r="C548" t="s">
        <v>12</v>
      </c>
      <c r="D548">
        <v>189</v>
      </c>
      <c r="E548">
        <v>-2972</v>
      </c>
      <c r="F548" s="5">
        <v>43862</v>
      </c>
      <c r="G548">
        <v>-189</v>
      </c>
      <c r="H548" t="s">
        <v>58</v>
      </c>
    </row>
    <row r="549" spans="1:8" x14ac:dyDescent="0.3">
      <c r="A549">
        <v>48</v>
      </c>
      <c r="B549" s="5">
        <v>43897</v>
      </c>
      <c r="C549" t="s">
        <v>11</v>
      </c>
      <c r="D549">
        <v>600</v>
      </c>
      <c r="E549">
        <v>-3572</v>
      </c>
      <c r="F549" s="5">
        <v>43891</v>
      </c>
      <c r="G549">
        <v>-600</v>
      </c>
      <c r="H549" t="s">
        <v>58</v>
      </c>
    </row>
    <row r="550" spans="1:8" x14ac:dyDescent="0.3">
      <c r="A550">
        <v>48</v>
      </c>
      <c r="B550" s="5">
        <v>43907</v>
      </c>
      <c r="C550" t="s">
        <v>10</v>
      </c>
      <c r="D550">
        <v>472</v>
      </c>
      <c r="E550">
        <v>-3100</v>
      </c>
      <c r="F550" s="5">
        <v>43891</v>
      </c>
      <c r="G550">
        <v>472</v>
      </c>
      <c r="H550" t="s">
        <v>58</v>
      </c>
    </row>
    <row r="551" spans="1:8" x14ac:dyDescent="0.3">
      <c r="A551">
        <v>48</v>
      </c>
      <c r="B551" s="5">
        <v>43916</v>
      </c>
      <c r="C551" t="s">
        <v>11</v>
      </c>
      <c r="D551">
        <v>645</v>
      </c>
      <c r="E551">
        <v>-3745</v>
      </c>
      <c r="F551" s="5">
        <v>43891</v>
      </c>
      <c r="G551">
        <v>-645</v>
      </c>
      <c r="H551" t="s">
        <v>58</v>
      </c>
    </row>
    <row r="552" spans="1:8" x14ac:dyDescent="0.3">
      <c r="A552">
        <v>49</v>
      </c>
      <c r="B552" s="5">
        <v>43834</v>
      </c>
      <c r="C552" t="s">
        <v>10</v>
      </c>
      <c r="D552">
        <v>432</v>
      </c>
      <c r="E552">
        <v>432</v>
      </c>
      <c r="F552" s="5">
        <v>43831</v>
      </c>
      <c r="G552">
        <v>432</v>
      </c>
      <c r="H552" t="s">
        <v>57</v>
      </c>
    </row>
    <row r="553" spans="1:8" x14ac:dyDescent="0.3">
      <c r="A553">
        <v>49</v>
      </c>
      <c r="B553" s="5">
        <v>43845</v>
      </c>
      <c r="C553" t="s">
        <v>11</v>
      </c>
      <c r="D553">
        <v>127</v>
      </c>
      <c r="E553">
        <v>305</v>
      </c>
      <c r="F553" s="5">
        <v>43831</v>
      </c>
      <c r="G553">
        <v>-127</v>
      </c>
      <c r="H553" t="s">
        <v>57</v>
      </c>
    </row>
    <row r="554" spans="1:8" x14ac:dyDescent="0.3">
      <c r="A554">
        <v>49</v>
      </c>
      <c r="B554" s="5">
        <v>43849</v>
      </c>
      <c r="C554" t="s">
        <v>12</v>
      </c>
      <c r="D554">
        <v>712</v>
      </c>
      <c r="E554">
        <v>-407</v>
      </c>
      <c r="F554" s="5">
        <v>43831</v>
      </c>
      <c r="G554">
        <v>-712</v>
      </c>
      <c r="H554" t="s">
        <v>58</v>
      </c>
    </row>
    <row r="555" spans="1:8" x14ac:dyDescent="0.3">
      <c r="A555">
        <v>49</v>
      </c>
      <c r="B555" s="5">
        <v>43855</v>
      </c>
      <c r="C555" t="s">
        <v>10</v>
      </c>
      <c r="D555">
        <v>541</v>
      </c>
      <c r="E555">
        <v>134</v>
      </c>
      <c r="F555" s="5">
        <v>43831</v>
      </c>
      <c r="G555">
        <v>541</v>
      </c>
      <c r="H555" t="s">
        <v>57</v>
      </c>
    </row>
    <row r="556" spans="1:8" x14ac:dyDescent="0.3">
      <c r="A556">
        <v>49</v>
      </c>
      <c r="B556" s="5">
        <v>43857</v>
      </c>
      <c r="C556" t="s">
        <v>12</v>
      </c>
      <c r="D556">
        <v>531</v>
      </c>
      <c r="E556">
        <v>-397</v>
      </c>
      <c r="F556" s="5">
        <v>43831</v>
      </c>
      <c r="G556">
        <v>-531</v>
      </c>
      <c r="H556" t="s">
        <v>58</v>
      </c>
    </row>
    <row r="557" spans="1:8" x14ac:dyDescent="0.3">
      <c r="A557">
        <v>49</v>
      </c>
      <c r="B557" s="5">
        <v>43872</v>
      </c>
      <c r="C557" t="s">
        <v>12</v>
      </c>
      <c r="D557">
        <v>790</v>
      </c>
      <c r="E557">
        <v>-1187</v>
      </c>
      <c r="F557" s="5">
        <v>43862</v>
      </c>
      <c r="G557">
        <v>-790</v>
      </c>
      <c r="H557" t="s">
        <v>58</v>
      </c>
    </row>
    <row r="558" spans="1:8" x14ac:dyDescent="0.3">
      <c r="A558">
        <v>49</v>
      </c>
      <c r="B558" s="5">
        <v>43885</v>
      </c>
      <c r="C558" t="s">
        <v>10</v>
      </c>
      <c r="D558">
        <v>83</v>
      </c>
      <c r="E558">
        <v>-1104</v>
      </c>
      <c r="F558" s="5">
        <v>43862</v>
      </c>
      <c r="G558">
        <v>83</v>
      </c>
      <c r="H558" t="s">
        <v>58</v>
      </c>
    </row>
    <row r="559" spans="1:8" x14ac:dyDescent="0.3">
      <c r="A559">
        <v>49</v>
      </c>
      <c r="B559" s="5">
        <v>43889</v>
      </c>
      <c r="C559" t="s">
        <v>10</v>
      </c>
      <c r="D559">
        <v>510</v>
      </c>
      <c r="E559">
        <v>-594</v>
      </c>
      <c r="F559" s="5">
        <v>43862</v>
      </c>
      <c r="G559">
        <v>510</v>
      </c>
      <c r="H559" t="s">
        <v>58</v>
      </c>
    </row>
    <row r="560" spans="1:8" x14ac:dyDescent="0.3">
      <c r="A560">
        <v>49</v>
      </c>
      <c r="B560" s="5">
        <v>43892</v>
      </c>
      <c r="C560" t="s">
        <v>10</v>
      </c>
      <c r="D560">
        <v>295</v>
      </c>
      <c r="E560">
        <v>-299</v>
      </c>
      <c r="F560" s="5">
        <v>43891</v>
      </c>
      <c r="G560">
        <v>295</v>
      </c>
      <c r="H560" t="s">
        <v>58</v>
      </c>
    </row>
    <row r="561" spans="1:8" x14ac:dyDescent="0.3">
      <c r="A561">
        <v>49</v>
      </c>
      <c r="B561" s="5">
        <v>43892</v>
      </c>
      <c r="C561" t="s">
        <v>12</v>
      </c>
      <c r="D561">
        <v>681</v>
      </c>
      <c r="E561">
        <v>-980</v>
      </c>
      <c r="F561" s="5">
        <v>43891</v>
      </c>
      <c r="G561">
        <v>-681</v>
      </c>
      <c r="H561" t="s">
        <v>58</v>
      </c>
    </row>
    <row r="562" spans="1:8" x14ac:dyDescent="0.3">
      <c r="A562">
        <v>49</v>
      </c>
      <c r="B562" s="5">
        <v>43894</v>
      </c>
      <c r="C562" t="s">
        <v>10</v>
      </c>
      <c r="D562">
        <v>699</v>
      </c>
      <c r="E562">
        <v>-281</v>
      </c>
      <c r="F562" s="5">
        <v>43891</v>
      </c>
      <c r="G562">
        <v>699</v>
      </c>
      <c r="H562" t="s">
        <v>58</v>
      </c>
    </row>
    <row r="563" spans="1:8" x14ac:dyDescent="0.3">
      <c r="A563">
        <v>49</v>
      </c>
      <c r="B563" s="5">
        <v>43895</v>
      </c>
      <c r="C563" t="s">
        <v>11</v>
      </c>
      <c r="D563">
        <v>806</v>
      </c>
      <c r="E563">
        <v>-1087</v>
      </c>
      <c r="F563" s="5">
        <v>43891</v>
      </c>
      <c r="G563">
        <v>-806</v>
      </c>
      <c r="H563" t="s">
        <v>58</v>
      </c>
    </row>
    <row r="564" spans="1:8" x14ac:dyDescent="0.3">
      <c r="A564">
        <v>49</v>
      </c>
      <c r="B564" s="5">
        <v>43904</v>
      </c>
      <c r="C564" t="s">
        <v>10</v>
      </c>
      <c r="D564">
        <v>366</v>
      </c>
      <c r="E564">
        <v>-721</v>
      </c>
      <c r="F564" s="5">
        <v>43891</v>
      </c>
      <c r="G564">
        <v>366</v>
      </c>
      <c r="H564" t="s">
        <v>58</v>
      </c>
    </row>
    <row r="565" spans="1:8" x14ac:dyDescent="0.3">
      <c r="A565">
        <v>49</v>
      </c>
      <c r="B565" s="5">
        <v>43910</v>
      </c>
      <c r="C565" t="s">
        <v>11</v>
      </c>
      <c r="D565">
        <v>85</v>
      </c>
      <c r="E565">
        <v>-806</v>
      </c>
      <c r="F565" s="5">
        <v>43891</v>
      </c>
      <c r="G565">
        <v>-85</v>
      </c>
      <c r="H565" t="s">
        <v>58</v>
      </c>
    </row>
    <row r="566" spans="1:8" x14ac:dyDescent="0.3">
      <c r="A566">
        <v>49</v>
      </c>
      <c r="B566" s="5">
        <v>43911</v>
      </c>
      <c r="C566" t="s">
        <v>11</v>
      </c>
      <c r="D566">
        <v>521</v>
      </c>
      <c r="E566">
        <v>-1327</v>
      </c>
      <c r="F566" s="5">
        <v>43891</v>
      </c>
      <c r="G566">
        <v>-521</v>
      </c>
      <c r="H566" t="s">
        <v>58</v>
      </c>
    </row>
    <row r="567" spans="1:8" x14ac:dyDescent="0.3">
      <c r="A567">
        <v>49</v>
      </c>
      <c r="B567" s="5">
        <v>43913</v>
      </c>
      <c r="C567" t="s">
        <v>10</v>
      </c>
      <c r="D567">
        <v>760</v>
      </c>
      <c r="E567">
        <v>-567</v>
      </c>
      <c r="F567" s="5">
        <v>43891</v>
      </c>
      <c r="G567">
        <v>760</v>
      </c>
      <c r="H567" t="s">
        <v>58</v>
      </c>
    </row>
    <row r="568" spans="1:8" x14ac:dyDescent="0.3">
      <c r="A568">
        <v>49</v>
      </c>
      <c r="B568" s="5">
        <v>43915</v>
      </c>
      <c r="C568" t="s">
        <v>12</v>
      </c>
      <c r="D568">
        <v>736</v>
      </c>
      <c r="E568">
        <v>-1303</v>
      </c>
      <c r="F568" s="5">
        <v>43891</v>
      </c>
      <c r="G568">
        <v>-736</v>
      </c>
      <c r="H568" t="s">
        <v>58</v>
      </c>
    </row>
    <row r="569" spans="1:8" x14ac:dyDescent="0.3">
      <c r="A569">
        <v>49</v>
      </c>
      <c r="B569" s="5">
        <v>43917</v>
      </c>
      <c r="C569" t="s">
        <v>11</v>
      </c>
      <c r="D569">
        <v>644</v>
      </c>
      <c r="E569">
        <v>-1947</v>
      </c>
      <c r="F569" s="5">
        <v>43891</v>
      </c>
      <c r="G569">
        <v>-644</v>
      </c>
      <c r="H569" t="s">
        <v>58</v>
      </c>
    </row>
    <row r="570" spans="1:8" x14ac:dyDescent="0.3">
      <c r="A570">
        <v>49</v>
      </c>
      <c r="B570" s="5">
        <v>43920</v>
      </c>
      <c r="C570" t="s">
        <v>11</v>
      </c>
      <c r="D570">
        <v>609</v>
      </c>
      <c r="E570">
        <v>-2556</v>
      </c>
      <c r="F570" s="5">
        <v>43891</v>
      </c>
      <c r="G570">
        <v>-609</v>
      </c>
      <c r="H570" t="s">
        <v>58</v>
      </c>
    </row>
    <row r="571" spans="1:8" x14ac:dyDescent="0.3">
      <c r="A571">
        <v>50</v>
      </c>
      <c r="B571" s="5">
        <v>43859</v>
      </c>
      <c r="C571" t="s">
        <v>10</v>
      </c>
      <c r="D571">
        <v>899</v>
      </c>
      <c r="E571">
        <v>899</v>
      </c>
      <c r="F571" s="5">
        <v>43831</v>
      </c>
      <c r="G571">
        <v>899</v>
      </c>
      <c r="H571" t="s">
        <v>57</v>
      </c>
    </row>
    <row r="572" spans="1:8" x14ac:dyDescent="0.3">
      <c r="A572">
        <v>50</v>
      </c>
      <c r="B572" s="5">
        <v>43861</v>
      </c>
      <c r="C572" t="s">
        <v>10</v>
      </c>
      <c r="D572">
        <v>32</v>
      </c>
      <c r="E572">
        <v>931</v>
      </c>
      <c r="F572" s="5">
        <v>43831</v>
      </c>
      <c r="G572">
        <v>32</v>
      </c>
      <c r="H572" t="s">
        <v>57</v>
      </c>
    </row>
    <row r="573" spans="1:8" x14ac:dyDescent="0.3">
      <c r="A573">
        <v>50</v>
      </c>
      <c r="B573" s="5">
        <v>43863</v>
      </c>
      <c r="C573" t="s">
        <v>12</v>
      </c>
      <c r="D573">
        <v>774</v>
      </c>
      <c r="E573">
        <v>157</v>
      </c>
      <c r="F573" s="5">
        <v>43862</v>
      </c>
      <c r="G573">
        <v>-774</v>
      </c>
      <c r="H573" t="s">
        <v>57</v>
      </c>
    </row>
    <row r="574" spans="1:8" x14ac:dyDescent="0.3">
      <c r="A574">
        <v>50</v>
      </c>
      <c r="B574" s="5">
        <v>43869</v>
      </c>
      <c r="C574" t="s">
        <v>12</v>
      </c>
      <c r="D574">
        <v>870</v>
      </c>
      <c r="E574">
        <v>-713</v>
      </c>
      <c r="F574" s="5">
        <v>43862</v>
      </c>
      <c r="G574">
        <v>-870</v>
      </c>
      <c r="H574" t="s">
        <v>58</v>
      </c>
    </row>
    <row r="575" spans="1:8" x14ac:dyDescent="0.3">
      <c r="A575">
        <v>50</v>
      </c>
      <c r="B575" s="5">
        <v>43874</v>
      </c>
      <c r="C575" t="s">
        <v>10</v>
      </c>
      <c r="D575">
        <v>279</v>
      </c>
      <c r="E575">
        <v>-434</v>
      </c>
      <c r="F575" s="5">
        <v>43862</v>
      </c>
      <c r="G575">
        <v>279</v>
      </c>
      <c r="H575" t="s">
        <v>58</v>
      </c>
    </row>
    <row r="576" spans="1:8" x14ac:dyDescent="0.3">
      <c r="A576">
        <v>50</v>
      </c>
      <c r="B576" s="5">
        <v>43879</v>
      </c>
      <c r="C576" t="s">
        <v>11</v>
      </c>
      <c r="D576">
        <v>240</v>
      </c>
      <c r="E576">
        <v>-674</v>
      </c>
      <c r="F576" s="5">
        <v>43862</v>
      </c>
      <c r="G576">
        <v>-240</v>
      </c>
      <c r="H576" t="s">
        <v>58</v>
      </c>
    </row>
    <row r="577" spans="1:8" x14ac:dyDescent="0.3">
      <c r="A577">
        <v>50</v>
      </c>
      <c r="B577" s="5">
        <v>43891</v>
      </c>
      <c r="C577" t="s">
        <v>10</v>
      </c>
      <c r="D577">
        <v>249</v>
      </c>
      <c r="E577">
        <v>-425</v>
      </c>
      <c r="F577" s="5">
        <v>43891</v>
      </c>
      <c r="G577">
        <v>249</v>
      </c>
      <c r="H577" t="s">
        <v>58</v>
      </c>
    </row>
    <row r="578" spans="1:8" x14ac:dyDescent="0.3">
      <c r="A578">
        <v>50</v>
      </c>
      <c r="B578" s="5">
        <v>43900</v>
      </c>
      <c r="C578" t="s">
        <v>10</v>
      </c>
      <c r="D578">
        <v>640</v>
      </c>
      <c r="E578">
        <v>215</v>
      </c>
      <c r="F578" s="5">
        <v>43891</v>
      </c>
      <c r="G578">
        <v>640</v>
      </c>
      <c r="H578" t="s">
        <v>57</v>
      </c>
    </row>
    <row r="579" spans="1:8" x14ac:dyDescent="0.3">
      <c r="A579">
        <v>50</v>
      </c>
      <c r="B579" s="5">
        <v>43903</v>
      </c>
      <c r="C579" t="s">
        <v>11</v>
      </c>
      <c r="D579">
        <v>324</v>
      </c>
      <c r="E579">
        <v>-109</v>
      </c>
      <c r="F579" s="5">
        <v>43891</v>
      </c>
      <c r="G579">
        <v>-324</v>
      </c>
      <c r="H579" t="s">
        <v>58</v>
      </c>
    </row>
    <row r="580" spans="1:8" x14ac:dyDescent="0.3">
      <c r="A580">
        <v>50</v>
      </c>
      <c r="B580" s="5">
        <v>43910</v>
      </c>
      <c r="C580" t="s">
        <v>12</v>
      </c>
      <c r="D580">
        <v>21</v>
      </c>
      <c r="E580">
        <v>-130</v>
      </c>
      <c r="F580" s="5">
        <v>43891</v>
      </c>
      <c r="G580">
        <v>-21</v>
      </c>
      <c r="H580" t="s">
        <v>58</v>
      </c>
    </row>
    <row r="581" spans="1:8" x14ac:dyDescent="0.3">
      <c r="A581">
        <v>50</v>
      </c>
      <c r="B581" s="5">
        <v>43912</v>
      </c>
      <c r="C581" t="s">
        <v>10</v>
      </c>
      <c r="D581">
        <v>969</v>
      </c>
      <c r="E581">
        <v>839</v>
      </c>
      <c r="F581" s="5">
        <v>43891</v>
      </c>
      <c r="G581">
        <v>969</v>
      </c>
      <c r="H581" t="s">
        <v>57</v>
      </c>
    </row>
    <row r="582" spans="1:8" x14ac:dyDescent="0.3">
      <c r="A582">
        <v>50</v>
      </c>
      <c r="B582" s="5">
        <v>43914</v>
      </c>
      <c r="C582" t="s">
        <v>11</v>
      </c>
      <c r="D582">
        <v>564</v>
      </c>
      <c r="E582">
        <v>275</v>
      </c>
      <c r="F582" s="5">
        <v>43891</v>
      </c>
      <c r="G582">
        <v>-564</v>
      </c>
      <c r="H582" t="s">
        <v>57</v>
      </c>
    </row>
    <row r="583" spans="1:8" x14ac:dyDescent="0.3">
      <c r="A583">
        <v>50</v>
      </c>
      <c r="B583" s="5">
        <v>43935</v>
      </c>
      <c r="C583" t="s">
        <v>11</v>
      </c>
      <c r="D583">
        <v>60</v>
      </c>
      <c r="E583">
        <v>215</v>
      </c>
      <c r="F583" s="5">
        <v>43922</v>
      </c>
      <c r="G583">
        <v>-60</v>
      </c>
      <c r="H583" t="s">
        <v>57</v>
      </c>
    </row>
    <row r="584" spans="1:8" x14ac:dyDescent="0.3">
      <c r="A584">
        <v>50</v>
      </c>
      <c r="B584" s="5">
        <v>43945</v>
      </c>
      <c r="C584" t="s">
        <v>10</v>
      </c>
      <c r="D584">
        <v>235</v>
      </c>
      <c r="E584">
        <v>450</v>
      </c>
      <c r="F584" s="5">
        <v>43922</v>
      </c>
      <c r="G584">
        <v>235</v>
      </c>
      <c r="H584" t="s">
        <v>57</v>
      </c>
    </row>
    <row r="585" spans="1:8" x14ac:dyDescent="0.3">
      <c r="A585">
        <v>51</v>
      </c>
      <c r="B585" s="5">
        <v>43850</v>
      </c>
      <c r="C585" t="s">
        <v>10</v>
      </c>
      <c r="D585">
        <v>367</v>
      </c>
      <c r="E585">
        <v>367</v>
      </c>
      <c r="F585" s="5">
        <v>43831</v>
      </c>
      <c r="G585">
        <v>367</v>
      </c>
      <c r="H585" t="s">
        <v>57</v>
      </c>
    </row>
    <row r="586" spans="1:8" x14ac:dyDescent="0.3">
      <c r="A586">
        <v>51</v>
      </c>
      <c r="B586" s="5">
        <v>43855</v>
      </c>
      <c r="C586" t="s">
        <v>12</v>
      </c>
      <c r="D586">
        <v>66</v>
      </c>
      <c r="E586">
        <v>301</v>
      </c>
      <c r="F586" s="5">
        <v>43831</v>
      </c>
      <c r="G586">
        <v>-66</v>
      </c>
      <c r="H586" t="s">
        <v>57</v>
      </c>
    </row>
    <row r="587" spans="1:8" x14ac:dyDescent="0.3">
      <c r="A587">
        <v>51</v>
      </c>
      <c r="B587" s="5">
        <v>43862</v>
      </c>
      <c r="C587" t="s">
        <v>11</v>
      </c>
      <c r="D587">
        <v>905</v>
      </c>
      <c r="E587">
        <v>-604</v>
      </c>
      <c r="F587" s="5">
        <v>43862</v>
      </c>
      <c r="G587">
        <v>-905</v>
      </c>
      <c r="H587" t="s">
        <v>58</v>
      </c>
    </row>
    <row r="588" spans="1:8" x14ac:dyDescent="0.3">
      <c r="A588">
        <v>51</v>
      </c>
      <c r="B588" s="5">
        <v>43863</v>
      </c>
      <c r="C588" t="s">
        <v>11</v>
      </c>
      <c r="D588">
        <v>150</v>
      </c>
      <c r="E588">
        <v>-754</v>
      </c>
      <c r="F588" s="5">
        <v>43862</v>
      </c>
      <c r="G588">
        <v>-150</v>
      </c>
      <c r="H588" t="s">
        <v>58</v>
      </c>
    </row>
    <row r="589" spans="1:8" x14ac:dyDescent="0.3">
      <c r="A589">
        <v>51</v>
      </c>
      <c r="B589" s="5">
        <v>43883</v>
      </c>
      <c r="C589" t="s">
        <v>10</v>
      </c>
      <c r="D589">
        <v>49</v>
      </c>
      <c r="E589">
        <v>-705</v>
      </c>
      <c r="F589" s="5">
        <v>43862</v>
      </c>
      <c r="G589">
        <v>49</v>
      </c>
      <c r="H589" t="s">
        <v>58</v>
      </c>
    </row>
    <row r="590" spans="1:8" x14ac:dyDescent="0.3">
      <c r="A590">
        <v>51</v>
      </c>
      <c r="B590" s="5">
        <v>43890</v>
      </c>
      <c r="C590" t="s">
        <v>10</v>
      </c>
      <c r="D590">
        <v>608</v>
      </c>
      <c r="E590">
        <v>-97</v>
      </c>
      <c r="F590" s="5">
        <v>43862</v>
      </c>
      <c r="G590">
        <v>608</v>
      </c>
      <c r="H590" t="s">
        <v>58</v>
      </c>
    </row>
    <row r="591" spans="1:8" x14ac:dyDescent="0.3">
      <c r="A591">
        <v>51</v>
      </c>
      <c r="B591" s="5">
        <v>43909</v>
      </c>
      <c r="C591" t="s">
        <v>10</v>
      </c>
      <c r="D591">
        <v>707</v>
      </c>
      <c r="E591">
        <v>610</v>
      </c>
      <c r="F591" s="5">
        <v>43891</v>
      </c>
      <c r="G591">
        <v>707</v>
      </c>
      <c r="H591" t="s">
        <v>57</v>
      </c>
    </row>
    <row r="592" spans="1:8" x14ac:dyDescent="0.3">
      <c r="A592">
        <v>51</v>
      </c>
      <c r="B592" s="5">
        <v>43912</v>
      </c>
      <c r="C592" t="s">
        <v>10</v>
      </c>
      <c r="D592">
        <v>760</v>
      </c>
      <c r="E592">
        <v>1370</v>
      </c>
      <c r="F592" s="5">
        <v>43891</v>
      </c>
      <c r="G592">
        <v>760</v>
      </c>
      <c r="H592" t="s">
        <v>57</v>
      </c>
    </row>
    <row r="593" spans="1:8" x14ac:dyDescent="0.3">
      <c r="A593">
        <v>51</v>
      </c>
      <c r="B593" s="5">
        <v>43917</v>
      </c>
      <c r="C593" t="s">
        <v>11</v>
      </c>
      <c r="D593">
        <v>591</v>
      </c>
      <c r="E593">
        <v>779</v>
      </c>
      <c r="F593" s="5">
        <v>43891</v>
      </c>
      <c r="G593">
        <v>-591</v>
      </c>
      <c r="H593" t="s">
        <v>57</v>
      </c>
    </row>
    <row r="594" spans="1:8" x14ac:dyDescent="0.3">
      <c r="A594">
        <v>51</v>
      </c>
      <c r="B594" s="5">
        <v>43933</v>
      </c>
      <c r="C594" t="s">
        <v>10</v>
      </c>
      <c r="D594">
        <v>72</v>
      </c>
      <c r="E594">
        <v>851</v>
      </c>
      <c r="F594" s="5">
        <v>43922</v>
      </c>
      <c r="G594">
        <v>72</v>
      </c>
      <c r="H594" t="s">
        <v>57</v>
      </c>
    </row>
    <row r="595" spans="1:8" x14ac:dyDescent="0.3">
      <c r="A595">
        <v>51</v>
      </c>
      <c r="B595" s="5">
        <v>43937</v>
      </c>
      <c r="C595" t="s">
        <v>10</v>
      </c>
      <c r="D595">
        <v>513</v>
      </c>
      <c r="E595">
        <v>1364</v>
      </c>
      <c r="F595" s="5">
        <v>43922</v>
      </c>
      <c r="G595">
        <v>513</v>
      </c>
      <c r="H595" t="s">
        <v>57</v>
      </c>
    </row>
    <row r="596" spans="1:8" x14ac:dyDescent="0.3">
      <c r="A596">
        <v>52</v>
      </c>
      <c r="B596" s="5">
        <v>43842</v>
      </c>
      <c r="C596" t="s">
        <v>10</v>
      </c>
      <c r="D596">
        <v>908</v>
      </c>
      <c r="E596">
        <v>908</v>
      </c>
      <c r="F596" s="5">
        <v>43831</v>
      </c>
      <c r="G596">
        <v>908</v>
      </c>
      <c r="H596" t="s">
        <v>57</v>
      </c>
    </row>
    <row r="597" spans="1:8" x14ac:dyDescent="0.3">
      <c r="A597">
        <v>52</v>
      </c>
      <c r="B597" s="5">
        <v>43856</v>
      </c>
      <c r="C597" t="s">
        <v>10</v>
      </c>
      <c r="D597">
        <v>232</v>
      </c>
      <c r="E597">
        <v>1140</v>
      </c>
      <c r="F597" s="5">
        <v>43831</v>
      </c>
      <c r="G597">
        <v>232</v>
      </c>
      <c r="H597" t="s">
        <v>57</v>
      </c>
    </row>
    <row r="598" spans="1:8" x14ac:dyDescent="0.3">
      <c r="A598">
        <v>52</v>
      </c>
      <c r="B598" s="5">
        <v>43866</v>
      </c>
      <c r="C598" t="s">
        <v>10</v>
      </c>
      <c r="D598">
        <v>819</v>
      </c>
      <c r="E598">
        <v>1959</v>
      </c>
      <c r="F598" s="5">
        <v>43862</v>
      </c>
      <c r="G598">
        <v>819</v>
      </c>
      <c r="H598" t="s">
        <v>57</v>
      </c>
    </row>
    <row r="599" spans="1:8" x14ac:dyDescent="0.3">
      <c r="A599">
        <v>52</v>
      </c>
      <c r="B599" s="5">
        <v>43876</v>
      </c>
      <c r="C599" t="s">
        <v>10</v>
      </c>
      <c r="D599">
        <v>653</v>
      </c>
      <c r="E599">
        <v>2612</v>
      </c>
      <c r="F599" s="5">
        <v>43862</v>
      </c>
      <c r="G599">
        <v>653</v>
      </c>
      <c r="H599" t="s">
        <v>57</v>
      </c>
    </row>
    <row r="600" spans="1:8" x14ac:dyDescent="0.3">
      <c r="A600">
        <v>53</v>
      </c>
      <c r="B600" s="5">
        <v>43854</v>
      </c>
      <c r="C600" t="s">
        <v>10</v>
      </c>
      <c r="D600">
        <v>22</v>
      </c>
      <c r="E600">
        <v>22</v>
      </c>
      <c r="F600" s="5">
        <v>43831</v>
      </c>
      <c r="G600">
        <v>22</v>
      </c>
      <c r="H600" t="s">
        <v>57</v>
      </c>
    </row>
    <row r="601" spans="1:8" x14ac:dyDescent="0.3">
      <c r="A601">
        <v>53</v>
      </c>
      <c r="B601" s="5">
        <v>43865</v>
      </c>
      <c r="C601" t="s">
        <v>10</v>
      </c>
      <c r="D601">
        <v>188</v>
      </c>
      <c r="E601">
        <v>210</v>
      </c>
      <c r="F601" s="5">
        <v>43862</v>
      </c>
      <c r="G601">
        <v>188</v>
      </c>
      <c r="H601" t="s">
        <v>57</v>
      </c>
    </row>
    <row r="602" spans="1:8" x14ac:dyDescent="0.3">
      <c r="A602">
        <v>53</v>
      </c>
      <c r="B602" s="5">
        <v>43911</v>
      </c>
      <c r="C602" t="s">
        <v>11</v>
      </c>
      <c r="D602">
        <v>285</v>
      </c>
      <c r="E602">
        <v>-75</v>
      </c>
      <c r="F602" s="5">
        <v>43891</v>
      </c>
      <c r="G602">
        <v>-285</v>
      </c>
      <c r="H602" t="s">
        <v>58</v>
      </c>
    </row>
    <row r="603" spans="1:8" x14ac:dyDescent="0.3">
      <c r="A603">
        <v>53</v>
      </c>
      <c r="B603" s="5">
        <v>43913</v>
      </c>
      <c r="C603" t="s">
        <v>12</v>
      </c>
      <c r="D603">
        <v>881</v>
      </c>
      <c r="E603">
        <v>-956</v>
      </c>
      <c r="F603" s="5">
        <v>43891</v>
      </c>
      <c r="G603">
        <v>-881</v>
      </c>
      <c r="H603" t="s">
        <v>58</v>
      </c>
    </row>
    <row r="604" spans="1:8" x14ac:dyDescent="0.3">
      <c r="A604">
        <v>53</v>
      </c>
      <c r="B604" s="5">
        <v>43914</v>
      </c>
      <c r="C604" t="s">
        <v>10</v>
      </c>
      <c r="D604">
        <v>228</v>
      </c>
      <c r="E604">
        <v>-728</v>
      </c>
      <c r="F604" s="5">
        <v>43891</v>
      </c>
      <c r="G604">
        <v>228</v>
      </c>
      <c r="H604" t="s">
        <v>58</v>
      </c>
    </row>
    <row r="605" spans="1:8" x14ac:dyDescent="0.3">
      <c r="A605">
        <v>53</v>
      </c>
      <c r="B605" s="5">
        <v>43941</v>
      </c>
      <c r="C605" t="s">
        <v>11</v>
      </c>
      <c r="D605">
        <v>187</v>
      </c>
      <c r="E605">
        <v>-915</v>
      </c>
      <c r="F605" s="5">
        <v>43922</v>
      </c>
      <c r="G605">
        <v>-187</v>
      </c>
      <c r="H605" t="s">
        <v>58</v>
      </c>
    </row>
    <row r="606" spans="1:8" x14ac:dyDescent="0.3">
      <c r="A606">
        <v>53</v>
      </c>
      <c r="B606" s="5">
        <v>43941</v>
      </c>
      <c r="C606" t="s">
        <v>10</v>
      </c>
      <c r="D606">
        <v>933</v>
      </c>
      <c r="E606">
        <v>18</v>
      </c>
      <c r="F606" s="5">
        <v>43922</v>
      </c>
      <c r="G606">
        <v>933</v>
      </c>
      <c r="H606" t="s">
        <v>57</v>
      </c>
    </row>
    <row r="607" spans="1:8" x14ac:dyDescent="0.3">
      <c r="A607">
        <v>53</v>
      </c>
      <c r="B607" s="5">
        <v>43943</v>
      </c>
      <c r="C607" t="s">
        <v>10</v>
      </c>
      <c r="D607">
        <v>209</v>
      </c>
      <c r="E607">
        <v>227</v>
      </c>
      <c r="F607" s="5">
        <v>43922</v>
      </c>
      <c r="G607">
        <v>209</v>
      </c>
      <c r="H607" t="s">
        <v>57</v>
      </c>
    </row>
    <row r="608" spans="1:8" x14ac:dyDescent="0.3">
      <c r="A608">
        <v>54</v>
      </c>
      <c r="B608" s="5">
        <v>43839</v>
      </c>
      <c r="C608" t="s">
        <v>10</v>
      </c>
      <c r="D608">
        <v>138</v>
      </c>
      <c r="E608">
        <v>138</v>
      </c>
      <c r="F608" s="5">
        <v>43831</v>
      </c>
      <c r="G608">
        <v>138</v>
      </c>
      <c r="H608" t="s">
        <v>57</v>
      </c>
    </row>
    <row r="609" spans="1:8" x14ac:dyDescent="0.3">
      <c r="A609">
        <v>54</v>
      </c>
      <c r="B609" s="5">
        <v>43856</v>
      </c>
      <c r="C609" t="s">
        <v>10</v>
      </c>
      <c r="D609">
        <v>736</v>
      </c>
      <c r="E609">
        <v>874</v>
      </c>
      <c r="F609" s="5">
        <v>43831</v>
      </c>
      <c r="G609">
        <v>736</v>
      </c>
      <c r="H609" t="s">
        <v>57</v>
      </c>
    </row>
    <row r="610" spans="1:8" x14ac:dyDescent="0.3">
      <c r="A610">
        <v>54</v>
      </c>
      <c r="B610" s="5">
        <v>43859</v>
      </c>
      <c r="C610" t="s">
        <v>10</v>
      </c>
      <c r="D610">
        <v>677</v>
      </c>
      <c r="E610">
        <v>1551</v>
      </c>
      <c r="F610" s="5">
        <v>43831</v>
      </c>
      <c r="G610">
        <v>677</v>
      </c>
      <c r="H610" t="s">
        <v>57</v>
      </c>
    </row>
    <row r="611" spans="1:8" x14ac:dyDescent="0.3">
      <c r="A611">
        <v>54</v>
      </c>
      <c r="B611" s="5">
        <v>43860</v>
      </c>
      <c r="C611" t="s">
        <v>10</v>
      </c>
      <c r="D611">
        <v>107</v>
      </c>
      <c r="E611">
        <v>1658</v>
      </c>
      <c r="F611" s="5">
        <v>43831</v>
      </c>
      <c r="G611">
        <v>107</v>
      </c>
      <c r="H611" t="s">
        <v>57</v>
      </c>
    </row>
    <row r="612" spans="1:8" x14ac:dyDescent="0.3">
      <c r="A612">
        <v>54</v>
      </c>
      <c r="B612" s="5">
        <v>43880</v>
      </c>
      <c r="C612" t="s">
        <v>11</v>
      </c>
      <c r="D612">
        <v>29</v>
      </c>
      <c r="E612">
        <v>1629</v>
      </c>
      <c r="F612" s="5">
        <v>43862</v>
      </c>
      <c r="G612">
        <v>-29</v>
      </c>
      <c r="H612" t="s">
        <v>57</v>
      </c>
    </row>
    <row r="613" spans="1:8" x14ac:dyDescent="0.3">
      <c r="A613">
        <v>54</v>
      </c>
      <c r="B613" s="5">
        <v>43914</v>
      </c>
      <c r="C613" t="s">
        <v>11</v>
      </c>
      <c r="D613">
        <v>922</v>
      </c>
      <c r="E613">
        <v>707</v>
      </c>
      <c r="F613" s="5">
        <v>43891</v>
      </c>
      <c r="G613">
        <v>-922</v>
      </c>
      <c r="H613" t="s">
        <v>57</v>
      </c>
    </row>
    <row r="614" spans="1:8" x14ac:dyDescent="0.3">
      <c r="A614">
        <v>54</v>
      </c>
      <c r="B614" s="5">
        <v>43919</v>
      </c>
      <c r="C614" t="s">
        <v>12</v>
      </c>
      <c r="D614">
        <v>174</v>
      </c>
      <c r="E614">
        <v>533</v>
      </c>
      <c r="F614" s="5">
        <v>43891</v>
      </c>
      <c r="G614">
        <v>-174</v>
      </c>
      <c r="H614" t="s">
        <v>57</v>
      </c>
    </row>
    <row r="615" spans="1:8" x14ac:dyDescent="0.3">
      <c r="A615">
        <v>54</v>
      </c>
      <c r="B615" s="5">
        <v>43924</v>
      </c>
      <c r="C615" t="s">
        <v>10</v>
      </c>
      <c r="D615">
        <v>435</v>
      </c>
      <c r="E615">
        <v>968</v>
      </c>
      <c r="F615" s="5">
        <v>43922</v>
      </c>
      <c r="G615">
        <v>435</v>
      </c>
      <c r="H615" t="s">
        <v>57</v>
      </c>
    </row>
    <row r="616" spans="1:8" x14ac:dyDescent="0.3">
      <c r="A616">
        <v>55</v>
      </c>
      <c r="B616" s="5">
        <v>43855</v>
      </c>
      <c r="C616" t="s">
        <v>10</v>
      </c>
      <c r="D616">
        <v>380</v>
      </c>
      <c r="E616">
        <v>380</v>
      </c>
      <c r="F616" s="5">
        <v>43831</v>
      </c>
      <c r="G616">
        <v>380</v>
      </c>
      <c r="H616" t="s">
        <v>57</v>
      </c>
    </row>
    <row r="617" spans="1:8" x14ac:dyDescent="0.3">
      <c r="A617">
        <v>55</v>
      </c>
      <c r="B617" s="5">
        <v>43862</v>
      </c>
      <c r="C617" t="s">
        <v>11</v>
      </c>
      <c r="D617">
        <v>558</v>
      </c>
      <c r="E617">
        <v>-178</v>
      </c>
      <c r="F617" s="5">
        <v>43862</v>
      </c>
      <c r="G617">
        <v>-558</v>
      </c>
      <c r="H617" t="s">
        <v>58</v>
      </c>
    </row>
    <row r="618" spans="1:8" x14ac:dyDescent="0.3">
      <c r="A618">
        <v>55</v>
      </c>
      <c r="B618" s="5">
        <v>43873</v>
      </c>
      <c r="C618" t="s">
        <v>12</v>
      </c>
      <c r="D618">
        <v>570</v>
      </c>
      <c r="E618">
        <v>-748</v>
      </c>
      <c r="F618" s="5">
        <v>43862</v>
      </c>
      <c r="G618">
        <v>-570</v>
      </c>
      <c r="H618" t="s">
        <v>58</v>
      </c>
    </row>
    <row r="619" spans="1:8" x14ac:dyDescent="0.3">
      <c r="A619">
        <v>55</v>
      </c>
      <c r="B619" s="5">
        <v>43876</v>
      </c>
      <c r="C619" t="s">
        <v>10</v>
      </c>
      <c r="D619">
        <v>408</v>
      </c>
      <c r="E619">
        <v>-340</v>
      </c>
      <c r="F619" s="5">
        <v>43862</v>
      </c>
      <c r="G619">
        <v>408</v>
      </c>
      <c r="H619" t="s">
        <v>58</v>
      </c>
    </row>
    <row r="620" spans="1:8" x14ac:dyDescent="0.3">
      <c r="A620">
        <v>55</v>
      </c>
      <c r="B620" s="5">
        <v>43876</v>
      </c>
      <c r="C620" t="s">
        <v>11</v>
      </c>
      <c r="D620">
        <v>806</v>
      </c>
      <c r="E620">
        <v>-1146</v>
      </c>
      <c r="F620" s="5">
        <v>43862</v>
      </c>
      <c r="G620">
        <v>-806</v>
      </c>
      <c r="H620" t="s">
        <v>58</v>
      </c>
    </row>
    <row r="621" spans="1:8" x14ac:dyDescent="0.3">
      <c r="A621">
        <v>55</v>
      </c>
      <c r="B621" s="5">
        <v>43878</v>
      </c>
      <c r="C621" t="s">
        <v>10</v>
      </c>
      <c r="D621">
        <v>139</v>
      </c>
      <c r="E621">
        <v>-1007</v>
      </c>
      <c r="F621" s="5">
        <v>43862</v>
      </c>
      <c r="G621">
        <v>139</v>
      </c>
      <c r="H621" t="s">
        <v>58</v>
      </c>
    </row>
    <row r="622" spans="1:8" x14ac:dyDescent="0.3">
      <c r="A622">
        <v>55</v>
      </c>
      <c r="B622" s="5">
        <v>43889</v>
      </c>
      <c r="C622" t="s">
        <v>10</v>
      </c>
      <c r="D622">
        <v>597</v>
      </c>
      <c r="E622">
        <v>-410</v>
      </c>
      <c r="F622" s="5">
        <v>43862</v>
      </c>
      <c r="G622">
        <v>597</v>
      </c>
      <c r="H622" t="s">
        <v>58</v>
      </c>
    </row>
    <row r="623" spans="1:8" x14ac:dyDescent="0.3">
      <c r="A623">
        <v>55</v>
      </c>
      <c r="B623" s="5">
        <v>43893</v>
      </c>
      <c r="C623" t="s">
        <v>12</v>
      </c>
      <c r="D623">
        <v>55</v>
      </c>
      <c r="E623">
        <v>-465</v>
      </c>
      <c r="F623" s="5">
        <v>43891</v>
      </c>
      <c r="G623">
        <v>-55</v>
      </c>
      <c r="H623" t="s">
        <v>58</v>
      </c>
    </row>
    <row r="624" spans="1:8" x14ac:dyDescent="0.3">
      <c r="A624">
        <v>55</v>
      </c>
      <c r="B624" s="5">
        <v>43913</v>
      </c>
      <c r="C624" t="s">
        <v>10</v>
      </c>
      <c r="D624">
        <v>814</v>
      </c>
      <c r="E624">
        <v>349</v>
      </c>
      <c r="F624" s="5">
        <v>43891</v>
      </c>
      <c r="G624">
        <v>814</v>
      </c>
      <c r="H624" t="s">
        <v>57</v>
      </c>
    </row>
    <row r="625" spans="1:8" x14ac:dyDescent="0.3">
      <c r="A625">
        <v>55</v>
      </c>
      <c r="B625" s="5">
        <v>43923</v>
      </c>
      <c r="C625" t="s">
        <v>11</v>
      </c>
      <c r="D625">
        <v>585</v>
      </c>
      <c r="E625">
        <v>-236</v>
      </c>
      <c r="F625" s="5">
        <v>43922</v>
      </c>
      <c r="G625">
        <v>-585</v>
      </c>
      <c r="H625" t="s">
        <v>58</v>
      </c>
    </row>
    <row r="626" spans="1:8" x14ac:dyDescent="0.3">
      <c r="A626">
        <v>55</v>
      </c>
      <c r="B626" s="5">
        <v>43927</v>
      </c>
      <c r="C626" t="s">
        <v>11</v>
      </c>
      <c r="D626">
        <v>277</v>
      </c>
      <c r="E626">
        <v>-513</v>
      </c>
      <c r="F626" s="5">
        <v>43922</v>
      </c>
      <c r="G626">
        <v>-277</v>
      </c>
      <c r="H626" t="s">
        <v>58</v>
      </c>
    </row>
    <row r="627" spans="1:8" x14ac:dyDescent="0.3">
      <c r="A627">
        <v>56</v>
      </c>
      <c r="B627" s="5">
        <v>43848</v>
      </c>
      <c r="C627" t="s">
        <v>10</v>
      </c>
      <c r="D627">
        <v>864</v>
      </c>
      <c r="E627">
        <v>864</v>
      </c>
      <c r="F627" s="5">
        <v>43831</v>
      </c>
      <c r="G627">
        <v>864</v>
      </c>
      <c r="H627" t="s">
        <v>57</v>
      </c>
    </row>
    <row r="628" spans="1:8" x14ac:dyDescent="0.3">
      <c r="A628">
        <v>56</v>
      </c>
      <c r="B628" s="5">
        <v>43853</v>
      </c>
      <c r="C628" t="s">
        <v>12</v>
      </c>
      <c r="D628">
        <v>412</v>
      </c>
      <c r="E628">
        <v>452</v>
      </c>
      <c r="F628" s="5">
        <v>43831</v>
      </c>
      <c r="G628">
        <v>-412</v>
      </c>
      <c r="H628" t="s">
        <v>57</v>
      </c>
    </row>
    <row r="629" spans="1:8" x14ac:dyDescent="0.3">
      <c r="A629">
        <v>56</v>
      </c>
      <c r="B629" s="5">
        <v>43859</v>
      </c>
      <c r="C629" t="s">
        <v>11</v>
      </c>
      <c r="D629">
        <v>519</v>
      </c>
      <c r="E629">
        <v>-67</v>
      </c>
      <c r="F629" s="5">
        <v>43831</v>
      </c>
      <c r="G629">
        <v>-519</v>
      </c>
      <c r="H629" t="s">
        <v>58</v>
      </c>
    </row>
    <row r="630" spans="1:8" x14ac:dyDescent="0.3">
      <c r="A630">
        <v>56</v>
      </c>
      <c r="B630" s="5">
        <v>43862</v>
      </c>
      <c r="C630" t="s">
        <v>10</v>
      </c>
      <c r="D630">
        <v>122</v>
      </c>
      <c r="E630">
        <v>55</v>
      </c>
      <c r="F630" s="5">
        <v>43862</v>
      </c>
      <c r="G630">
        <v>122</v>
      </c>
      <c r="H630" t="s">
        <v>57</v>
      </c>
    </row>
    <row r="631" spans="1:8" x14ac:dyDescent="0.3">
      <c r="A631">
        <v>56</v>
      </c>
      <c r="B631" s="5">
        <v>43866</v>
      </c>
      <c r="C631" t="s">
        <v>11</v>
      </c>
      <c r="D631">
        <v>735</v>
      </c>
      <c r="E631">
        <v>-680</v>
      </c>
      <c r="F631" s="5">
        <v>43862</v>
      </c>
      <c r="G631">
        <v>-735</v>
      </c>
      <c r="H631" t="s">
        <v>58</v>
      </c>
    </row>
    <row r="632" spans="1:8" x14ac:dyDescent="0.3">
      <c r="A632">
        <v>56</v>
      </c>
      <c r="B632" s="5">
        <v>43873</v>
      </c>
      <c r="C632" t="s">
        <v>11</v>
      </c>
      <c r="D632">
        <v>213</v>
      </c>
      <c r="E632">
        <v>-893</v>
      </c>
      <c r="F632" s="5">
        <v>43862</v>
      </c>
      <c r="G632">
        <v>-213</v>
      </c>
      <c r="H632" t="s">
        <v>58</v>
      </c>
    </row>
    <row r="633" spans="1:8" x14ac:dyDescent="0.3">
      <c r="A633">
        <v>56</v>
      </c>
      <c r="B633" s="5">
        <v>43875</v>
      </c>
      <c r="C633" t="s">
        <v>11</v>
      </c>
      <c r="D633">
        <v>37</v>
      </c>
      <c r="E633">
        <v>-930</v>
      </c>
      <c r="F633" s="5">
        <v>43862</v>
      </c>
      <c r="G633">
        <v>-37</v>
      </c>
      <c r="H633" t="s">
        <v>58</v>
      </c>
    </row>
    <row r="634" spans="1:8" x14ac:dyDescent="0.3">
      <c r="A634">
        <v>56</v>
      </c>
      <c r="B634" s="5">
        <v>43878</v>
      </c>
      <c r="C634" t="s">
        <v>12</v>
      </c>
      <c r="D634">
        <v>716</v>
      </c>
      <c r="E634">
        <v>-1646</v>
      </c>
      <c r="F634" s="5">
        <v>43862</v>
      </c>
      <c r="G634">
        <v>-716</v>
      </c>
      <c r="H634" t="s">
        <v>58</v>
      </c>
    </row>
    <row r="635" spans="1:8" x14ac:dyDescent="0.3">
      <c r="A635">
        <v>56</v>
      </c>
      <c r="B635" s="5">
        <v>43892</v>
      </c>
      <c r="C635" t="s">
        <v>12</v>
      </c>
      <c r="D635">
        <v>523</v>
      </c>
      <c r="E635">
        <v>-2169</v>
      </c>
      <c r="F635" s="5">
        <v>43891</v>
      </c>
      <c r="G635">
        <v>-523</v>
      </c>
      <c r="H635" t="s">
        <v>58</v>
      </c>
    </row>
    <row r="636" spans="1:8" x14ac:dyDescent="0.3">
      <c r="A636">
        <v>56</v>
      </c>
      <c r="B636" s="5">
        <v>43893</v>
      </c>
      <c r="C636" t="s">
        <v>11</v>
      </c>
      <c r="D636">
        <v>744</v>
      </c>
      <c r="E636">
        <v>-2913</v>
      </c>
      <c r="F636" s="5">
        <v>43891</v>
      </c>
      <c r="G636">
        <v>-744</v>
      </c>
      <c r="H636" t="s">
        <v>58</v>
      </c>
    </row>
    <row r="637" spans="1:8" x14ac:dyDescent="0.3">
      <c r="A637">
        <v>56</v>
      </c>
      <c r="B637" s="5">
        <v>43897</v>
      </c>
      <c r="C637" t="s">
        <v>10</v>
      </c>
      <c r="D637">
        <v>224</v>
      </c>
      <c r="E637">
        <v>-2689</v>
      </c>
      <c r="F637" s="5">
        <v>43891</v>
      </c>
      <c r="G637">
        <v>224</v>
      </c>
      <c r="H637" t="s">
        <v>58</v>
      </c>
    </row>
    <row r="638" spans="1:8" x14ac:dyDescent="0.3">
      <c r="A638">
        <v>56</v>
      </c>
      <c r="B638" s="5">
        <v>43903</v>
      </c>
      <c r="C638" t="s">
        <v>11</v>
      </c>
      <c r="D638">
        <v>99</v>
      </c>
      <c r="E638">
        <v>-2788</v>
      </c>
      <c r="F638" s="5">
        <v>43891</v>
      </c>
      <c r="G638">
        <v>-99</v>
      </c>
      <c r="H638" t="s">
        <v>58</v>
      </c>
    </row>
    <row r="639" spans="1:8" x14ac:dyDescent="0.3">
      <c r="A639">
        <v>56</v>
      </c>
      <c r="B639" s="5">
        <v>43910</v>
      </c>
      <c r="C639" t="s">
        <v>10</v>
      </c>
      <c r="D639">
        <v>218</v>
      </c>
      <c r="E639">
        <v>-2570</v>
      </c>
      <c r="F639" s="5">
        <v>43891</v>
      </c>
      <c r="G639">
        <v>218</v>
      </c>
      <c r="H639" t="s">
        <v>58</v>
      </c>
    </row>
    <row r="640" spans="1:8" x14ac:dyDescent="0.3">
      <c r="A640">
        <v>56</v>
      </c>
      <c r="B640" s="5">
        <v>43920</v>
      </c>
      <c r="C640" t="s">
        <v>10</v>
      </c>
      <c r="D640">
        <v>495</v>
      </c>
      <c r="E640">
        <v>-2075</v>
      </c>
      <c r="F640" s="5">
        <v>43891</v>
      </c>
      <c r="G640">
        <v>495</v>
      </c>
      <c r="H640" t="s">
        <v>58</v>
      </c>
    </row>
    <row r="641" spans="1:8" x14ac:dyDescent="0.3">
      <c r="A641">
        <v>56</v>
      </c>
      <c r="B641" s="5">
        <v>43923</v>
      </c>
      <c r="C641" t="s">
        <v>10</v>
      </c>
      <c r="D641">
        <v>117</v>
      </c>
      <c r="E641">
        <v>-1958</v>
      </c>
      <c r="F641" s="5">
        <v>43922</v>
      </c>
      <c r="G641">
        <v>117</v>
      </c>
      <c r="H641" t="s">
        <v>58</v>
      </c>
    </row>
    <row r="642" spans="1:8" x14ac:dyDescent="0.3">
      <c r="A642">
        <v>56</v>
      </c>
      <c r="B642" s="5">
        <v>43925</v>
      </c>
      <c r="C642" t="s">
        <v>12</v>
      </c>
      <c r="D642">
        <v>302</v>
      </c>
      <c r="E642">
        <v>-2260</v>
      </c>
      <c r="F642" s="5">
        <v>43922</v>
      </c>
      <c r="G642">
        <v>-302</v>
      </c>
      <c r="H642" t="s">
        <v>58</v>
      </c>
    </row>
    <row r="643" spans="1:8" x14ac:dyDescent="0.3">
      <c r="A643">
        <v>56</v>
      </c>
      <c r="B643" s="5">
        <v>43928</v>
      </c>
      <c r="C643" t="s">
        <v>11</v>
      </c>
      <c r="D643">
        <v>873</v>
      </c>
      <c r="E643">
        <v>-3133</v>
      </c>
      <c r="F643" s="5">
        <v>43922</v>
      </c>
      <c r="G643">
        <v>-873</v>
      </c>
      <c r="H643" t="s">
        <v>58</v>
      </c>
    </row>
    <row r="644" spans="1:8" x14ac:dyDescent="0.3">
      <c r="A644">
        <v>56</v>
      </c>
      <c r="B644" s="5">
        <v>43929</v>
      </c>
      <c r="C644" t="s">
        <v>12</v>
      </c>
      <c r="D644">
        <v>326</v>
      </c>
      <c r="E644">
        <v>-3459</v>
      </c>
      <c r="F644" s="5">
        <v>43922</v>
      </c>
      <c r="G644">
        <v>-326</v>
      </c>
      <c r="H644" t="s">
        <v>58</v>
      </c>
    </row>
    <row r="645" spans="1:8" x14ac:dyDescent="0.3">
      <c r="A645">
        <v>56</v>
      </c>
      <c r="B645" s="5">
        <v>43933</v>
      </c>
      <c r="C645" t="s">
        <v>12</v>
      </c>
      <c r="D645">
        <v>407</v>
      </c>
      <c r="E645">
        <v>-3866</v>
      </c>
      <c r="F645" s="5">
        <v>43922</v>
      </c>
      <c r="G645">
        <v>-407</v>
      </c>
      <c r="H645" t="s">
        <v>58</v>
      </c>
    </row>
    <row r="646" spans="1:8" x14ac:dyDescent="0.3">
      <c r="A646">
        <v>57</v>
      </c>
      <c r="B646" s="5">
        <v>43836</v>
      </c>
      <c r="C646" t="s">
        <v>10</v>
      </c>
      <c r="D646">
        <v>907</v>
      </c>
      <c r="E646">
        <v>907</v>
      </c>
      <c r="F646" s="5">
        <v>43831</v>
      </c>
      <c r="G646">
        <v>907</v>
      </c>
      <c r="H646" t="s">
        <v>57</v>
      </c>
    </row>
    <row r="647" spans="1:8" x14ac:dyDescent="0.3">
      <c r="A647">
        <v>57</v>
      </c>
      <c r="B647" s="5">
        <v>43851</v>
      </c>
      <c r="C647" t="s">
        <v>11</v>
      </c>
      <c r="D647">
        <v>469</v>
      </c>
      <c r="E647">
        <v>438</v>
      </c>
      <c r="F647" s="5">
        <v>43831</v>
      </c>
      <c r="G647">
        <v>-469</v>
      </c>
      <c r="H647" t="s">
        <v>57</v>
      </c>
    </row>
    <row r="648" spans="1:8" x14ac:dyDescent="0.3">
      <c r="A648">
        <v>57</v>
      </c>
      <c r="B648" s="5">
        <v>43854</v>
      </c>
      <c r="C648" t="s">
        <v>11</v>
      </c>
      <c r="D648">
        <v>202</v>
      </c>
      <c r="E648">
        <v>236</v>
      </c>
      <c r="F648" s="5">
        <v>43831</v>
      </c>
      <c r="G648">
        <v>-202</v>
      </c>
      <c r="H648" t="s">
        <v>57</v>
      </c>
    </row>
    <row r="649" spans="1:8" x14ac:dyDescent="0.3">
      <c r="A649">
        <v>57</v>
      </c>
      <c r="B649" s="5">
        <v>43854</v>
      </c>
      <c r="C649" t="s">
        <v>10</v>
      </c>
      <c r="D649">
        <v>178</v>
      </c>
      <c r="E649">
        <v>414</v>
      </c>
      <c r="F649" s="5">
        <v>43831</v>
      </c>
      <c r="G649">
        <v>178</v>
      </c>
      <c r="H649" t="s">
        <v>57</v>
      </c>
    </row>
    <row r="650" spans="1:8" x14ac:dyDescent="0.3">
      <c r="A650">
        <v>57</v>
      </c>
      <c r="B650" s="5">
        <v>43874</v>
      </c>
      <c r="C650" t="s">
        <v>11</v>
      </c>
      <c r="D650">
        <v>515</v>
      </c>
      <c r="E650">
        <v>-101</v>
      </c>
      <c r="F650" s="5">
        <v>43862</v>
      </c>
      <c r="G650">
        <v>-515</v>
      </c>
      <c r="H650" t="s">
        <v>58</v>
      </c>
    </row>
    <row r="651" spans="1:8" x14ac:dyDescent="0.3">
      <c r="A651">
        <v>57</v>
      </c>
      <c r="B651" s="5">
        <v>43893</v>
      </c>
      <c r="C651" t="s">
        <v>11</v>
      </c>
      <c r="D651">
        <v>765</v>
      </c>
      <c r="E651">
        <v>-866</v>
      </c>
      <c r="F651" s="5">
        <v>43891</v>
      </c>
      <c r="G651">
        <v>-765</v>
      </c>
      <c r="H651" t="s">
        <v>58</v>
      </c>
    </row>
    <row r="652" spans="1:8" x14ac:dyDescent="0.3">
      <c r="A652">
        <v>58</v>
      </c>
      <c r="B652" s="5">
        <v>43841</v>
      </c>
      <c r="C652" t="s">
        <v>10</v>
      </c>
      <c r="D652">
        <v>726</v>
      </c>
      <c r="E652">
        <v>726</v>
      </c>
      <c r="F652" s="5">
        <v>43831</v>
      </c>
      <c r="G652">
        <v>726</v>
      </c>
      <c r="H652" t="s">
        <v>57</v>
      </c>
    </row>
    <row r="653" spans="1:8" x14ac:dyDescent="0.3">
      <c r="A653">
        <v>58</v>
      </c>
      <c r="B653" s="5">
        <v>43843</v>
      </c>
      <c r="C653" t="s">
        <v>12</v>
      </c>
      <c r="D653">
        <v>775</v>
      </c>
      <c r="E653">
        <v>-49</v>
      </c>
      <c r="F653" s="5">
        <v>43831</v>
      </c>
      <c r="G653">
        <v>-775</v>
      </c>
      <c r="H653" t="s">
        <v>58</v>
      </c>
    </row>
    <row r="654" spans="1:8" x14ac:dyDescent="0.3">
      <c r="A654">
        <v>58</v>
      </c>
      <c r="B654" s="5">
        <v>43849</v>
      </c>
      <c r="C654" t="s">
        <v>10</v>
      </c>
      <c r="D654">
        <v>432</v>
      </c>
      <c r="E654">
        <v>383</v>
      </c>
      <c r="F654" s="5">
        <v>43831</v>
      </c>
      <c r="G654">
        <v>432</v>
      </c>
      <c r="H654" t="s">
        <v>57</v>
      </c>
    </row>
    <row r="655" spans="1:8" x14ac:dyDescent="0.3">
      <c r="A655">
        <v>58</v>
      </c>
      <c r="B655" s="5">
        <v>43863</v>
      </c>
      <c r="C655" t="s">
        <v>10</v>
      </c>
      <c r="D655">
        <v>866</v>
      </c>
      <c r="E655">
        <v>1249</v>
      </c>
      <c r="F655" s="5">
        <v>43862</v>
      </c>
      <c r="G655">
        <v>866</v>
      </c>
      <c r="H655" t="s">
        <v>57</v>
      </c>
    </row>
    <row r="656" spans="1:8" x14ac:dyDescent="0.3">
      <c r="A656">
        <v>58</v>
      </c>
      <c r="B656" s="5">
        <v>43869</v>
      </c>
      <c r="C656" t="s">
        <v>10</v>
      </c>
      <c r="D656">
        <v>333</v>
      </c>
      <c r="E656">
        <v>1582</v>
      </c>
      <c r="F656" s="5">
        <v>43862</v>
      </c>
      <c r="G656">
        <v>333</v>
      </c>
      <c r="H656" t="s">
        <v>57</v>
      </c>
    </row>
    <row r="657" spans="1:8" x14ac:dyDescent="0.3">
      <c r="A657">
        <v>58</v>
      </c>
      <c r="B657" s="5">
        <v>43875</v>
      </c>
      <c r="C657" t="s">
        <v>11</v>
      </c>
      <c r="D657">
        <v>415</v>
      </c>
      <c r="E657">
        <v>1167</v>
      </c>
      <c r="F657" s="5">
        <v>43862</v>
      </c>
      <c r="G657">
        <v>-415</v>
      </c>
      <c r="H657" t="s">
        <v>57</v>
      </c>
    </row>
    <row r="658" spans="1:8" x14ac:dyDescent="0.3">
      <c r="A658">
        <v>58</v>
      </c>
      <c r="B658" s="5">
        <v>43886</v>
      </c>
      <c r="C658" t="s">
        <v>10</v>
      </c>
      <c r="D658">
        <v>937</v>
      </c>
      <c r="E658">
        <v>2104</v>
      </c>
      <c r="F658" s="5">
        <v>43862</v>
      </c>
      <c r="G658">
        <v>937</v>
      </c>
      <c r="H658" t="s">
        <v>57</v>
      </c>
    </row>
    <row r="659" spans="1:8" x14ac:dyDescent="0.3">
      <c r="A659">
        <v>58</v>
      </c>
      <c r="B659" s="5">
        <v>43889</v>
      </c>
      <c r="C659" t="s">
        <v>11</v>
      </c>
      <c r="D659">
        <v>407</v>
      </c>
      <c r="E659">
        <v>1697</v>
      </c>
      <c r="F659" s="5">
        <v>43862</v>
      </c>
      <c r="G659">
        <v>-407</v>
      </c>
      <c r="H659" t="s">
        <v>57</v>
      </c>
    </row>
    <row r="660" spans="1:8" x14ac:dyDescent="0.3">
      <c r="A660">
        <v>58</v>
      </c>
      <c r="B660" s="5">
        <v>43896</v>
      </c>
      <c r="C660" t="s">
        <v>12</v>
      </c>
      <c r="D660">
        <v>425</v>
      </c>
      <c r="E660">
        <v>1272</v>
      </c>
      <c r="F660" s="5">
        <v>43891</v>
      </c>
      <c r="G660">
        <v>-425</v>
      </c>
      <c r="H660" t="s">
        <v>57</v>
      </c>
    </row>
    <row r="661" spans="1:8" x14ac:dyDescent="0.3">
      <c r="A661">
        <v>58</v>
      </c>
      <c r="B661" s="5">
        <v>43900</v>
      </c>
      <c r="C661" t="s">
        <v>11</v>
      </c>
      <c r="D661">
        <v>358</v>
      </c>
      <c r="E661">
        <v>914</v>
      </c>
      <c r="F661" s="5">
        <v>43891</v>
      </c>
      <c r="G661">
        <v>-358</v>
      </c>
      <c r="H661" t="s">
        <v>57</v>
      </c>
    </row>
    <row r="662" spans="1:8" x14ac:dyDescent="0.3">
      <c r="A662">
        <v>58</v>
      </c>
      <c r="B662" s="5">
        <v>43907</v>
      </c>
      <c r="C662" t="s">
        <v>12</v>
      </c>
      <c r="D662">
        <v>210</v>
      </c>
      <c r="E662">
        <v>704</v>
      </c>
      <c r="F662" s="5">
        <v>43891</v>
      </c>
      <c r="G662">
        <v>-210</v>
      </c>
      <c r="H662" t="s">
        <v>57</v>
      </c>
    </row>
    <row r="663" spans="1:8" x14ac:dyDescent="0.3">
      <c r="A663">
        <v>58</v>
      </c>
      <c r="B663" s="5">
        <v>43910</v>
      </c>
      <c r="C663" t="s">
        <v>12</v>
      </c>
      <c r="D663">
        <v>939</v>
      </c>
      <c r="E663">
        <v>-235</v>
      </c>
      <c r="F663" s="5">
        <v>43891</v>
      </c>
      <c r="G663">
        <v>-939</v>
      </c>
      <c r="H663" t="s">
        <v>58</v>
      </c>
    </row>
    <row r="664" spans="1:8" x14ac:dyDescent="0.3">
      <c r="A664">
        <v>58</v>
      </c>
      <c r="B664" s="5">
        <v>43912</v>
      </c>
      <c r="C664" t="s">
        <v>11</v>
      </c>
      <c r="D664">
        <v>958</v>
      </c>
      <c r="E664">
        <v>-1193</v>
      </c>
      <c r="F664" s="5">
        <v>43891</v>
      </c>
      <c r="G664">
        <v>-958</v>
      </c>
      <c r="H664" t="s">
        <v>58</v>
      </c>
    </row>
    <row r="665" spans="1:8" x14ac:dyDescent="0.3">
      <c r="A665">
        <v>58</v>
      </c>
      <c r="B665" s="5">
        <v>43913</v>
      </c>
      <c r="C665" t="s">
        <v>10</v>
      </c>
      <c r="D665">
        <v>237</v>
      </c>
      <c r="E665">
        <v>-956</v>
      </c>
      <c r="F665" s="5">
        <v>43891</v>
      </c>
      <c r="G665">
        <v>237</v>
      </c>
      <c r="H665" t="s">
        <v>58</v>
      </c>
    </row>
    <row r="666" spans="1:8" x14ac:dyDescent="0.3">
      <c r="A666">
        <v>58</v>
      </c>
      <c r="B666" s="5">
        <v>43917</v>
      </c>
      <c r="C666" t="s">
        <v>11</v>
      </c>
      <c r="D666">
        <v>240</v>
      </c>
      <c r="E666">
        <v>-1196</v>
      </c>
      <c r="F666" s="5">
        <v>43891</v>
      </c>
      <c r="G666">
        <v>-240</v>
      </c>
      <c r="H666" t="s">
        <v>58</v>
      </c>
    </row>
    <row r="667" spans="1:8" x14ac:dyDescent="0.3">
      <c r="A667">
        <v>58</v>
      </c>
      <c r="B667" s="5">
        <v>43923</v>
      </c>
      <c r="C667" t="s">
        <v>11</v>
      </c>
      <c r="D667">
        <v>384</v>
      </c>
      <c r="E667">
        <v>-1580</v>
      </c>
      <c r="F667" s="5">
        <v>43922</v>
      </c>
      <c r="G667">
        <v>-384</v>
      </c>
      <c r="H667" t="s">
        <v>58</v>
      </c>
    </row>
    <row r="668" spans="1:8" x14ac:dyDescent="0.3">
      <c r="A668">
        <v>58</v>
      </c>
      <c r="B668" s="5">
        <v>43923</v>
      </c>
      <c r="C668" t="s">
        <v>10</v>
      </c>
      <c r="D668">
        <v>945</v>
      </c>
      <c r="E668">
        <v>-635</v>
      </c>
      <c r="F668" s="5">
        <v>43922</v>
      </c>
      <c r="G668">
        <v>945</v>
      </c>
      <c r="H668" t="s">
        <v>58</v>
      </c>
    </row>
    <row r="669" spans="1:8" x14ac:dyDescent="0.3">
      <c r="A669">
        <v>59</v>
      </c>
      <c r="B669" s="5">
        <v>43850</v>
      </c>
      <c r="C669" t="s">
        <v>10</v>
      </c>
      <c r="D669">
        <v>924</v>
      </c>
      <c r="E669">
        <v>924</v>
      </c>
      <c r="F669" s="5">
        <v>43831</v>
      </c>
      <c r="G669">
        <v>924</v>
      </c>
      <c r="H669" t="s">
        <v>57</v>
      </c>
    </row>
    <row r="670" spans="1:8" x14ac:dyDescent="0.3">
      <c r="A670">
        <v>59</v>
      </c>
      <c r="B670" s="5">
        <v>43868</v>
      </c>
      <c r="C670" t="s">
        <v>10</v>
      </c>
      <c r="D670">
        <v>570</v>
      </c>
      <c r="E670">
        <v>1494</v>
      </c>
      <c r="F670" s="5">
        <v>43862</v>
      </c>
      <c r="G670">
        <v>570</v>
      </c>
      <c r="H670" t="s">
        <v>57</v>
      </c>
    </row>
    <row r="671" spans="1:8" x14ac:dyDescent="0.3">
      <c r="A671">
        <v>59</v>
      </c>
      <c r="B671" s="5">
        <v>43870</v>
      </c>
      <c r="C671" t="s">
        <v>10</v>
      </c>
      <c r="D671">
        <v>50</v>
      </c>
      <c r="E671">
        <v>1544</v>
      </c>
      <c r="F671" s="5">
        <v>43862</v>
      </c>
      <c r="G671">
        <v>50</v>
      </c>
      <c r="H671" t="s">
        <v>57</v>
      </c>
    </row>
    <row r="672" spans="1:8" x14ac:dyDescent="0.3">
      <c r="A672">
        <v>59</v>
      </c>
      <c r="B672" s="5">
        <v>43874</v>
      </c>
      <c r="C672" t="s">
        <v>10</v>
      </c>
      <c r="D672">
        <v>646</v>
      </c>
      <c r="E672">
        <v>2190</v>
      </c>
      <c r="F672" s="5">
        <v>43862</v>
      </c>
      <c r="G672">
        <v>646</v>
      </c>
      <c r="H672" t="s">
        <v>57</v>
      </c>
    </row>
    <row r="673" spans="1:8" x14ac:dyDescent="0.3">
      <c r="A673">
        <v>59</v>
      </c>
      <c r="B673" s="5">
        <v>43892</v>
      </c>
      <c r="C673" t="s">
        <v>12</v>
      </c>
      <c r="D673">
        <v>105</v>
      </c>
      <c r="E673">
        <v>2085</v>
      </c>
      <c r="F673" s="5">
        <v>43891</v>
      </c>
      <c r="G673">
        <v>-105</v>
      </c>
      <c r="H673" t="s">
        <v>57</v>
      </c>
    </row>
    <row r="674" spans="1:8" x14ac:dyDescent="0.3">
      <c r="A674">
        <v>59</v>
      </c>
      <c r="B674" s="5">
        <v>43916</v>
      </c>
      <c r="C674" t="s">
        <v>12</v>
      </c>
      <c r="D674">
        <v>433</v>
      </c>
      <c r="E674">
        <v>1652</v>
      </c>
      <c r="F674" s="5">
        <v>43891</v>
      </c>
      <c r="G674">
        <v>-433</v>
      </c>
      <c r="H674" t="s">
        <v>57</v>
      </c>
    </row>
    <row r="675" spans="1:8" x14ac:dyDescent="0.3">
      <c r="A675">
        <v>59</v>
      </c>
      <c r="B675" s="5">
        <v>43936</v>
      </c>
      <c r="C675" t="s">
        <v>11</v>
      </c>
      <c r="D675">
        <v>854</v>
      </c>
      <c r="E675">
        <v>798</v>
      </c>
      <c r="F675" s="5">
        <v>43922</v>
      </c>
      <c r="G675">
        <v>-854</v>
      </c>
      <c r="H675" t="s">
        <v>57</v>
      </c>
    </row>
    <row r="676" spans="1:8" x14ac:dyDescent="0.3">
      <c r="A676">
        <v>60</v>
      </c>
      <c r="B676" s="5">
        <v>43849</v>
      </c>
      <c r="C676" t="s">
        <v>10</v>
      </c>
      <c r="D676">
        <v>495</v>
      </c>
      <c r="E676">
        <v>495</v>
      </c>
      <c r="F676" s="5">
        <v>43831</v>
      </c>
      <c r="G676">
        <v>495</v>
      </c>
      <c r="H676" t="s">
        <v>57</v>
      </c>
    </row>
    <row r="677" spans="1:8" x14ac:dyDescent="0.3">
      <c r="A677">
        <v>60</v>
      </c>
      <c r="B677" s="5">
        <v>43856</v>
      </c>
      <c r="C677" t="s">
        <v>10</v>
      </c>
      <c r="D677">
        <v>113</v>
      </c>
      <c r="E677">
        <v>608</v>
      </c>
      <c r="F677" s="5">
        <v>43831</v>
      </c>
      <c r="G677">
        <v>113</v>
      </c>
      <c r="H677" t="s">
        <v>57</v>
      </c>
    </row>
    <row r="678" spans="1:8" x14ac:dyDescent="0.3">
      <c r="A678">
        <v>60</v>
      </c>
      <c r="B678" s="5">
        <v>43860</v>
      </c>
      <c r="C678" t="s">
        <v>11</v>
      </c>
      <c r="D678">
        <v>797</v>
      </c>
      <c r="E678">
        <v>-189</v>
      </c>
      <c r="F678" s="5">
        <v>43831</v>
      </c>
      <c r="G678">
        <v>-797</v>
      </c>
      <c r="H678" t="s">
        <v>58</v>
      </c>
    </row>
    <row r="679" spans="1:8" x14ac:dyDescent="0.3">
      <c r="A679">
        <v>60</v>
      </c>
      <c r="B679" s="5">
        <v>43862</v>
      </c>
      <c r="C679" t="s">
        <v>10</v>
      </c>
      <c r="D679">
        <v>857</v>
      </c>
      <c r="E679">
        <v>668</v>
      </c>
      <c r="F679" s="5">
        <v>43862</v>
      </c>
      <c r="G679">
        <v>857</v>
      </c>
      <c r="H679" t="s">
        <v>57</v>
      </c>
    </row>
    <row r="680" spans="1:8" x14ac:dyDescent="0.3">
      <c r="A680">
        <v>60</v>
      </c>
      <c r="B680" s="5">
        <v>43892</v>
      </c>
      <c r="C680" t="s">
        <v>10</v>
      </c>
      <c r="D680">
        <v>188</v>
      </c>
      <c r="E680">
        <v>856</v>
      </c>
      <c r="F680" s="5">
        <v>43891</v>
      </c>
      <c r="G680">
        <v>188</v>
      </c>
      <c r="H680" t="s">
        <v>57</v>
      </c>
    </row>
    <row r="681" spans="1:8" x14ac:dyDescent="0.3">
      <c r="A681">
        <v>60</v>
      </c>
      <c r="B681" s="5">
        <v>43906</v>
      </c>
      <c r="C681" t="s">
        <v>12</v>
      </c>
      <c r="D681">
        <v>674</v>
      </c>
      <c r="E681">
        <v>182</v>
      </c>
      <c r="F681" s="5">
        <v>43891</v>
      </c>
      <c r="G681">
        <v>-674</v>
      </c>
      <c r="H681" t="s">
        <v>57</v>
      </c>
    </row>
    <row r="682" spans="1:8" x14ac:dyDescent="0.3">
      <c r="A682">
        <v>60</v>
      </c>
      <c r="B682" s="5">
        <v>43921</v>
      </c>
      <c r="C682" t="s">
        <v>12</v>
      </c>
      <c r="D682">
        <v>927</v>
      </c>
      <c r="E682">
        <v>-745</v>
      </c>
      <c r="F682" s="5">
        <v>43891</v>
      </c>
      <c r="G682">
        <v>-927</v>
      </c>
      <c r="H682" t="s">
        <v>58</v>
      </c>
    </row>
    <row r="683" spans="1:8" x14ac:dyDescent="0.3">
      <c r="A683">
        <v>60</v>
      </c>
      <c r="B683" s="5">
        <v>43923</v>
      </c>
      <c r="C683" t="s">
        <v>12</v>
      </c>
      <c r="D683">
        <v>424</v>
      </c>
      <c r="E683">
        <v>-1169</v>
      </c>
      <c r="F683" s="5">
        <v>43922</v>
      </c>
      <c r="G683">
        <v>-424</v>
      </c>
      <c r="H683" t="s">
        <v>58</v>
      </c>
    </row>
    <row r="684" spans="1:8" x14ac:dyDescent="0.3">
      <c r="A684">
        <v>61</v>
      </c>
      <c r="B684" s="5">
        <v>43851</v>
      </c>
      <c r="C684" t="s">
        <v>10</v>
      </c>
      <c r="D684">
        <v>319</v>
      </c>
      <c r="E684">
        <v>319</v>
      </c>
      <c r="F684" s="5">
        <v>43831</v>
      </c>
      <c r="G684">
        <v>319</v>
      </c>
      <c r="H684" t="s">
        <v>57</v>
      </c>
    </row>
    <row r="685" spans="1:8" x14ac:dyDescent="0.3">
      <c r="A685">
        <v>61</v>
      </c>
      <c r="B685" s="5">
        <v>43852</v>
      </c>
      <c r="C685" t="s">
        <v>11</v>
      </c>
      <c r="D685">
        <v>752</v>
      </c>
      <c r="E685">
        <v>-433</v>
      </c>
      <c r="F685" s="5">
        <v>43831</v>
      </c>
      <c r="G685">
        <v>-752</v>
      </c>
      <c r="H685" t="s">
        <v>58</v>
      </c>
    </row>
    <row r="686" spans="1:8" x14ac:dyDescent="0.3">
      <c r="A686">
        <v>61</v>
      </c>
      <c r="B686" s="5">
        <v>43854</v>
      </c>
      <c r="C686" t="s">
        <v>10</v>
      </c>
      <c r="D686">
        <v>587</v>
      </c>
      <c r="E686">
        <v>154</v>
      </c>
      <c r="F686" s="5">
        <v>43831</v>
      </c>
      <c r="G686">
        <v>587</v>
      </c>
      <c r="H686" t="s">
        <v>57</v>
      </c>
    </row>
    <row r="687" spans="1:8" x14ac:dyDescent="0.3">
      <c r="A687">
        <v>61</v>
      </c>
      <c r="B687" s="5">
        <v>43859</v>
      </c>
      <c r="C687" t="s">
        <v>12</v>
      </c>
      <c r="D687">
        <v>14</v>
      </c>
      <c r="E687">
        <v>140</v>
      </c>
      <c r="F687" s="5">
        <v>43831</v>
      </c>
      <c r="G687">
        <v>-14</v>
      </c>
      <c r="H687" t="s">
        <v>57</v>
      </c>
    </row>
    <row r="688" spans="1:8" x14ac:dyDescent="0.3">
      <c r="A688">
        <v>61</v>
      </c>
      <c r="B688" s="5">
        <v>43859</v>
      </c>
      <c r="C688" t="s">
        <v>10</v>
      </c>
      <c r="D688">
        <v>82</v>
      </c>
      <c r="E688">
        <v>222</v>
      </c>
      <c r="F688" s="5">
        <v>43831</v>
      </c>
      <c r="G688">
        <v>82</v>
      </c>
      <c r="H688" t="s">
        <v>57</v>
      </c>
    </row>
    <row r="689" spans="1:8" x14ac:dyDescent="0.3">
      <c r="A689">
        <v>61</v>
      </c>
      <c r="B689" s="5">
        <v>43863</v>
      </c>
      <c r="C689" t="s">
        <v>10</v>
      </c>
      <c r="D689">
        <v>518</v>
      </c>
      <c r="E689">
        <v>740</v>
      </c>
      <c r="F689" s="5">
        <v>43862</v>
      </c>
      <c r="G689">
        <v>518</v>
      </c>
      <c r="H689" t="s">
        <v>57</v>
      </c>
    </row>
    <row r="690" spans="1:8" x14ac:dyDescent="0.3">
      <c r="A690">
        <v>61</v>
      </c>
      <c r="B690" s="5">
        <v>43867</v>
      </c>
      <c r="C690" t="s">
        <v>10</v>
      </c>
      <c r="D690">
        <v>6</v>
      </c>
      <c r="E690">
        <v>746</v>
      </c>
      <c r="F690" s="5">
        <v>43862</v>
      </c>
      <c r="G690">
        <v>6</v>
      </c>
      <c r="H690" t="s">
        <v>57</v>
      </c>
    </row>
    <row r="691" spans="1:8" x14ac:dyDescent="0.3">
      <c r="A691">
        <v>61</v>
      </c>
      <c r="B691" s="5">
        <v>43870</v>
      </c>
      <c r="C691" t="s">
        <v>12</v>
      </c>
      <c r="D691">
        <v>689</v>
      </c>
      <c r="E691">
        <v>57</v>
      </c>
      <c r="F691" s="5">
        <v>43862</v>
      </c>
      <c r="G691">
        <v>-689</v>
      </c>
      <c r="H691" t="s">
        <v>57</v>
      </c>
    </row>
    <row r="692" spans="1:8" x14ac:dyDescent="0.3">
      <c r="A692">
        <v>61</v>
      </c>
      <c r="B692" s="5">
        <v>43880</v>
      </c>
      <c r="C692" t="s">
        <v>10</v>
      </c>
      <c r="D692">
        <v>332</v>
      </c>
      <c r="E692">
        <v>389</v>
      </c>
      <c r="F692" s="5">
        <v>43862</v>
      </c>
      <c r="G692">
        <v>332</v>
      </c>
      <c r="H692" t="s">
        <v>57</v>
      </c>
    </row>
    <row r="693" spans="1:8" x14ac:dyDescent="0.3">
      <c r="A693">
        <v>61</v>
      </c>
      <c r="B693" s="5">
        <v>43890</v>
      </c>
      <c r="C693" t="s">
        <v>12</v>
      </c>
      <c r="D693">
        <v>66</v>
      </c>
      <c r="E693">
        <v>323</v>
      </c>
      <c r="F693" s="5">
        <v>43862</v>
      </c>
      <c r="G693">
        <v>-66</v>
      </c>
      <c r="H693" t="s">
        <v>57</v>
      </c>
    </row>
    <row r="694" spans="1:8" x14ac:dyDescent="0.3">
      <c r="A694">
        <v>61</v>
      </c>
      <c r="B694" s="5">
        <v>43907</v>
      </c>
      <c r="C694" t="s">
        <v>10</v>
      </c>
      <c r="D694">
        <v>897</v>
      </c>
      <c r="E694">
        <v>1220</v>
      </c>
      <c r="F694" s="5">
        <v>43891</v>
      </c>
      <c r="G694">
        <v>897</v>
      </c>
      <c r="H694" t="s">
        <v>57</v>
      </c>
    </row>
    <row r="695" spans="1:8" x14ac:dyDescent="0.3">
      <c r="A695">
        <v>61</v>
      </c>
      <c r="B695" s="5">
        <v>43907</v>
      </c>
      <c r="C695" t="s">
        <v>12</v>
      </c>
      <c r="D695">
        <v>509</v>
      </c>
      <c r="E695">
        <v>711</v>
      </c>
      <c r="F695" s="5">
        <v>43891</v>
      </c>
      <c r="G695">
        <v>-509</v>
      </c>
      <c r="H695" t="s">
        <v>57</v>
      </c>
    </row>
    <row r="696" spans="1:8" x14ac:dyDescent="0.3">
      <c r="A696">
        <v>61</v>
      </c>
      <c r="B696" s="5">
        <v>43908</v>
      </c>
      <c r="C696" t="s">
        <v>10</v>
      </c>
      <c r="D696">
        <v>322</v>
      </c>
      <c r="E696">
        <v>1033</v>
      </c>
      <c r="F696" s="5">
        <v>43891</v>
      </c>
      <c r="G696">
        <v>322</v>
      </c>
      <c r="H696" t="s">
        <v>57</v>
      </c>
    </row>
    <row r="697" spans="1:8" x14ac:dyDescent="0.3">
      <c r="A697">
        <v>61</v>
      </c>
      <c r="B697" s="5">
        <v>43913</v>
      </c>
      <c r="C697" t="s">
        <v>11</v>
      </c>
      <c r="D697">
        <v>309</v>
      </c>
      <c r="E697">
        <v>724</v>
      </c>
      <c r="F697" s="5">
        <v>43891</v>
      </c>
      <c r="G697">
        <v>-309</v>
      </c>
      <c r="H697" t="s">
        <v>57</v>
      </c>
    </row>
    <row r="698" spans="1:8" x14ac:dyDescent="0.3">
      <c r="A698">
        <v>61</v>
      </c>
      <c r="B698" s="5">
        <v>43914</v>
      </c>
      <c r="C698" t="s">
        <v>12</v>
      </c>
      <c r="D698">
        <v>989</v>
      </c>
      <c r="E698">
        <v>-265</v>
      </c>
      <c r="F698" s="5">
        <v>43891</v>
      </c>
      <c r="G698">
        <v>-989</v>
      </c>
      <c r="H698" t="s">
        <v>58</v>
      </c>
    </row>
    <row r="699" spans="1:8" x14ac:dyDescent="0.3">
      <c r="A699">
        <v>61</v>
      </c>
      <c r="B699" s="5">
        <v>43916</v>
      </c>
      <c r="C699" t="s">
        <v>12</v>
      </c>
      <c r="D699">
        <v>497</v>
      </c>
      <c r="E699">
        <v>-762</v>
      </c>
      <c r="F699" s="5">
        <v>43891</v>
      </c>
      <c r="G699">
        <v>-497</v>
      </c>
      <c r="H699" t="s">
        <v>58</v>
      </c>
    </row>
    <row r="700" spans="1:8" x14ac:dyDescent="0.3">
      <c r="A700">
        <v>61</v>
      </c>
      <c r="B700" s="5">
        <v>43916</v>
      </c>
      <c r="C700" t="s">
        <v>12</v>
      </c>
      <c r="D700">
        <v>773</v>
      </c>
      <c r="E700">
        <v>-1535</v>
      </c>
      <c r="F700" s="5">
        <v>43891</v>
      </c>
      <c r="G700">
        <v>-773</v>
      </c>
      <c r="H700" t="s">
        <v>58</v>
      </c>
    </row>
    <row r="701" spans="1:8" x14ac:dyDescent="0.3">
      <c r="A701">
        <v>61</v>
      </c>
      <c r="B701" s="5">
        <v>43917</v>
      </c>
      <c r="C701" t="s">
        <v>11</v>
      </c>
      <c r="D701">
        <v>552</v>
      </c>
      <c r="E701">
        <v>-2087</v>
      </c>
      <c r="F701" s="5">
        <v>43891</v>
      </c>
      <c r="G701">
        <v>-552</v>
      </c>
      <c r="H701" t="s">
        <v>58</v>
      </c>
    </row>
    <row r="702" spans="1:8" x14ac:dyDescent="0.3">
      <c r="A702">
        <v>61</v>
      </c>
      <c r="B702" s="5">
        <v>43921</v>
      </c>
      <c r="C702" t="s">
        <v>11</v>
      </c>
      <c r="D702">
        <v>480</v>
      </c>
      <c r="E702">
        <v>-2567</v>
      </c>
      <c r="F702" s="5">
        <v>43891</v>
      </c>
      <c r="G702">
        <v>-480</v>
      </c>
      <c r="H702" t="s">
        <v>58</v>
      </c>
    </row>
    <row r="703" spans="1:8" x14ac:dyDescent="0.3">
      <c r="A703">
        <v>61</v>
      </c>
      <c r="B703" s="5">
        <v>43921</v>
      </c>
      <c r="C703" t="s">
        <v>10</v>
      </c>
      <c r="D703">
        <v>857</v>
      </c>
      <c r="E703">
        <v>-1710</v>
      </c>
      <c r="F703" s="5">
        <v>43891</v>
      </c>
      <c r="G703">
        <v>857</v>
      </c>
      <c r="H703" t="s">
        <v>58</v>
      </c>
    </row>
    <row r="704" spans="1:8" x14ac:dyDescent="0.3">
      <c r="A704">
        <v>61</v>
      </c>
      <c r="B704" s="5">
        <v>43925</v>
      </c>
      <c r="C704" t="s">
        <v>11</v>
      </c>
      <c r="D704">
        <v>845</v>
      </c>
      <c r="E704">
        <v>-2555</v>
      </c>
      <c r="F704" s="5">
        <v>43922</v>
      </c>
      <c r="G704">
        <v>-845</v>
      </c>
      <c r="H704" t="s">
        <v>58</v>
      </c>
    </row>
    <row r="705" spans="1:8" x14ac:dyDescent="0.3">
      <c r="A705">
        <v>61</v>
      </c>
      <c r="B705" s="5">
        <v>43936</v>
      </c>
      <c r="C705" t="s">
        <v>10</v>
      </c>
      <c r="D705">
        <v>318</v>
      </c>
      <c r="E705">
        <v>-2237</v>
      </c>
      <c r="F705" s="5">
        <v>43922</v>
      </c>
      <c r="G705">
        <v>318</v>
      </c>
      <c r="H705" t="s">
        <v>58</v>
      </c>
    </row>
    <row r="706" spans="1:8" x14ac:dyDescent="0.3">
      <c r="A706">
        <v>62</v>
      </c>
      <c r="B706" s="5">
        <v>43846</v>
      </c>
      <c r="C706" t="s">
        <v>10</v>
      </c>
      <c r="D706">
        <v>218</v>
      </c>
      <c r="E706">
        <v>218</v>
      </c>
      <c r="F706" s="5">
        <v>43831</v>
      </c>
      <c r="G706">
        <v>218</v>
      </c>
      <c r="H706" t="s">
        <v>57</v>
      </c>
    </row>
    <row r="707" spans="1:8" x14ac:dyDescent="0.3">
      <c r="A707">
        <v>62</v>
      </c>
      <c r="B707" s="5">
        <v>43854</v>
      </c>
      <c r="C707" t="s">
        <v>11</v>
      </c>
      <c r="D707">
        <v>430</v>
      </c>
      <c r="E707">
        <v>-212</v>
      </c>
      <c r="F707" s="5">
        <v>43831</v>
      </c>
      <c r="G707">
        <v>-430</v>
      </c>
      <c r="H707" t="s">
        <v>58</v>
      </c>
    </row>
    <row r="708" spans="1:8" x14ac:dyDescent="0.3">
      <c r="A708">
        <v>62</v>
      </c>
      <c r="B708" s="5">
        <v>43906</v>
      </c>
      <c r="C708" t="s">
        <v>11</v>
      </c>
      <c r="D708">
        <v>551</v>
      </c>
      <c r="E708">
        <v>-763</v>
      </c>
      <c r="F708" s="5">
        <v>43891</v>
      </c>
      <c r="G708">
        <v>-551</v>
      </c>
      <c r="H708" t="s">
        <v>58</v>
      </c>
    </row>
    <row r="709" spans="1:8" x14ac:dyDescent="0.3">
      <c r="A709">
        <v>63</v>
      </c>
      <c r="B709" s="5">
        <v>43836</v>
      </c>
      <c r="C709" t="s">
        <v>10</v>
      </c>
      <c r="D709">
        <v>234</v>
      </c>
      <c r="E709">
        <v>234</v>
      </c>
      <c r="F709" s="5">
        <v>43831</v>
      </c>
      <c r="G709">
        <v>234</v>
      </c>
      <c r="H709" t="s">
        <v>57</v>
      </c>
    </row>
    <row r="710" spans="1:8" x14ac:dyDescent="0.3">
      <c r="A710">
        <v>63</v>
      </c>
      <c r="B710" s="5">
        <v>43840</v>
      </c>
      <c r="C710" t="s">
        <v>11</v>
      </c>
      <c r="D710">
        <v>253</v>
      </c>
      <c r="E710">
        <v>-19</v>
      </c>
      <c r="F710" s="5">
        <v>43831</v>
      </c>
      <c r="G710">
        <v>-253</v>
      </c>
      <c r="H710" t="s">
        <v>58</v>
      </c>
    </row>
    <row r="711" spans="1:8" x14ac:dyDescent="0.3">
      <c r="A711">
        <v>63</v>
      </c>
      <c r="B711" s="5">
        <v>43846</v>
      </c>
      <c r="C711" t="s">
        <v>11</v>
      </c>
      <c r="D711">
        <v>88</v>
      </c>
      <c r="E711">
        <v>-107</v>
      </c>
      <c r="F711" s="5">
        <v>43831</v>
      </c>
      <c r="G711">
        <v>-88</v>
      </c>
      <c r="H711" t="s">
        <v>58</v>
      </c>
    </row>
    <row r="712" spans="1:8" x14ac:dyDescent="0.3">
      <c r="A712">
        <v>63</v>
      </c>
      <c r="B712" s="5">
        <v>43855</v>
      </c>
      <c r="C712" t="s">
        <v>11</v>
      </c>
      <c r="D712">
        <v>225</v>
      </c>
      <c r="E712">
        <v>-332</v>
      </c>
      <c r="F712" s="5">
        <v>43831</v>
      </c>
      <c r="G712">
        <v>-225</v>
      </c>
      <c r="H712" t="s">
        <v>58</v>
      </c>
    </row>
    <row r="713" spans="1:8" x14ac:dyDescent="0.3">
      <c r="A713">
        <v>63</v>
      </c>
      <c r="B713" s="5">
        <v>43869</v>
      </c>
      <c r="C713" t="s">
        <v>11</v>
      </c>
      <c r="D713">
        <v>432</v>
      </c>
      <c r="E713">
        <v>-764</v>
      </c>
      <c r="F713" s="5">
        <v>43862</v>
      </c>
      <c r="G713">
        <v>-432</v>
      </c>
      <c r="H713" t="s">
        <v>58</v>
      </c>
    </row>
    <row r="714" spans="1:8" x14ac:dyDescent="0.3">
      <c r="A714">
        <v>63</v>
      </c>
      <c r="B714" s="5">
        <v>43872</v>
      </c>
      <c r="C714" t="s">
        <v>10</v>
      </c>
      <c r="D714">
        <v>363</v>
      </c>
      <c r="E714">
        <v>-401</v>
      </c>
      <c r="F714" s="5">
        <v>43862</v>
      </c>
      <c r="G714">
        <v>363</v>
      </c>
      <c r="H714" t="s">
        <v>58</v>
      </c>
    </row>
    <row r="715" spans="1:8" x14ac:dyDescent="0.3">
      <c r="A715">
        <v>63</v>
      </c>
      <c r="B715" s="5">
        <v>43884</v>
      </c>
      <c r="C715" t="s">
        <v>12</v>
      </c>
      <c r="D715">
        <v>396</v>
      </c>
      <c r="E715">
        <v>-797</v>
      </c>
      <c r="F715" s="5">
        <v>43862</v>
      </c>
      <c r="G715">
        <v>-396</v>
      </c>
      <c r="H715" t="s">
        <v>58</v>
      </c>
    </row>
    <row r="716" spans="1:8" x14ac:dyDescent="0.3">
      <c r="A716">
        <v>63</v>
      </c>
      <c r="B716" s="5">
        <v>43885</v>
      </c>
      <c r="C716" t="s">
        <v>12</v>
      </c>
      <c r="D716">
        <v>156</v>
      </c>
      <c r="E716">
        <v>-953</v>
      </c>
      <c r="F716" s="5">
        <v>43862</v>
      </c>
      <c r="G716">
        <v>-156</v>
      </c>
      <c r="H716" t="s">
        <v>58</v>
      </c>
    </row>
    <row r="717" spans="1:8" x14ac:dyDescent="0.3">
      <c r="A717">
        <v>63</v>
      </c>
      <c r="B717" s="5">
        <v>43896</v>
      </c>
      <c r="C717" t="s">
        <v>12</v>
      </c>
      <c r="D717">
        <v>151</v>
      </c>
      <c r="E717">
        <v>-1104</v>
      </c>
      <c r="F717" s="5">
        <v>43891</v>
      </c>
      <c r="G717">
        <v>-151</v>
      </c>
      <c r="H717" t="s">
        <v>58</v>
      </c>
    </row>
    <row r="718" spans="1:8" x14ac:dyDescent="0.3">
      <c r="A718">
        <v>63</v>
      </c>
      <c r="B718" s="5">
        <v>43900</v>
      </c>
      <c r="C718" t="s">
        <v>12</v>
      </c>
      <c r="D718">
        <v>932</v>
      </c>
      <c r="E718">
        <v>-2036</v>
      </c>
      <c r="F718" s="5">
        <v>43891</v>
      </c>
      <c r="G718">
        <v>-932</v>
      </c>
      <c r="H718" t="s">
        <v>58</v>
      </c>
    </row>
    <row r="719" spans="1:8" x14ac:dyDescent="0.3">
      <c r="A719">
        <v>63</v>
      </c>
      <c r="B719" s="5">
        <v>43902</v>
      </c>
      <c r="C719" t="s">
        <v>11</v>
      </c>
      <c r="D719">
        <v>618</v>
      </c>
      <c r="E719">
        <v>-2654</v>
      </c>
      <c r="F719" s="5">
        <v>43891</v>
      </c>
      <c r="G719">
        <v>-618</v>
      </c>
      <c r="H719" t="s">
        <v>58</v>
      </c>
    </row>
    <row r="720" spans="1:8" x14ac:dyDescent="0.3">
      <c r="A720">
        <v>63</v>
      </c>
      <c r="B720" s="5">
        <v>43913</v>
      </c>
      <c r="C720" t="s">
        <v>12</v>
      </c>
      <c r="D720">
        <v>727</v>
      </c>
      <c r="E720">
        <v>-3381</v>
      </c>
      <c r="F720" s="5">
        <v>43891</v>
      </c>
      <c r="G720">
        <v>-727</v>
      </c>
      <c r="H720" t="s">
        <v>58</v>
      </c>
    </row>
    <row r="721" spans="1:8" x14ac:dyDescent="0.3">
      <c r="A721">
        <v>63</v>
      </c>
      <c r="B721" s="5">
        <v>43921</v>
      </c>
      <c r="C721" t="s">
        <v>11</v>
      </c>
      <c r="D721">
        <v>565</v>
      </c>
      <c r="E721">
        <v>-3946</v>
      </c>
      <c r="F721" s="5">
        <v>43891</v>
      </c>
      <c r="G721">
        <v>-565</v>
      </c>
      <c r="H721" t="s">
        <v>58</v>
      </c>
    </row>
    <row r="722" spans="1:8" x14ac:dyDescent="0.3">
      <c r="A722">
        <v>64</v>
      </c>
      <c r="B722" s="5">
        <v>43838</v>
      </c>
      <c r="C722" t="s">
        <v>10</v>
      </c>
      <c r="D722">
        <v>442</v>
      </c>
      <c r="E722">
        <v>442</v>
      </c>
      <c r="F722" s="5">
        <v>43831</v>
      </c>
      <c r="G722">
        <v>442</v>
      </c>
      <c r="H722" t="s">
        <v>57</v>
      </c>
    </row>
    <row r="723" spans="1:8" x14ac:dyDescent="0.3">
      <c r="A723">
        <v>64</v>
      </c>
      <c r="B723" s="5">
        <v>43855</v>
      </c>
      <c r="C723" t="s">
        <v>10</v>
      </c>
      <c r="D723">
        <v>993</v>
      </c>
      <c r="E723">
        <v>1435</v>
      </c>
      <c r="F723" s="5">
        <v>43831</v>
      </c>
      <c r="G723">
        <v>993</v>
      </c>
      <c r="H723" t="s">
        <v>57</v>
      </c>
    </row>
    <row r="724" spans="1:8" x14ac:dyDescent="0.3">
      <c r="A724">
        <v>64</v>
      </c>
      <c r="B724" s="5">
        <v>43856</v>
      </c>
      <c r="C724" t="s">
        <v>10</v>
      </c>
      <c r="D724">
        <v>897</v>
      </c>
      <c r="E724">
        <v>2332</v>
      </c>
      <c r="F724" s="5">
        <v>43831</v>
      </c>
      <c r="G724">
        <v>897</v>
      </c>
      <c r="H724" t="s">
        <v>57</v>
      </c>
    </row>
    <row r="725" spans="1:8" x14ac:dyDescent="0.3">
      <c r="A725">
        <v>64</v>
      </c>
      <c r="B725" s="5">
        <v>43864</v>
      </c>
      <c r="C725" t="s">
        <v>10</v>
      </c>
      <c r="D725">
        <v>49</v>
      </c>
      <c r="E725">
        <v>2381</v>
      </c>
      <c r="F725" s="5">
        <v>43862</v>
      </c>
      <c r="G725">
        <v>49</v>
      </c>
      <c r="H725" t="s">
        <v>57</v>
      </c>
    </row>
    <row r="726" spans="1:8" x14ac:dyDescent="0.3">
      <c r="A726">
        <v>64</v>
      </c>
      <c r="B726" s="5">
        <v>43872</v>
      </c>
      <c r="C726" t="s">
        <v>11</v>
      </c>
      <c r="D726">
        <v>464</v>
      </c>
      <c r="E726">
        <v>1917</v>
      </c>
      <c r="F726" s="5">
        <v>43862</v>
      </c>
      <c r="G726">
        <v>-464</v>
      </c>
      <c r="H726" t="s">
        <v>57</v>
      </c>
    </row>
    <row r="727" spans="1:8" x14ac:dyDescent="0.3">
      <c r="A727">
        <v>64</v>
      </c>
      <c r="B727" s="5">
        <v>43879</v>
      </c>
      <c r="C727" t="s">
        <v>12</v>
      </c>
      <c r="D727">
        <v>363</v>
      </c>
      <c r="E727">
        <v>1554</v>
      </c>
      <c r="F727" s="5">
        <v>43862</v>
      </c>
      <c r="G727">
        <v>-363</v>
      </c>
      <c r="H727" t="s">
        <v>57</v>
      </c>
    </row>
    <row r="728" spans="1:8" x14ac:dyDescent="0.3">
      <c r="A728">
        <v>64</v>
      </c>
      <c r="B728" s="5">
        <v>43898</v>
      </c>
      <c r="C728" t="s">
        <v>10</v>
      </c>
      <c r="D728">
        <v>156</v>
      </c>
      <c r="E728">
        <v>1710</v>
      </c>
      <c r="F728" s="5">
        <v>43891</v>
      </c>
      <c r="G728">
        <v>156</v>
      </c>
      <c r="H728" t="s">
        <v>57</v>
      </c>
    </row>
    <row r="729" spans="1:8" x14ac:dyDescent="0.3">
      <c r="A729">
        <v>64</v>
      </c>
      <c r="B729" s="5">
        <v>43912</v>
      </c>
      <c r="C729" t="s">
        <v>12</v>
      </c>
      <c r="D729">
        <v>904</v>
      </c>
      <c r="E729">
        <v>806</v>
      </c>
      <c r="F729" s="5">
        <v>43891</v>
      </c>
      <c r="G729">
        <v>-904</v>
      </c>
      <c r="H729" t="s">
        <v>57</v>
      </c>
    </row>
    <row r="730" spans="1:8" x14ac:dyDescent="0.3">
      <c r="A730">
        <v>64</v>
      </c>
      <c r="B730" s="5">
        <v>43919</v>
      </c>
      <c r="C730" t="s">
        <v>11</v>
      </c>
      <c r="D730">
        <v>561</v>
      </c>
      <c r="E730">
        <v>245</v>
      </c>
      <c r="F730" s="5">
        <v>43891</v>
      </c>
      <c r="G730">
        <v>-561</v>
      </c>
      <c r="H730" t="s">
        <v>57</v>
      </c>
    </row>
    <row r="731" spans="1:8" x14ac:dyDescent="0.3">
      <c r="A731">
        <v>65</v>
      </c>
      <c r="B731" s="5">
        <v>43856</v>
      </c>
      <c r="C731" t="s">
        <v>10</v>
      </c>
      <c r="D731">
        <v>690</v>
      </c>
      <c r="E731">
        <v>690</v>
      </c>
      <c r="F731" s="5">
        <v>43831</v>
      </c>
      <c r="G731">
        <v>690</v>
      </c>
      <c r="H731" t="s">
        <v>57</v>
      </c>
    </row>
    <row r="732" spans="1:8" x14ac:dyDescent="0.3">
      <c r="A732">
        <v>65</v>
      </c>
      <c r="B732" s="5">
        <v>43860</v>
      </c>
      <c r="C732" t="s">
        <v>11</v>
      </c>
      <c r="D732">
        <v>665</v>
      </c>
      <c r="E732">
        <v>25</v>
      </c>
      <c r="F732" s="5">
        <v>43831</v>
      </c>
      <c r="G732">
        <v>-665</v>
      </c>
      <c r="H732" t="s">
        <v>57</v>
      </c>
    </row>
    <row r="733" spans="1:8" x14ac:dyDescent="0.3">
      <c r="A733">
        <v>65</v>
      </c>
      <c r="B733" s="5">
        <v>43893</v>
      </c>
      <c r="C733" t="s">
        <v>11</v>
      </c>
      <c r="D733">
        <v>81</v>
      </c>
      <c r="E733">
        <v>-56</v>
      </c>
      <c r="F733" s="5">
        <v>43891</v>
      </c>
      <c r="G733">
        <v>-81</v>
      </c>
      <c r="H733" t="s">
        <v>58</v>
      </c>
    </row>
    <row r="734" spans="1:8" x14ac:dyDescent="0.3">
      <c r="A734">
        <v>65</v>
      </c>
      <c r="B734" s="5">
        <v>43907</v>
      </c>
      <c r="C734" t="s">
        <v>10</v>
      </c>
      <c r="D734">
        <v>260</v>
      </c>
      <c r="E734">
        <v>204</v>
      </c>
      <c r="F734" s="5">
        <v>43891</v>
      </c>
      <c r="G734">
        <v>260</v>
      </c>
      <c r="H734" t="s">
        <v>57</v>
      </c>
    </row>
    <row r="735" spans="1:8" x14ac:dyDescent="0.3">
      <c r="A735">
        <v>65</v>
      </c>
      <c r="B735" s="5">
        <v>43916</v>
      </c>
      <c r="C735" t="s">
        <v>12</v>
      </c>
      <c r="D735">
        <v>558</v>
      </c>
      <c r="E735">
        <v>-354</v>
      </c>
      <c r="F735" s="5">
        <v>43891</v>
      </c>
      <c r="G735">
        <v>-558</v>
      </c>
      <c r="H735" t="s">
        <v>58</v>
      </c>
    </row>
    <row r="736" spans="1:8" x14ac:dyDescent="0.3">
      <c r="A736">
        <v>65</v>
      </c>
      <c r="B736" s="5">
        <v>43916</v>
      </c>
      <c r="C736" t="s">
        <v>11</v>
      </c>
      <c r="D736">
        <v>96</v>
      </c>
      <c r="E736">
        <v>-450</v>
      </c>
      <c r="F736" s="5">
        <v>43891</v>
      </c>
      <c r="G736">
        <v>-96</v>
      </c>
      <c r="H736" t="s">
        <v>58</v>
      </c>
    </row>
    <row r="737" spans="1:8" x14ac:dyDescent="0.3">
      <c r="A737">
        <v>65</v>
      </c>
      <c r="B737" s="5">
        <v>43931</v>
      </c>
      <c r="C737" t="s">
        <v>11</v>
      </c>
      <c r="D737">
        <v>931</v>
      </c>
      <c r="E737">
        <v>-1381</v>
      </c>
      <c r="F737" s="5">
        <v>43922</v>
      </c>
      <c r="G737">
        <v>-931</v>
      </c>
      <c r="H737" t="s">
        <v>58</v>
      </c>
    </row>
    <row r="738" spans="1:8" x14ac:dyDescent="0.3">
      <c r="A738">
        <v>66</v>
      </c>
      <c r="B738" s="5">
        <v>43846</v>
      </c>
      <c r="C738" t="s">
        <v>10</v>
      </c>
      <c r="D738">
        <v>917</v>
      </c>
      <c r="E738">
        <v>917</v>
      </c>
      <c r="F738" s="5">
        <v>43831</v>
      </c>
      <c r="G738">
        <v>917</v>
      </c>
      <c r="H738" t="s">
        <v>57</v>
      </c>
    </row>
    <row r="739" spans="1:8" x14ac:dyDescent="0.3">
      <c r="A739">
        <v>66</v>
      </c>
      <c r="B739" s="5">
        <v>43847</v>
      </c>
      <c r="C739" t="s">
        <v>10</v>
      </c>
      <c r="D739">
        <v>175</v>
      </c>
      <c r="E739">
        <v>1092</v>
      </c>
      <c r="F739" s="5">
        <v>43831</v>
      </c>
      <c r="G739">
        <v>175</v>
      </c>
      <c r="H739" t="s">
        <v>57</v>
      </c>
    </row>
    <row r="740" spans="1:8" x14ac:dyDescent="0.3">
      <c r="A740">
        <v>66</v>
      </c>
      <c r="B740" s="5">
        <v>43850</v>
      </c>
      <c r="C740" t="s">
        <v>10</v>
      </c>
      <c r="D740">
        <v>463</v>
      </c>
      <c r="E740">
        <v>1555</v>
      </c>
      <c r="F740" s="5">
        <v>43831</v>
      </c>
      <c r="G740">
        <v>463</v>
      </c>
      <c r="H740" t="s">
        <v>57</v>
      </c>
    </row>
    <row r="741" spans="1:8" x14ac:dyDescent="0.3">
      <c r="A741">
        <v>66</v>
      </c>
      <c r="B741" s="5">
        <v>43852</v>
      </c>
      <c r="C741" t="s">
        <v>10</v>
      </c>
      <c r="D741">
        <v>493</v>
      </c>
      <c r="E741">
        <v>2048</v>
      </c>
      <c r="F741" s="5">
        <v>43831</v>
      </c>
      <c r="G741">
        <v>493</v>
      </c>
      <c r="H741" t="s">
        <v>57</v>
      </c>
    </row>
    <row r="742" spans="1:8" x14ac:dyDescent="0.3">
      <c r="A742">
        <v>66</v>
      </c>
      <c r="B742" s="5">
        <v>43853</v>
      </c>
      <c r="C742" t="s">
        <v>11</v>
      </c>
      <c r="D742">
        <v>77</v>
      </c>
      <c r="E742">
        <v>1971</v>
      </c>
      <c r="F742" s="5">
        <v>43831</v>
      </c>
      <c r="G742">
        <v>-77</v>
      </c>
      <c r="H742" t="s">
        <v>57</v>
      </c>
    </row>
    <row r="743" spans="1:8" x14ac:dyDescent="0.3">
      <c r="A743">
        <v>66</v>
      </c>
      <c r="B743" s="5">
        <v>43881</v>
      </c>
      <c r="C743" t="s">
        <v>11</v>
      </c>
      <c r="D743">
        <v>422</v>
      </c>
      <c r="E743">
        <v>1549</v>
      </c>
      <c r="F743" s="5">
        <v>43862</v>
      </c>
      <c r="G743">
        <v>-422</v>
      </c>
      <c r="H743" t="s">
        <v>57</v>
      </c>
    </row>
    <row r="744" spans="1:8" x14ac:dyDescent="0.3">
      <c r="A744">
        <v>66</v>
      </c>
      <c r="B744" s="5">
        <v>43882</v>
      </c>
      <c r="C744" t="s">
        <v>12</v>
      </c>
      <c r="D744">
        <v>57</v>
      </c>
      <c r="E744">
        <v>1492</v>
      </c>
      <c r="F744" s="5">
        <v>43862</v>
      </c>
      <c r="G744">
        <v>-57</v>
      </c>
      <c r="H744" t="s">
        <v>57</v>
      </c>
    </row>
    <row r="745" spans="1:8" x14ac:dyDescent="0.3">
      <c r="A745">
        <v>66</v>
      </c>
      <c r="B745" s="5">
        <v>43896</v>
      </c>
      <c r="C745" t="s">
        <v>11</v>
      </c>
      <c r="D745">
        <v>908</v>
      </c>
      <c r="E745">
        <v>584</v>
      </c>
      <c r="F745" s="5">
        <v>43891</v>
      </c>
      <c r="G745">
        <v>-908</v>
      </c>
      <c r="H745" t="s">
        <v>57</v>
      </c>
    </row>
    <row r="746" spans="1:8" x14ac:dyDescent="0.3">
      <c r="A746">
        <v>66</v>
      </c>
      <c r="B746" s="5">
        <v>43903</v>
      </c>
      <c r="C746" t="s">
        <v>12</v>
      </c>
      <c r="D746">
        <v>528</v>
      </c>
      <c r="E746">
        <v>56</v>
      </c>
      <c r="F746" s="5">
        <v>43891</v>
      </c>
      <c r="G746">
        <v>-528</v>
      </c>
      <c r="H746" t="s">
        <v>57</v>
      </c>
    </row>
    <row r="747" spans="1:8" x14ac:dyDescent="0.3">
      <c r="A747">
        <v>66</v>
      </c>
      <c r="B747" s="5">
        <v>43914</v>
      </c>
      <c r="C747" t="s">
        <v>12</v>
      </c>
      <c r="D747">
        <v>573</v>
      </c>
      <c r="E747">
        <v>-517</v>
      </c>
      <c r="F747" s="5">
        <v>43891</v>
      </c>
      <c r="G747">
        <v>-573</v>
      </c>
      <c r="H747" t="s">
        <v>58</v>
      </c>
    </row>
    <row r="748" spans="1:8" x14ac:dyDescent="0.3">
      <c r="A748">
        <v>67</v>
      </c>
      <c r="B748" s="5">
        <v>43852</v>
      </c>
      <c r="C748" t="s">
        <v>10</v>
      </c>
      <c r="D748">
        <v>79</v>
      </c>
      <c r="E748">
        <v>79</v>
      </c>
      <c r="F748" s="5">
        <v>43831</v>
      </c>
      <c r="G748">
        <v>79</v>
      </c>
      <c r="H748" t="s">
        <v>57</v>
      </c>
    </row>
    <row r="749" spans="1:8" x14ac:dyDescent="0.3">
      <c r="A749">
        <v>67</v>
      </c>
      <c r="B749" s="5">
        <v>43853</v>
      </c>
      <c r="C749" t="s">
        <v>10</v>
      </c>
      <c r="D749">
        <v>125</v>
      </c>
      <c r="E749">
        <v>204</v>
      </c>
      <c r="F749" s="5">
        <v>43831</v>
      </c>
      <c r="G749">
        <v>125</v>
      </c>
      <c r="H749" t="s">
        <v>57</v>
      </c>
    </row>
    <row r="750" spans="1:8" x14ac:dyDescent="0.3">
      <c r="A750">
        <v>67</v>
      </c>
      <c r="B750" s="5">
        <v>43853</v>
      </c>
      <c r="C750" t="s">
        <v>10</v>
      </c>
      <c r="D750">
        <v>705</v>
      </c>
      <c r="E750">
        <v>909</v>
      </c>
      <c r="F750" s="5">
        <v>43831</v>
      </c>
      <c r="G750">
        <v>705</v>
      </c>
      <c r="H750" t="s">
        <v>57</v>
      </c>
    </row>
    <row r="751" spans="1:8" x14ac:dyDescent="0.3">
      <c r="A751">
        <v>67</v>
      </c>
      <c r="B751" s="5">
        <v>43856</v>
      </c>
      <c r="C751" t="s">
        <v>10</v>
      </c>
      <c r="D751">
        <v>684</v>
      </c>
      <c r="E751">
        <v>1593</v>
      </c>
      <c r="F751" s="5">
        <v>43831</v>
      </c>
      <c r="G751">
        <v>684</v>
      </c>
      <c r="H751" t="s">
        <v>57</v>
      </c>
    </row>
    <row r="752" spans="1:8" x14ac:dyDescent="0.3">
      <c r="A752">
        <v>67</v>
      </c>
      <c r="B752" s="5">
        <v>43866</v>
      </c>
      <c r="C752" t="s">
        <v>10</v>
      </c>
      <c r="D752">
        <v>748</v>
      </c>
      <c r="E752">
        <v>2341</v>
      </c>
      <c r="F752" s="5">
        <v>43862</v>
      </c>
      <c r="G752">
        <v>748</v>
      </c>
      <c r="H752" t="s">
        <v>57</v>
      </c>
    </row>
    <row r="753" spans="1:8" x14ac:dyDescent="0.3">
      <c r="A753">
        <v>67</v>
      </c>
      <c r="B753" s="5">
        <v>43868</v>
      </c>
      <c r="C753" t="s">
        <v>11</v>
      </c>
      <c r="D753">
        <v>393</v>
      </c>
      <c r="E753">
        <v>1948</v>
      </c>
      <c r="F753" s="5">
        <v>43862</v>
      </c>
      <c r="G753">
        <v>-393</v>
      </c>
      <c r="H753" t="s">
        <v>57</v>
      </c>
    </row>
    <row r="754" spans="1:8" x14ac:dyDescent="0.3">
      <c r="A754">
        <v>67</v>
      </c>
      <c r="B754" s="5">
        <v>43879</v>
      </c>
      <c r="C754" t="s">
        <v>10</v>
      </c>
      <c r="D754">
        <v>617</v>
      </c>
      <c r="E754">
        <v>2565</v>
      </c>
      <c r="F754" s="5">
        <v>43862</v>
      </c>
      <c r="G754">
        <v>617</v>
      </c>
      <c r="H754" t="s">
        <v>57</v>
      </c>
    </row>
    <row r="755" spans="1:8" x14ac:dyDescent="0.3">
      <c r="A755">
        <v>67</v>
      </c>
      <c r="B755" s="5">
        <v>43891</v>
      </c>
      <c r="C755" t="s">
        <v>10</v>
      </c>
      <c r="D755">
        <v>873</v>
      </c>
      <c r="E755">
        <v>3438</v>
      </c>
      <c r="F755" s="5">
        <v>43891</v>
      </c>
      <c r="G755">
        <v>873</v>
      </c>
      <c r="H755" t="s">
        <v>57</v>
      </c>
    </row>
    <row r="756" spans="1:8" x14ac:dyDescent="0.3">
      <c r="A756">
        <v>67</v>
      </c>
      <c r="B756" s="5">
        <v>43891</v>
      </c>
      <c r="C756" t="s">
        <v>11</v>
      </c>
      <c r="D756">
        <v>770</v>
      </c>
      <c r="E756">
        <v>2668</v>
      </c>
      <c r="F756" s="5">
        <v>43891</v>
      </c>
      <c r="G756">
        <v>-770</v>
      </c>
      <c r="H756" t="s">
        <v>57</v>
      </c>
    </row>
    <row r="757" spans="1:8" x14ac:dyDescent="0.3">
      <c r="A757">
        <v>67</v>
      </c>
      <c r="B757" s="5">
        <v>43908</v>
      </c>
      <c r="C757" t="s">
        <v>12</v>
      </c>
      <c r="D757">
        <v>907</v>
      </c>
      <c r="E757">
        <v>1761</v>
      </c>
      <c r="F757" s="5">
        <v>43891</v>
      </c>
      <c r="G757">
        <v>-907</v>
      </c>
      <c r="H757" t="s">
        <v>57</v>
      </c>
    </row>
    <row r="758" spans="1:8" x14ac:dyDescent="0.3">
      <c r="A758">
        <v>67</v>
      </c>
      <c r="B758" s="5">
        <v>43914</v>
      </c>
      <c r="C758" t="s">
        <v>10</v>
      </c>
      <c r="D758">
        <v>289</v>
      </c>
      <c r="E758">
        <v>2050</v>
      </c>
      <c r="F758" s="5">
        <v>43891</v>
      </c>
      <c r="G758">
        <v>289</v>
      </c>
      <c r="H758" t="s">
        <v>57</v>
      </c>
    </row>
    <row r="759" spans="1:8" x14ac:dyDescent="0.3">
      <c r="A759">
        <v>67</v>
      </c>
      <c r="B759" s="5">
        <v>43923</v>
      </c>
      <c r="C759" t="s">
        <v>10</v>
      </c>
      <c r="D759">
        <v>344</v>
      </c>
      <c r="E759">
        <v>2394</v>
      </c>
      <c r="F759" s="5">
        <v>43922</v>
      </c>
      <c r="G759">
        <v>344</v>
      </c>
      <c r="H759" t="s">
        <v>57</v>
      </c>
    </row>
    <row r="760" spans="1:8" x14ac:dyDescent="0.3">
      <c r="A760">
        <v>67</v>
      </c>
      <c r="B760" s="5">
        <v>43927</v>
      </c>
      <c r="C760" t="s">
        <v>11</v>
      </c>
      <c r="D760">
        <v>230</v>
      </c>
      <c r="E760">
        <v>2164</v>
      </c>
      <c r="F760" s="5">
        <v>43922</v>
      </c>
      <c r="G760">
        <v>-230</v>
      </c>
      <c r="H760" t="s">
        <v>57</v>
      </c>
    </row>
    <row r="761" spans="1:8" x14ac:dyDescent="0.3">
      <c r="A761">
        <v>67</v>
      </c>
      <c r="B761" s="5">
        <v>43930</v>
      </c>
      <c r="C761" t="s">
        <v>11</v>
      </c>
      <c r="D761">
        <v>191</v>
      </c>
      <c r="E761">
        <v>1973</v>
      </c>
      <c r="F761" s="5">
        <v>43922</v>
      </c>
      <c r="G761">
        <v>-191</v>
      </c>
      <c r="H761" t="s">
        <v>57</v>
      </c>
    </row>
    <row r="762" spans="1:8" x14ac:dyDescent="0.3">
      <c r="A762">
        <v>67</v>
      </c>
      <c r="B762" s="5">
        <v>43930</v>
      </c>
      <c r="C762" t="s">
        <v>11</v>
      </c>
      <c r="D762">
        <v>751</v>
      </c>
      <c r="E762">
        <v>1222</v>
      </c>
      <c r="F762" s="5">
        <v>43922</v>
      </c>
      <c r="G762">
        <v>-751</v>
      </c>
      <c r="H762" t="s">
        <v>57</v>
      </c>
    </row>
    <row r="763" spans="1:8" x14ac:dyDescent="0.3">
      <c r="A763">
        <v>68</v>
      </c>
      <c r="B763" s="5">
        <v>43850</v>
      </c>
      <c r="C763" t="s">
        <v>10</v>
      </c>
      <c r="D763">
        <v>574</v>
      </c>
      <c r="E763">
        <v>574</v>
      </c>
      <c r="F763" s="5">
        <v>43831</v>
      </c>
      <c r="G763">
        <v>574</v>
      </c>
      <c r="H763" t="s">
        <v>57</v>
      </c>
    </row>
    <row r="764" spans="1:8" x14ac:dyDescent="0.3">
      <c r="A764">
        <v>68</v>
      </c>
      <c r="B764" s="5">
        <v>43888</v>
      </c>
      <c r="C764" t="s">
        <v>11</v>
      </c>
      <c r="D764">
        <v>296</v>
      </c>
      <c r="E764">
        <v>278</v>
      </c>
      <c r="F764" s="5">
        <v>43862</v>
      </c>
      <c r="G764">
        <v>-296</v>
      </c>
      <c r="H764" t="s">
        <v>57</v>
      </c>
    </row>
    <row r="765" spans="1:8" x14ac:dyDescent="0.3">
      <c r="A765">
        <v>68</v>
      </c>
      <c r="B765" s="5">
        <v>43893</v>
      </c>
      <c r="C765" t="s">
        <v>11</v>
      </c>
      <c r="D765">
        <v>696</v>
      </c>
      <c r="E765">
        <v>-418</v>
      </c>
      <c r="F765" s="5">
        <v>43891</v>
      </c>
      <c r="G765">
        <v>-696</v>
      </c>
      <c r="H765" t="s">
        <v>58</v>
      </c>
    </row>
    <row r="766" spans="1:8" x14ac:dyDescent="0.3">
      <c r="A766">
        <v>68</v>
      </c>
      <c r="B766" s="5">
        <v>43898</v>
      </c>
      <c r="C766" t="s">
        <v>10</v>
      </c>
      <c r="D766">
        <v>488</v>
      </c>
      <c r="E766">
        <v>70</v>
      </c>
      <c r="F766" s="5">
        <v>43891</v>
      </c>
      <c r="G766">
        <v>488</v>
      </c>
      <c r="H766" t="s">
        <v>57</v>
      </c>
    </row>
    <row r="767" spans="1:8" x14ac:dyDescent="0.3">
      <c r="A767">
        <v>68</v>
      </c>
      <c r="B767" s="5">
        <v>43907</v>
      </c>
      <c r="C767" t="s">
        <v>11</v>
      </c>
      <c r="D767">
        <v>536</v>
      </c>
      <c r="E767">
        <v>-466</v>
      </c>
      <c r="F767" s="5">
        <v>43891</v>
      </c>
      <c r="G767">
        <v>-536</v>
      </c>
      <c r="H767" t="s">
        <v>58</v>
      </c>
    </row>
    <row r="768" spans="1:8" x14ac:dyDescent="0.3">
      <c r="A768">
        <v>68</v>
      </c>
      <c r="B768" s="5">
        <v>43913</v>
      </c>
      <c r="C768" t="s">
        <v>11</v>
      </c>
      <c r="D768">
        <v>224</v>
      </c>
      <c r="E768">
        <v>-690</v>
      </c>
      <c r="F768" s="5">
        <v>43891</v>
      </c>
      <c r="G768">
        <v>-224</v>
      </c>
      <c r="H768" t="s">
        <v>58</v>
      </c>
    </row>
    <row r="769" spans="1:8" x14ac:dyDescent="0.3">
      <c r="A769">
        <v>68</v>
      </c>
      <c r="B769" s="5">
        <v>43914</v>
      </c>
      <c r="C769" t="s">
        <v>10</v>
      </c>
      <c r="D769">
        <v>234</v>
      </c>
      <c r="E769">
        <v>-456</v>
      </c>
      <c r="F769" s="5">
        <v>43891</v>
      </c>
      <c r="G769">
        <v>234</v>
      </c>
      <c r="H769" t="s">
        <v>58</v>
      </c>
    </row>
    <row r="770" spans="1:8" x14ac:dyDescent="0.3">
      <c r="A770">
        <v>69</v>
      </c>
      <c r="B770" s="5">
        <v>43840</v>
      </c>
      <c r="C770" t="s">
        <v>10</v>
      </c>
      <c r="D770">
        <v>124</v>
      </c>
      <c r="E770">
        <v>124</v>
      </c>
      <c r="F770" s="5">
        <v>43831</v>
      </c>
      <c r="G770">
        <v>124</v>
      </c>
      <c r="H770" t="s">
        <v>57</v>
      </c>
    </row>
    <row r="771" spans="1:8" x14ac:dyDescent="0.3">
      <c r="A771">
        <v>69</v>
      </c>
      <c r="B771" s="5">
        <v>43847</v>
      </c>
      <c r="C771" t="s">
        <v>10</v>
      </c>
      <c r="D771">
        <v>901</v>
      </c>
      <c r="E771">
        <v>1025</v>
      </c>
      <c r="F771" s="5">
        <v>43831</v>
      </c>
      <c r="G771">
        <v>901</v>
      </c>
      <c r="H771" t="s">
        <v>57</v>
      </c>
    </row>
    <row r="772" spans="1:8" x14ac:dyDescent="0.3">
      <c r="A772">
        <v>69</v>
      </c>
      <c r="B772" s="5">
        <v>43851</v>
      </c>
      <c r="C772" t="s">
        <v>12</v>
      </c>
      <c r="D772">
        <v>812</v>
      </c>
      <c r="E772">
        <v>213</v>
      </c>
      <c r="F772" s="5">
        <v>43831</v>
      </c>
      <c r="G772">
        <v>-812</v>
      </c>
      <c r="H772" t="s">
        <v>57</v>
      </c>
    </row>
    <row r="773" spans="1:8" x14ac:dyDescent="0.3">
      <c r="A773">
        <v>69</v>
      </c>
      <c r="B773" s="5">
        <v>43852</v>
      </c>
      <c r="C773" t="s">
        <v>10</v>
      </c>
      <c r="D773">
        <v>3</v>
      </c>
      <c r="E773">
        <v>216</v>
      </c>
      <c r="F773" s="5">
        <v>43831</v>
      </c>
      <c r="G773">
        <v>3</v>
      </c>
      <c r="H773" t="s">
        <v>57</v>
      </c>
    </row>
    <row r="774" spans="1:8" x14ac:dyDescent="0.3">
      <c r="A774">
        <v>69</v>
      </c>
      <c r="B774" s="5">
        <v>43853</v>
      </c>
      <c r="C774" t="s">
        <v>11</v>
      </c>
      <c r="D774">
        <v>193</v>
      </c>
      <c r="E774">
        <v>23</v>
      </c>
      <c r="F774" s="5">
        <v>43831</v>
      </c>
      <c r="G774">
        <v>-193</v>
      </c>
      <c r="H774" t="s">
        <v>57</v>
      </c>
    </row>
    <row r="775" spans="1:8" x14ac:dyDescent="0.3">
      <c r="A775">
        <v>69</v>
      </c>
      <c r="B775" s="5">
        <v>43869</v>
      </c>
      <c r="C775" t="s">
        <v>11</v>
      </c>
      <c r="D775">
        <v>976</v>
      </c>
      <c r="E775">
        <v>-953</v>
      </c>
      <c r="F775" s="5">
        <v>43862</v>
      </c>
      <c r="G775">
        <v>-976</v>
      </c>
      <c r="H775" t="s">
        <v>58</v>
      </c>
    </row>
    <row r="776" spans="1:8" x14ac:dyDescent="0.3">
      <c r="A776">
        <v>69</v>
      </c>
      <c r="B776" s="5">
        <v>43869</v>
      </c>
      <c r="C776" t="s">
        <v>11</v>
      </c>
      <c r="D776">
        <v>972</v>
      </c>
      <c r="E776">
        <v>-1925</v>
      </c>
      <c r="F776" s="5">
        <v>43862</v>
      </c>
      <c r="G776">
        <v>-972</v>
      </c>
      <c r="H776" t="s">
        <v>58</v>
      </c>
    </row>
    <row r="777" spans="1:8" x14ac:dyDescent="0.3">
      <c r="A777">
        <v>69</v>
      </c>
      <c r="B777" s="5">
        <v>43875</v>
      </c>
      <c r="C777" t="s">
        <v>12</v>
      </c>
      <c r="D777">
        <v>216</v>
      </c>
      <c r="E777">
        <v>-2141</v>
      </c>
      <c r="F777" s="5">
        <v>43862</v>
      </c>
      <c r="G777">
        <v>-216</v>
      </c>
      <c r="H777" t="s">
        <v>58</v>
      </c>
    </row>
    <row r="778" spans="1:8" x14ac:dyDescent="0.3">
      <c r="A778">
        <v>69</v>
      </c>
      <c r="B778" s="5">
        <v>43877</v>
      </c>
      <c r="C778" t="s">
        <v>10</v>
      </c>
      <c r="D778">
        <v>754</v>
      </c>
      <c r="E778">
        <v>-1387</v>
      </c>
      <c r="F778" s="5">
        <v>43862</v>
      </c>
      <c r="G778">
        <v>754</v>
      </c>
      <c r="H778" t="s">
        <v>58</v>
      </c>
    </row>
    <row r="779" spans="1:8" x14ac:dyDescent="0.3">
      <c r="A779">
        <v>69</v>
      </c>
      <c r="B779" s="5">
        <v>43880</v>
      </c>
      <c r="C779" t="s">
        <v>10</v>
      </c>
      <c r="D779">
        <v>168</v>
      </c>
      <c r="E779">
        <v>-1219</v>
      </c>
      <c r="F779" s="5">
        <v>43862</v>
      </c>
      <c r="G779">
        <v>168</v>
      </c>
      <c r="H779" t="s">
        <v>58</v>
      </c>
    </row>
    <row r="780" spans="1:8" x14ac:dyDescent="0.3">
      <c r="A780">
        <v>69</v>
      </c>
      <c r="B780" s="5">
        <v>43883</v>
      </c>
      <c r="C780" t="s">
        <v>12</v>
      </c>
      <c r="D780">
        <v>724</v>
      </c>
      <c r="E780">
        <v>-1943</v>
      </c>
      <c r="F780" s="5">
        <v>43862</v>
      </c>
      <c r="G780">
        <v>-724</v>
      </c>
      <c r="H780" t="s">
        <v>58</v>
      </c>
    </row>
    <row r="781" spans="1:8" x14ac:dyDescent="0.3">
      <c r="A781">
        <v>69</v>
      </c>
      <c r="B781" s="5">
        <v>43883</v>
      </c>
      <c r="C781" t="s">
        <v>11</v>
      </c>
      <c r="D781">
        <v>451</v>
      </c>
      <c r="E781">
        <v>-2394</v>
      </c>
      <c r="F781" s="5">
        <v>43862</v>
      </c>
      <c r="G781">
        <v>-451</v>
      </c>
      <c r="H781" t="s">
        <v>58</v>
      </c>
    </row>
    <row r="782" spans="1:8" x14ac:dyDescent="0.3">
      <c r="A782">
        <v>69</v>
      </c>
      <c r="B782" s="5">
        <v>43886</v>
      </c>
      <c r="C782" t="s">
        <v>10</v>
      </c>
      <c r="D782">
        <v>450</v>
      </c>
      <c r="E782">
        <v>-1944</v>
      </c>
      <c r="F782" s="5">
        <v>43862</v>
      </c>
      <c r="G782">
        <v>450</v>
      </c>
      <c r="H782" t="s">
        <v>58</v>
      </c>
    </row>
    <row r="783" spans="1:8" x14ac:dyDescent="0.3">
      <c r="A783">
        <v>69</v>
      </c>
      <c r="B783" s="5">
        <v>43897</v>
      </c>
      <c r="C783" t="s">
        <v>10</v>
      </c>
      <c r="D783">
        <v>792</v>
      </c>
      <c r="E783">
        <v>-1152</v>
      </c>
      <c r="F783" s="5">
        <v>43891</v>
      </c>
      <c r="G783">
        <v>792</v>
      </c>
      <c r="H783" t="s">
        <v>58</v>
      </c>
    </row>
    <row r="784" spans="1:8" x14ac:dyDescent="0.3">
      <c r="A784">
        <v>69</v>
      </c>
      <c r="B784" s="5">
        <v>43901</v>
      </c>
      <c r="C784" t="s">
        <v>12</v>
      </c>
      <c r="D784">
        <v>541</v>
      </c>
      <c r="E784">
        <v>-1693</v>
      </c>
      <c r="F784" s="5">
        <v>43891</v>
      </c>
      <c r="G784">
        <v>-541</v>
      </c>
      <c r="H784" t="s">
        <v>58</v>
      </c>
    </row>
    <row r="785" spans="1:8" x14ac:dyDescent="0.3">
      <c r="A785">
        <v>69</v>
      </c>
      <c r="B785" s="5">
        <v>43903</v>
      </c>
      <c r="C785" t="s">
        <v>11</v>
      </c>
      <c r="D785">
        <v>755</v>
      </c>
      <c r="E785">
        <v>-2448</v>
      </c>
      <c r="F785" s="5">
        <v>43891</v>
      </c>
      <c r="G785">
        <v>-755</v>
      </c>
      <c r="H785" t="s">
        <v>58</v>
      </c>
    </row>
    <row r="786" spans="1:8" x14ac:dyDescent="0.3">
      <c r="A786">
        <v>69</v>
      </c>
      <c r="B786" s="5">
        <v>43906</v>
      </c>
      <c r="C786" t="s">
        <v>12</v>
      </c>
      <c r="D786">
        <v>237</v>
      </c>
      <c r="E786">
        <v>-2685</v>
      </c>
      <c r="F786" s="5">
        <v>43891</v>
      </c>
      <c r="G786">
        <v>-237</v>
      </c>
      <c r="H786" t="s">
        <v>58</v>
      </c>
    </row>
    <row r="787" spans="1:8" x14ac:dyDescent="0.3">
      <c r="A787">
        <v>69</v>
      </c>
      <c r="B787" s="5">
        <v>43914</v>
      </c>
      <c r="C787" t="s">
        <v>10</v>
      </c>
      <c r="D787">
        <v>597</v>
      </c>
      <c r="E787">
        <v>-2088</v>
      </c>
      <c r="F787" s="5">
        <v>43891</v>
      </c>
      <c r="G787">
        <v>597</v>
      </c>
      <c r="H787" t="s">
        <v>58</v>
      </c>
    </row>
    <row r="788" spans="1:8" x14ac:dyDescent="0.3">
      <c r="A788">
        <v>69</v>
      </c>
      <c r="B788" s="5">
        <v>43917</v>
      </c>
      <c r="C788" t="s">
        <v>10</v>
      </c>
      <c r="D788">
        <v>187</v>
      </c>
      <c r="E788">
        <v>-1901</v>
      </c>
      <c r="F788" s="5">
        <v>43891</v>
      </c>
      <c r="G788">
        <v>187</v>
      </c>
      <c r="H788" t="s">
        <v>58</v>
      </c>
    </row>
    <row r="789" spans="1:8" x14ac:dyDescent="0.3">
      <c r="A789">
        <v>69</v>
      </c>
      <c r="B789" s="5">
        <v>43920</v>
      </c>
      <c r="C789" t="s">
        <v>11</v>
      </c>
      <c r="D789">
        <v>437</v>
      </c>
      <c r="E789">
        <v>-2338</v>
      </c>
      <c r="F789" s="5">
        <v>43891</v>
      </c>
      <c r="G789">
        <v>-437</v>
      </c>
      <c r="H789" t="s">
        <v>58</v>
      </c>
    </row>
    <row r="790" spans="1:8" x14ac:dyDescent="0.3">
      <c r="A790">
        <v>69</v>
      </c>
      <c r="B790" s="5">
        <v>43922</v>
      </c>
      <c r="C790" t="s">
        <v>11</v>
      </c>
      <c r="D790">
        <v>269</v>
      </c>
      <c r="E790">
        <v>-2607</v>
      </c>
      <c r="F790" s="5">
        <v>43922</v>
      </c>
      <c r="G790">
        <v>-269</v>
      </c>
      <c r="H790" t="s">
        <v>58</v>
      </c>
    </row>
    <row r="791" spans="1:8" x14ac:dyDescent="0.3">
      <c r="A791">
        <v>69</v>
      </c>
      <c r="B791" s="5">
        <v>43925</v>
      </c>
      <c r="C791" t="s">
        <v>11</v>
      </c>
      <c r="D791">
        <v>478</v>
      </c>
      <c r="E791">
        <v>-3085</v>
      </c>
      <c r="F791" s="5">
        <v>43922</v>
      </c>
      <c r="G791">
        <v>-478</v>
      </c>
      <c r="H791" t="s">
        <v>58</v>
      </c>
    </row>
    <row r="792" spans="1:8" x14ac:dyDescent="0.3">
      <c r="A792">
        <v>70</v>
      </c>
      <c r="B792" s="5">
        <v>43838</v>
      </c>
      <c r="C792" t="s">
        <v>10</v>
      </c>
      <c r="D792">
        <v>786</v>
      </c>
      <c r="E792">
        <v>786</v>
      </c>
      <c r="F792" s="5">
        <v>43831</v>
      </c>
      <c r="G792">
        <v>786</v>
      </c>
      <c r="H792" t="s">
        <v>57</v>
      </c>
    </row>
    <row r="793" spans="1:8" x14ac:dyDescent="0.3">
      <c r="A793">
        <v>70</v>
      </c>
      <c r="B793" s="5">
        <v>43847</v>
      </c>
      <c r="C793" t="s">
        <v>12</v>
      </c>
      <c r="D793">
        <v>265</v>
      </c>
      <c r="E793">
        <v>521</v>
      </c>
      <c r="F793" s="5">
        <v>43831</v>
      </c>
      <c r="G793">
        <v>-265</v>
      </c>
      <c r="H793" t="s">
        <v>57</v>
      </c>
    </row>
    <row r="794" spans="1:8" x14ac:dyDescent="0.3">
      <c r="A794">
        <v>70</v>
      </c>
      <c r="B794" s="5">
        <v>43852</v>
      </c>
      <c r="C794" t="s">
        <v>10</v>
      </c>
      <c r="D794">
        <v>205</v>
      </c>
      <c r="E794">
        <v>726</v>
      </c>
      <c r="F794" s="5">
        <v>43831</v>
      </c>
      <c r="G794">
        <v>205</v>
      </c>
      <c r="H794" t="s">
        <v>57</v>
      </c>
    </row>
    <row r="795" spans="1:8" x14ac:dyDescent="0.3">
      <c r="A795">
        <v>70</v>
      </c>
      <c r="B795" s="5">
        <v>43856</v>
      </c>
      <c r="C795" t="s">
        <v>11</v>
      </c>
      <c r="D795">
        <v>602</v>
      </c>
      <c r="E795">
        <v>124</v>
      </c>
      <c r="F795" s="5">
        <v>43831</v>
      </c>
      <c r="G795">
        <v>-602</v>
      </c>
      <c r="H795" t="s">
        <v>57</v>
      </c>
    </row>
    <row r="796" spans="1:8" x14ac:dyDescent="0.3">
      <c r="A796">
        <v>70</v>
      </c>
      <c r="B796" s="5">
        <v>43858</v>
      </c>
      <c r="C796" t="s">
        <v>12</v>
      </c>
      <c r="D796">
        <v>591</v>
      </c>
      <c r="E796">
        <v>-467</v>
      </c>
      <c r="F796" s="5">
        <v>43831</v>
      </c>
      <c r="G796">
        <v>-591</v>
      </c>
      <c r="H796" t="s">
        <v>58</v>
      </c>
    </row>
    <row r="797" spans="1:8" x14ac:dyDescent="0.3">
      <c r="A797">
        <v>70</v>
      </c>
      <c r="B797" s="5">
        <v>43861</v>
      </c>
      <c r="C797" t="s">
        <v>12</v>
      </c>
      <c r="D797">
        <v>117</v>
      </c>
      <c r="E797">
        <v>-584</v>
      </c>
      <c r="F797" s="5">
        <v>43831</v>
      </c>
      <c r="G797">
        <v>-117</v>
      </c>
      <c r="H797" t="s">
        <v>58</v>
      </c>
    </row>
    <row r="798" spans="1:8" x14ac:dyDescent="0.3">
      <c r="A798">
        <v>70</v>
      </c>
      <c r="B798" s="5">
        <v>43872</v>
      </c>
      <c r="C798" t="s">
        <v>10</v>
      </c>
      <c r="D798">
        <v>221</v>
      </c>
      <c r="E798">
        <v>-363</v>
      </c>
      <c r="F798" s="5">
        <v>43862</v>
      </c>
      <c r="G798">
        <v>221</v>
      </c>
      <c r="H798" t="s">
        <v>58</v>
      </c>
    </row>
    <row r="799" spans="1:8" x14ac:dyDescent="0.3">
      <c r="A799">
        <v>70</v>
      </c>
      <c r="B799" s="5">
        <v>43874</v>
      </c>
      <c r="C799" t="s">
        <v>10</v>
      </c>
      <c r="D799">
        <v>659</v>
      </c>
      <c r="E799">
        <v>296</v>
      </c>
      <c r="F799" s="5">
        <v>43862</v>
      </c>
      <c r="G799">
        <v>659</v>
      </c>
      <c r="H799" t="s">
        <v>57</v>
      </c>
    </row>
    <row r="800" spans="1:8" x14ac:dyDescent="0.3">
      <c r="A800">
        <v>70</v>
      </c>
      <c r="B800" s="5">
        <v>43886</v>
      </c>
      <c r="C800" t="s">
        <v>11</v>
      </c>
      <c r="D800">
        <v>359</v>
      </c>
      <c r="E800">
        <v>-63</v>
      </c>
      <c r="F800" s="5">
        <v>43862</v>
      </c>
      <c r="G800">
        <v>-359</v>
      </c>
      <c r="H800" t="s">
        <v>58</v>
      </c>
    </row>
    <row r="801" spans="1:8" x14ac:dyDescent="0.3">
      <c r="A801">
        <v>70</v>
      </c>
      <c r="B801" s="5">
        <v>43899</v>
      </c>
      <c r="C801" t="s">
        <v>12</v>
      </c>
      <c r="D801">
        <v>927</v>
      </c>
      <c r="E801">
        <v>-990</v>
      </c>
      <c r="F801" s="5">
        <v>43891</v>
      </c>
      <c r="G801">
        <v>-927</v>
      </c>
      <c r="H801" t="s">
        <v>58</v>
      </c>
    </row>
    <row r="802" spans="1:8" x14ac:dyDescent="0.3">
      <c r="A802">
        <v>70</v>
      </c>
      <c r="B802" s="5">
        <v>43907</v>
      </c>
      <c r="C802" t="s">
        <v>10</v>
      </c>
      <c r="D802">
        <v>337</v>
      </c>
      <c r="E802">
        <v>-653</v>
      </c>
      <c r="F802" s="5">
        <v>43891</v>
      </c>
      <c r="G802">
        <v>337</v>
      </c>
      <c r="H802" t="s">
        <v>58</v>
      </c>
    </row>
    <row r="803" spans="1:8" x14ac:dyDescent="0.3">
      <c r="A803">
        <v>70</v>
      </c>
      <c r="B803" s="5">
        <v>43908</v>
      </c>
      <c r="C803" t="s">
        <v>12</v>
      </c>
      <c r="D803">
        <v>62</v>
      </c>
      <c r="E803">
        <v>-715</v>
      </c>
      <c r="F803" s="5">
        <v>43891</v>
      </c>
      <c r="G803">
        <v>-62</v>
      </c>
      <c r="H803" t="s">
        <v>58</v>
      </c>
    </row>
    <row r="804" spans="1:8" x14ac:dyDescent="0.3">
      <c r="A804">
        <v>70</v>
      </c>
      <c r="B804" s="5">
        <v>43912</v>
      </c>
      <c r="C804" t="s">
        <v>12</v>
      </c>
      <c r="D804">
        <v>934</v>
      </c>
      <c r="E804">
        <v>-1649</v>
      </c>
      <c r="F804" s="5">
        <v>43891</v>
      </c>
      <c r="G804">
        <v>-934</v>
      </c>
      <c r="H804" t="s">
        <v>58</v>
      </c>
    </row>
    <row r="805" spans="1:8" x14ac:dyDescent="0.3">
      <c r="A805">
        <v>70</v>
      </c>
      <c r="B805" s="5">
        <v>43919</v>
      </c>
      <c r="C805" t="s">
        <v>12</v>
      </c>
      <c r="D805">
        <v>165</v>
      </c>
      <c r="E805">
        <v>-1814</v>
      </c>
      <c r="F805" s="5">
        <v>43891</v>
      </c>
      <c r="G805">
        <v>-165</v>
      </c>
      <c r="H805" t="s">
        <v>58</v>
      </c>
    </row>
    <row r="806" spans="1:8" x14ac:dyDescent="0.3">
      <c r="A806">
        <v>71</v>
      </c>
      <c r="B806" s="5">
        <v>43844</v>
      </c>
      <c r="C806" t="s">
        <v>10</v>
      </c>
      <c r="D806">
        <v>128</v>
      </c>
      <c r="E806">
        <v>128</v>
      </c>
      <c r="F806" s="5">
        <v>43831</v>
      </c>
      <c r="G806">
        <v>128</v>
      </c>
      <c r="H806" t="s">
        <v>57</v>
      </c>
    </row>
    <row r="807" spans="1:8" x14ac:dyDescent="0.3">
      <c r="A807">
        <v>71</v>
      </c>
      <c r="B807" s="5">
        <v>43878</v>
      </c>
      <c r="C807" t="s">
        <v>12</v>
      </c>
      <c r="D807">
        <v>178</v>
      </c>
      <c r="E807">
        <v>-50</v>
      </c>
      <c r="F807" s="5">
        <v>43862</v>
      </c>
      <c r="G807">
        <v>-178</v>
      </c>
      <c r="H807" t="s">
        <v>58</v>
      </c>
    </row>
    <row r="808" spans="1:8" x14ac:dyDescent="0.3">
      <c r="A808">
        <v>71</v>
      </c>
      <c r="B808" s="5">
        <v>43886</v>
      </c>
      <c r="C808" t="s">
        <v>12</v>
      </c>
      <c r="D808">
        <v>623</v>
      </c>
      <c r="E808">
        <v>-673</v>
      </c>
      <c r="F808" s="5">
        <v>43862</v>
      </c>
      <c r="G808">
        <v>-623</v>
      </c>
      <c r="H808" t="s">
        <v>58</v>
      </c>
    </row>
    <row r="809" spans="1:8" x14ac:dyDescent="0.3">
      <c r="A809">
        <v>71</v>
      </c>
      <c r="B809" s="5">
        <v>43904</v>
      </c>
      <c r="C809" t="s">
        <v>12</v>
      </c>
      <c r="D809">
        <v>592</v>
      </c>
      <c r="E809">
        <v>-1265</v>
      </c>
      <c r="F809" s="5">
        <v>43891</v>
      </c>
      <c r="G809">
        <v>-592</v>
      </c>
      <c r="H809" t="s">
        <v>58</v>
      </c>
    </row>
    <row r="810" spans="1:8" x14ac:dyDescent="0.3">
      <c r="A810">
        <v>72</v>
      </c>
      <c r="B810" s="5">
        <v>43850</v>
      </c>
      <c r="C810" t="s">
        <v>10</v>
      </c>
      <c r="D810">
        <v>796</v>
      </c>
      <c r="E810">
        <v>796</v>
      </c>
      <c r="F810" s="5">
        <v>43831</v>
      </c>
      <c r="G810">
        <v>796</v>
      </c>
      <c r="H810" t="s">
        <v>57</v>
      </c>
    </row>
    <row r="811" spans="1:8" x14ac:dyDescent="0.3">
      <c r="A811">
        <v>72</v>
      </c>
      <c r="B811" s="5">
        <v>43867</v>
      </c>
      <c r="C811" t="s">
        <v>10</v>
      </c>
      <c r="D811">
        <v>390</v>
      </c>
      <c r="E811">
        <v>1186</v>
      </c>
      <c r="F811" s="5">
        <v>43862</v>
      </c>
      <c r="G811">
        <v>390</v>
      </c>
      <c r="H811" t="s">
        <v>57</v>
      </c>
    </row>
    <row r="812" spans="1:8" x14ac:dyDescent="0.3">
      <c r="A812">
        <v>72</v>
      </c>
      <c r="B812" s="5">
        <v>43869</v>
      </c>
      <c r="C812" t="s">
        <v>12</v>
      </c>
      <c r="D812">
        <v>493</v>
      </c>
      <c r="E812">
        <v>693</v>
      </c>
      <c r="F812" s="5">
        <v>43862</v>
      </c>
      <c r="G812">
        <v>-493</v>
      </c>
      <c r="H812" t="s">
        <v>57</v>
      </c>
    </row>
    <row r="813" spans="1:8" x14ac:dyDescent="0.3">
      <c r="A813">
        <v>72</v>
      </c>
      <c r="B813" s="5">
        <v>43885</v>
      </c>
      <c r="C813" t="s">
        <v>12</v>
      </c>
      <c r="D813">
        <v>932</v>
      </c>
      <c r="E813">
        <v>-239</v>
      </c>
      <c r="F813" s="5">
        <v>43862</v>
      </c>
      <c r="G813">
        <v>-932</v>
      </c>
      <c r="H813" t="s">
        <v>58</v>
      </c>
    </row>
    <row r="814" spans="1:8" x14ac:dyDescent="0.3">
      <c r="A814">
        <v>72</v>
      </c>
      <c r="B814" s="5">
        <v>43889</v>
      </c>
      <c r="C814" t="s">
        <v>12</v>
      </c>
      <c r="D814">
        <v>564</v>
      </c>
      <c r="E814">
        <v>-803</v>
      </c>
      <c r="F814" s="5">
        <v>43862</v>
      </c>
      <c r="G814">
        <v>-564</v>
      </c>
      <c r="H814" t="s">
        <v>58</v>
      </c>
    </row>
    <row r="815" spans="1:8" x14ac:dyDescent="0.3">
      <c r="A815">
        <v>72</v>
      </c>
      <c r="B815" s="5">
        <v>43908</v>
      </c>
      <c r="C815" t="s">
        <v>10</v>
      </c>
      <c r="D815">
        <v>627</v>
      </c>
      <c r="E815">
        <v>-176</v>
      </c>
      <c r="F815" s="5">
        <v>43891</v>
      </c>
      <c r="G815">
        <v>627</v>
      </c>
      <c r="H815" t="s">
        <v>58</v>
      </c>
    </row>
    <row r="816" spans="1:8" x14ac:dyDescent="0.3">
      <c r="A816">
        <v>72</v>
      </c>
      <c r="B816" s="5">
        <v>43908</v>
      </c>
      <c r="C816" t="s">
        <v>11</v>
      </c>
      <c r="D816">
        <v>492</v>
      </c>
      <c r="E816">
        <v>-668</v>
      </c>
      <c r="F816" s="5">
        <v>43891</v>
      </c>
      <c r="G816">
        <v>-492</v>
      </c>
      <c r="H816" t="s">
        <v>58</v>
      </c>
    </row>
    <row r="817" spans="1:8" x14ac:dyDescent="0.3">
      <c r="A817">
        <v>72</v>
      </c>
      <c r="B817" s="5">
        <v>43914</v>
      </c>
      <c r="C817" t="s">
        <v>11</v>
      </c>
      <c r="D817">
        <v>800</v>
      </c>
      <c r="E817">
        <v>-1468</v>
      </c>
      <c r="F817" s="5">
        <v>43891</v>
      </c>
      <c r="G817">
        <v>-800</v>
      </c>
      <c r="H817" t="s">
        <v>58</v>
      </c>
    </row>
    <row r="818" spans="1:8" x14ac:dyDescent="0.3">
      <c r="A818">
        <v>72</v>
      </c>
      <c r="B818" s="5">
        <v>43918</v>
      </c>
      <c r="C818" t="s">
        <v>11</v>
      </c>
      <c r="D818">
        <v>212</v>
      </c>
      <c r="E818">
        <v>-1680</v>
      </c>
      <c r="F818" s="5">
        <v>43891</v>
      </c>
      <c r="G818">
        <v>-212</v>
      </c>
      <c r="H818" t="s">
        <v>58</v>
      </c>
    </row>
    <row r="819" spans="1:8" x14ac:dyDescent="0.3">
      <c r="A819">
        <v>72</v>
      </c>
      <c r="B819" s="5">
        <v>43931</v>
      </c>
      <c r="C819" t="s">
        <v>11</v>
      </c>
      <c r="D819">
        <v>92</v>
      </c>
      <c r="E819">
        <v>-1772</v>
      </c>
      <c r="F819" s="5">
        <v>43922</v>
      </c>
      <c r="G819">
        <v>-92</v>
      </c>
      <c r="H819" t="s">
        <v>58</v>
      </c>
    </row>
    <row r="820" spans="1:8" x14ac:dyDescent="0.3">
      <c r="A820">
        <v>72</v>
      </c>
      <c r="B820" s="5">
        <v>43938</v>
      </c>
      <c r="C820" t="s">
        <v>12</v>
      </c>
      <c r="D820">
        <v>555</v>
      </c>
      <c r="E820">
        <v>-2327</v>
      </c>
      <c r="F820" s="5">
        <v>43922</v>
      </c>
      <c r="G820">
        <v>-555</v>
      </c>
      <c r="H820" t="s">
        <v>58</v>
      </c>
    </row>
    <row r="821" spans="1:8" x14ac:dyDescent="0.3">
      <c r="A821">
        <v>73</v>
      </c>
      <c r="B821" s="5">
        <v>43836</v>
      </c>
      <c r="C821" t="s">
        <v>10</v>
      </c>
      <c r="D821">
        <v>442</v>
      </c>
      <c r="E821">
        <v>442</v>
      </c>
      <c r="F821" s="5">
        <v>43831</v>
      </c>
      <c r="G821">
        <v>442</v>
      </c>
      <c r="H821" t="s">
        <v>57</v>
      </c>
    </row>
    <row r="822" spans="1:8" x14ac:dyDescent="0.3">
      <c r="A822">
        <v>73</v>
      </c>
      <c r="B822" s="5">
        <v>43840</v>
      </c>
      <c r="C822" t="s">
        <v>10</v>
      </c>
      <c r="D822">
        <v>71</v>
      </c>
      <c r="E822">
        <v>513</v>
      </c>
      <c r="F822" s="5">
        <v>43831</v>
      </c>
      <c r="G822">
        <v>71</v>
      </c>
      <c r="H822" t="s">
        <v>57</v>
      </c>
    </row>
    <row r="823" spans="1:8" x14ac:dyDescent="0.3">
      <c r="A823">
        <v>74</v>
      </c>
      <c r="B823" s="5">
        <v>43843</v>
      </c>
      <c r="C823" t="s">
        <v>10</v>
      </c>
      <c r="D823">
        <v>229</v>
      </c>
      <c r="E823">
        <v>229</v>
      </c>
      <c r="F823" s="5">
        <v>43831</v>
      </c>
      <c r="G823">
        <v>229</v>
      </c>
      <c r="H823" t="s">
        <v>57</v>
      </c>
    </row>
    <row r="824" spans="1:8" x14ac:dyDescent="0.3">
      <c r="A824">
        <v>74</v>
      </c>
      <c r="B824" s="5">
        <v>43911</v>
      </c>
      <c r="C824" t="s">
        <v>10</v>
      </c>
      <c r="D824">
        <v>89</v>
      </c>
      <c r="E824">
        <v>318</v>
      </c>
      <c r="F824" s="5">
        <v>43891</v>
      </c>
      <c r="G824">
        <v>89</v>
      </c>
      <c r="H824" t="s">
        <v>57</v>
      </c>
    </row>
    <row r="825" spans="1:8" x14ac:dyDescent="0.3">
      <c r="A825">
        <v>75</v>
      </c>
      <c r="B825" s="5">
        <v>43852</v>
      </c>
      <c r="C825" t="s">
        <v>10</v>
      </c>
      <c r="D825">
        <v>234</v>
      </c>
      <c r="E825">
        <v>234</v>
      </c>
      <c r="F825" s="5">
        <v>43831</v>
      </c>
      <c r="G825">
        <v>234</v>
      </c>
      <c r="H825" t="s">
        <v>57</v>
      </c>
    </row>
    <row r="826" spans="1:8" x14ac:dyDescent="0.3">
      <c r="A826">
        <v>75</v>
      </c>
      <c r="B826" s="5">
        <v>43882</v>
      </c>
      <c r="C826" t="s">
        <v>10</v>
      </c>
      <c r="D826">
        <v>60</v>
      </c>
      <c r="E826">
        <v>294</v>
      </c>
      <c r="F826" s="5">
        <v>43862</v>
      </c>
      <c r="G826">
        <v>60</v>
      </c>
      <c r="H826" t="s">
        <v>57</v>
      </c>
    </row>
    <row r="827" spans="1:8" x14ac:dyDescent="0.3">
      <c r="A827">
        <v>76</v>
      </c>
      <c r="B827" s="5">
        <v>43834</v>
      </c>
      <c r="C827" t="s">
        <v>10</v>
      </c>
      <c r="D827">
        <v>553</v>
      </c>
      <c r="E827">
        <v>553</v>
      </c>
      <c r="F827" s="5">
        <v>43831</v>
      </c>
      <c r="G827">
        <v>553</v>
      </c>
      <c r="H827" t="s">
        <v>57</v>
      </c>
    </row>
    <row r="828" spans="1:8" x14ac:dyDescent="0.3">
      <c r="A828">
        <v>76</v>
      </c>
      <c r="B828" s="5">
        <v>43834</v>
      </c>
      <c r="C828" t="s">
        <v>10</v>
      </c>
      <c r="D828">
        <v>641</v>
      </c>
      <c r="E828">
        <v>1194</v>
      </c>
      <c r="F828" s="5">
        <v>43831</v>
      </c>
      <c r="G828">
        <v>641</v>
      </c>
      <c r="H828" t="s">
        <v>57</v>
      </c>
    </row>
    <row r="829" spans="1:8" x14ac:dyDescent="0.3">
      <c r="A829">
        <v>76</v>
      </c>
      <c r="B829" s="5">
        <v>43835</v>
      </c>
      <c r="C829" t="s">
        <v>12</v>
      </c>
      <c r="D829">
        <v>485</v>
      </c>
      <c r="E829">
        <v>709</v>
      </c>
      <c r="F829" s="5">
        <v>43831</v>
      </c>
      <c r="G829">
        <v>-485</v>
      </c>
      <c r="H829" t="s">
        <v>57</v>
      </c>
    </row>
    <row r="830" spans="1:8" x14ac:dyDescent="0.3">
      <c r="A830">
        <v>76</v>
      </c>
      <c r="B830" s="5">
        <v>43841</v>
      </c>
      <c r="C830" t="s">
        <v>10</v>
      </c>
      <c r="D830">
        <v>139</v>
      </c>
      <c r="E830">
        <v>848</v>
      </c>
      <c r="F830" s="5">
        <v>43831</v>
      </c>
      <c r="G830">
        <v>139</v>
      </c>
      <c r="H830" t="s">
        <v>57</v>
      </c>
    </row>
    <row r="831" spans="1:8" x14ac:dyDescent="0.3">
      <c r="A831">
        <v>76</v>
      </c>
      <c r="B831" s="5">
        <v>43843</v>
      </c>
      <c r="C831" t="s">
        <v>12</v>
      </c>
      <c r="D831">
        <v>900</v>
      </c>
      <c r="E831">
        <v>-52</v>
      </c>
      <c r="F831" s="5">
        <v>43831</v>
      </c>
      <c r="G831">
        <v>-900</v>
      </c>
      <c r="H831" t="s">
        <v>58</v>
      </c>
    </row>
    <row r="832" spans="1:8" x14ac:dyDescent="0.3">
      <c r="A832">
        <v>76</v>
      </c>
      <c r="B832" s="5">
        <v>43851</v>
      </c>
      <c r="C832" t="s">
        <v>12</v>
      </c>
      <c r="D832">
        <v>775</v>
      </c>
      <c r="E832">
        <v>-827</v>
      </c>
      <c r="F832" s="5">
        <v>43831</v>
      </c>
      <c r="G832">
        <v>-775</v>
      </c>
      <c r="H832" t="s">
        <v>58</v>
      </c>
    </row>
    <row r="833" spans="1:8" x14ac:dyDescent="0.3">
      <c r="A833">
        <v>76</v>
      </c>
      <c r="B833" s="5">
        <v>43854</v>
      </c>
      <c r="C833" t="s">
        <v>10</v>
      </c>
      <c r="D833">
        <v>981</v>
      </c>
      <c r="E833">
        <v>154</v>
      </c>
      <c r="F833" s="5">
        <v>43831</v>
      </c>
      <c r="G833">
        <v>981</v>
      </c>
      <c r="H833" t="s">
        <v>57</v>
      </c>
    </row>
    <row r="834" spans="1:8" x14ac:dyDescent="0.3">
      <c r="A834">
        <v>76</v>
      </c>
      <c r="B834" s="5">
        <v>43859</v>
      </c>
      <c r="C834" t="s">
        <v>10</v>
      </c>
      <c r="D834">
        <v>771</v>
      </c>
      <c r="E834">
        <v>925</v>
      </c>
      <c r="F834" s="5">
        <v>43831</v>
      </c>
      <c r="G834">
        <v>771</v>
      </c>
      <c r="H834" t="s">
        <v>57</v>
      </c>
    </row>
    <row r="835" spans="1:8" x14ac:dyDescent="0.3">
      <c r="A835">
        <v>76</v>
      </c>
      <c r="B835" s="5">
        <v>43866</v>
      </c>
      <c r="C835" t="s">
        <v>11</v>
      </c>
      <c r="D835">
        <v>847</v>
      </c>
      <c r="E835">
        <v>78</v>
      </c>
      <c r="F835" s="5">
        <v>43862</v>
      </c>
      <c r="G835">
        <v>-847</v>
      </c>
      <c r="H835" t="s">
        <v>57</v>
      </c>
    </row>
    <row r="836" spans="1:8" x14ac:dyDescent="0.3">
      <c r="A836">
        <v>76</v>
      </c>
      <c r="B836" s="5">
        <v>43869</v>
      </c>
      <c r="C836" t="s">
        <v>10</v>
      </c>
      <c r="D836">
        <v>367</v>
      </c>
      <c r="E836">
        <v>445</v>
      </c>
      <c r="F836" s="5">
        <v>43862</v>
      </c>
      <c r="G836">
        <v>367</v>
      </c>
      <c r="H836" t="s">
        <v>57</v>
      </c>
    </row>
    <row r="837" spans="1:8" x14ac:dyDescent="0.3">
      <c r="A837">
        <v>76</v>
      </c>
      <c r="B837" s="5">
        <v>43869</v>
      </c>
      <c r="C837" t="s">
        <v>10</v>
      </c>
      <c r="D837">
        <v>754</v>
      </c>
      <c r="E837">
        <v>1199</v>
      </c>
      <c r="F837" s="5">
        <v>43862</v>
      </c>
      <c r="G837">
        <v>754</v>
      </c>
      <c r="H837" t="s">
        <v>57</v>
      </c>
    </row>
    <row r="838" spans="1:8" x14ac:dyDescent="0.3">
      <c r="A838">
        <v>76</v>
      </c>
      <c r="B838" s="5">
        <v>43871</v>
      </c>
      <c r="C838" t="s">
        <v>10</v>
      </c>
      <c r="D838">
        <v>859</v>
      </c>
      <c r="E838">
        <v>2058</v>
      </c>
      <c r="F838" s="5">
        <v>43862</v>
      </c>
      <c r="G838">
        <v>859</v>
      </c>
      <c r="H838" t="s">
        <v>57</v>
      </c>
    </row>
    <row r="839" spans="1:8" x14ac:dyDescent="0.3">
      <c r="A839">
        <v>76</v>
      </c>
      <c r="B839" s="5">
        <v>43875</v>
      </c>
      <c r="C839" t="s">
        <v>10</v>
      </c>
      <c r="D839">
        <v>716</v>
      </c>
      <c r="E839">
        <v>2774</v>
      </c>
      <c r="F839" s="5">
        <v>43862</v>
      </c>
      <c r="G839">
        <v>716</v>
      </c>
      <c r="H839" t="s">
        <v>57</v>
      </c>
    </row>
    <row r="840" spans="1:8" x14ac:dyDescent="0.3">
      <c r="A840">
        <v>76</v>
      </c>
      <c r="B840" s="5">
        <v>43884</v>
      </c>
      <c r="C840" t="s">
        <v>11</v>
      </c>
      <c r="D840">
        <v>693</v>
      </c>
      <c r="E840">
        <v>2081</v>
      </c>
      <c r="F840" s="5">
        <v>43862</v>
      </c>
      <c r="G840">
        <v>-693</v>
      </c>
      <c r="H840" t="s">
        <v>57</v>
      </c>
    </row>
    <row r="841" spans="1:8" x14ac:dyDescent="0.3">
      <c r="A841">
        <v>76</v>
      </c>
      <c r="B841" s="5">
        <v>43892</v>
      </c>
      <c r="C841" t="s">
        <v>12</v>
      </c>
      <c r="D841">
        <v>251</v>
      </c>
      <c r="E841">
        <v>1830</v>
      </c>
      <c r="F841" s="5">
        <v>43891</v>
      </c>
      <c r="G841">
        <v>-251</v>
      </c>
      <c r="H841" t="s">
        <v>57</v>
      </c>
    </row>
    <row r="842" spans="1:8" x14ac:dyDescent="0.3">
      <c r="A842">
        <v>76</v>
      </c>
      <c r="B842" s="5">
        <v>43897</v>
      </c>
      <c r="C842" t="s">
        <v>12</v>
      </c>
      <c r="D842">
        <v>797</v>
      </c>
      <c r="E842">
        <v>1033</v>
      </c>
      <c r="F842" s="5">
        <v>43891</v>
      </c>
      <c r="G842">
        <v>-797</v>
      </c>
      <c r="H842" t="s">
        <v>57</v>
      </c>
    </row>
    <row r="843" spans="1:8" x14ac:dyDescent="0.3">
      <c r="A843">
        <v>76</v>
      </c>
      <c r="B843" s="5">
        <v>43916</v>
      </c>
      <c r="C843" t="s">
        <v>11</v>
      </c>
      <c r="D843">
        <v>598</v>
      </c>
      <c r="E843">
        <v>435</v>
      </c>
      <c r="F843" s="5">
        <v>43891</v>
      </c>
      <c r="G843">
        <v>-598</v>
      </c>
      <c r="H843" t="s">
        <v>57</v>
      </c>
    </row>
    <row r="844" spans="1:8" x14ac:dyDescent="0.3">
      <c r="A844">
        <v>77</v>
      </c>
      <c r="B844" s="5">
        <v>43838</v>
      </c>
      <c r="C844" t="s">
        <v>10</v>
      </c>
      <c r="D844">
        <v>120</v>
      </c>
      <c r="E844">
        <v>120</v>
      </c>
      <c r="F844" s="5">
        <v>43831</v>
      </c>
      <c r="G844">
        <v>120</v>
      </c>
      <c r="H844" t="s">
        <v>57</v>
      </c>
    </row>
    <row r="845" spans="1:8" x14ac:dyDescent="0.3">
      <c r="A845">
        <v>77</v>
      </c>
      <c r="B845" s="5">
        <v>43880</v>
      </c>
      <c r="C845" t="s">
        <v>10</v>
      </c>
      <c r="D845">
        <v>381</v>
      </c>
      <c r="E845">
        <v>501</v>
      </c>
      <c r="F845" s="5">
        <v>43862</v>
      </c>
      <c r="G845">
        <v>381</v>
      </c>
      <c r="H845" t="s">
        <v>57</v>
      </c>
    </row>
    <row r="846" spans="1:8" x14ac:dyDescent="0.3">
      <c r="A846">
        <v>77</v>
      </c>
      <c r="B846" s="5">
        <v>43891</v>
      </c>
      <c r="C846" t="s">
        <v>10</v>
      </c>
      <c r="D846">
        <v>616</v>
      </c>
      <c r="E846">
        <v>1117</v>
      </c>
      <c r="F846" s="5">
        <v>43891</v>
      </c>
      <c r="G846">
        <v>616</v>
      </c>
      <c r="H846" t="s">
        <v>57</v>
      </c>
    </row>
    <row r="847" spans="1:8" x14ac:dyDescent="0.3">
      <c r="A847">
        <v>77</v>
      </c>
      <c r="B847" s="5">
        <v>43897</v>
      </c>
      <c r="C847" t="s">
        <v>10</v>
      </c>
      <c r="D847">
        <v>92</v>
      </c>
      <c r="E847">
        <v>1209</v>
      </c>
      <c r="F847" s="5">
        <v>43891</v>
      </c>
      <c r="G847">
        <v>92</v>
      </c>
      <c r="H847" t="s">
        <v>57</v>
      </c>
    </row>
    <row r="848" spans="1:8" x14ac:dyDescent="0.3">
      <c r="A848">
        <v>77</v>
      </c>
      <c r="B848" s="5">
        <v>43898</v>
      </c>
      <c r="C848" t="s">
        <v>12</v>
      </c>
      <c r="D848">
        <v>412</v>
      </c>
      <c r="E848">
        <v>797</v>
      </c>
      <c r="F848" s="5">
        <v>43891</v>
      </c>
      <c r="G848">
        <v>-412</v>
      </c>
      <c r="H848" t="s">
        <v>57</v>
      </c>
    </row>
    <row r="849" spans="1:8" x14ac:dyDescent="0.3">
      <c r="A849">
        <v>78</v>
      </c>
      <c r="B849" s="5">
        <v>43858</v>
      </c>
      <c r="C849" t="s">
        <v>10</v>
      </c>
      <c r="D849">
        <v>986</v>
      </c>
      <c r="E849">
        <v>986</v>
      </c>
      <c r="F849" s="5">
        <v>43831</v>
      </c>
      <c r="G849">
        <v>986</v>
      </c>
      <c r="H849" t="s">
        <v>57</v>
      </c>
    </row>
    <row r="850" spans="1:8" x14ac:dyDescent="0.3">
      <c r="A850">
        <v>78</v>
      </c>
      <c r="B850" s="5">
        <v>43861</v>
      </c>
      <c r="C850" t="s">
        <v>11</v>
      </c>
      <c r="D850">
        <v>292</v>
      </c>
      <c r="E850">
        <v>694</v>
      </c>
      <c r="F850" s="5">
        <v>43831</v>
      </c>
      <c r="G850">
        <v>-292</v>
      </c>
      <c r="H850" t="s">
        <v>57</v>
      </c>
    </row>
    <row r="851" spans="1:8" x14ac:dyDescent="0.3">
      <c r="A851">
        <v>78</v>
      </c>
      <c r="B851" s="5">
        <v>43864</v>
      </c>
      <c r="C851" t="s">
        <v>11</v>
      </c>
      <c r="D851">
        <v>935</v>
      </c>
      <c r="E851">
        <v>-241</v>
      </c>
      <c r="F851" s="5">
        <v>43862</v>
      </c>
      <c r="G851">
        <v>-935</v>
      </c>
      <c r="H851" t="s">
        <v>58</v>
      </c>
    </row>
    <row r="852" spans="1:8" x14ac:dyDescent="0.3">
      <c r="A852">
        <v>78</v>
      </c>
      <c r="B852" s="5">
        <v>43866</v>
      </c>
      <c r="C852" t="s">
        <v>11</v>
      </c>
      <c r="D852">
        <v>640</v>
      </c>
      <c r="E852">
        <v>-881</v>
      </c>
      <c r="F852" s="5">
        <v>43862</v>
      </c>
      <c r="G852">
        <v>-640</v>
      </c>
      <c r="H852" t="s">
        <v>58</v>
      </c>
    </row>
    <row r="853" spans="1:8" x14ac:dyDescent="0.3">
      <c r="A853">
        <v>78</v>
      </c>
      <c r="B853" s="5">
        <v>43872</v>
      </c>
      <c r="C853" t="s">
        <v>10</v>
      </c>
      <c r="D853">
        <v>108</v>
      </c>
      <c r="E853">
        <v>-773</v>
      </c>
      <c r="F853" s="5">
        <v>43862</v>
      </c>
      <c r="G853">
        <v>108</v>
      </c>
      <c r="H853" t="s">
        <v>58</v>
      </c>
    </row>
    <row r="854" spans="1:8" x14ac:dyDescent="0.3">
      <c r="A854">
        <v>78</v>
      </c>
      <c r="B854" s="5">
        <v>43873</v>
      </c>
      <c r="C854" t="s">
        <v>12</v>
      </c>
      <c r="D854">
        <v>289</v>
      </c>
      <c r="E854">
        <v>-1062</v>
      </c>
      <c r="F854" s="5">
        <v>43862</v>
      </c>
      <c r="G854">
        <v>-289</v>
      </c>
      <c r="H854" t="s">
        <v>58</v>
      </c>
    </row>
    <row r="855" spans="1:8" x14ac:dyDescent="0.3">
      <c r="A855">
        <v>78</v>
      </c>
      <c r="B855" s="5">
        <v>43877</v>
      </c>
      <c r="C855" t="s">
        <v>10</v>
      </c>
      <c r="D855">
        <v>300</v>
      </c>
      <c r="E855">
        <v>-762</v>
      </c>
      <c r="F855" s="5">
        <v>43862</v>
      </c>
      <c r="G855">
        <v>300</v>
      </c>
      <c r="H855" t="s">
        <v>58</v>
      </c>
    </row>
    <row r="856" spans="1:8" x14ac:dyDescent="0.3">
      <c r="A856">
        <v>78</v>
      </c>
      <c r="B856" s="5">
        <v>43903</v>
      </c>
      <c r="C856" t="s">
        <v>11</v>
      </c>
      <c r="D856">
        <v>103</v>
      </c>
      <c r="E856">
        <v>-865</v>
      </c>
      <c r="F856" s="5">
        <v>43891</v>
      </c>
      <c r="G856">
        <v>-103</v>
      </c>
      <c r="H856" t="s">
        <v>58</v>
      </c>
    </row>
    <row r="857" spans="1:8" x14ac:dyDescent="0.3">
      <c r="A857">
        <v>78</v>
      </c>
      <c r="B857" s="5">
        <v>43912</v>
      </c>
      <c r="C857" t="s">
        <v>11</v>
      </c>
      <c r="D857">
        <v>511</v>
      </c>
      <c r="E857">
        <v>-1376</v>
      </c>
      <c r="F857" s="5">
        <v>43891</v>
      </c>
      <c r="G857">
        <v>-511</v>
      </c>
      <c r="H857" t="s">
        <v>58</v>
      </c>
    </row>
    <row r="858" spans="1:8" x14ac:dyDescent="0.3">
      <c r="A858">
        <v>78</v>
      </c>
      <c r="B858" s="5">
        <v>43914</v>
      </c>
      <c r="C858" t="s">
        <v>10</v>
      </c>
      <c r="D858">
        <v>659</v>
      </c>
      <c r="E858">
        <v>-717</v>
      </c>
      <c r="F858" s="5">
        <v>43891</v>
      </c>
      <c r="G858">
        <v>659</v>
      </c>
      <c r="H858" t="s">
        <v>58</v>
      </c>
    </row>
    <row r="859" spans="1:8" x14ac:dyDescent="0.3">
      <c r="A859">
        <v>78</v>
      </c>
      <c r="B859" s="5">
        <v>43935</v>
      </c>
      <c r="C859" t="s">
        <v>11</v>
      </c>
      <c r="D859">
        <v>259</v>
      </c>
      <c r="E859">
        <v>-976</v>
      </c>
      <c r="F859" s="5">
        <v>43922</v>
      </c>
      <c r="G859">
        <v>-259</v>
      </c>
      <c r="H859" t="s">
        <v>58</v>
      </c>
    </row>
    <row r="860" spans="1:8" x14ac:dyDescent="0.3">
      <c r="A860">
        <v>79</v>
      </c>
      <c r="B860" s="5">
        <v>43859</v>
      </c>
      <c r="C860" t="s">
        <v>10</v>
      </c>
      <c r="D860">
        <v>521</v>
      </c>
      <c r="E860">
        <v>521</v>
      </c>
      <c r="F860" s="5">
        <v>43831</v>
      </c>
      <c r="G860">
        <v>521</v>
      </c>
      <c r="H860" t="s">
        <v>57</v>
      </c>
    </row>
    <row r="861" spans="1:8" x14ac:dyDescent="0.3">
      <c r="A861">
        <v>79</v>
      </c>
      <c r="B861" s="5">
        <v>43885</v>
      </c>
      <c r="C861" t="s">
        <v>10</v>
      </c>
      <c r="D861">
        <v>702</v>
      </c>
      <c r="E861">
        <v>1223</v>
      </c>
      <c r="F861" s="5">
        <v>43862</v>
      </c>
      <c r="G861">
        <v>702</v>
      </c>
      <c r="H861" t="s">
        <v>57</v>
      </c>
    </row>
    <row r="862" spans="1:8" x14ac:dyDescent="0.3">
      <c r="A862">
        <v>79</v>
      </c>
      <c r="B862" s="5">
        <v>43890</v>
      </c>
      <c r="C862" t="s">
        <v>10</v>
      </c>
      <c r="D862">
        <v>157</v>
      </c>
      <c r="E862">
        <v>1380</v>
      </c>
      <c r="F862" s="5">
        <v>43862</v>
      </c>
      <c r="G862">
        <v>157</v>
      </c>
      <c r="H862" t="s">
        <v>57</v>
      </c>
    </row>
    <row r="863" spans="1:8" x14ac:dyDescent="0.3">
      <c r="A863">
        <v>80</v>
      </c>
      <c r="B863" s="5">
        <v>43855</v>
      </c>
      <c r="C863" t="s">
        <v>10</v>
      </c>
      <c r="D863">
        <v>795</v>
      </c>
      <c r="E863">
        <v>795</v>
      </c>
      <c r="F863" s="5">
        <v>43831</v>
      </c>
      <c r="G863">
        <v>795</v>
      </c>
      <c r="H863" t="s">
        <v>57</v>
      </c>
    </row>
    <row r="864" spans="1:8" x14ac:dyDescent="0.3">
      <c r="A864">
        <v>80</v>
      </c>
      <c r="B864" s="5">
        <v>43879</v>
      </c>
      <c r="C864" t="s">
        <v>10</v>
      </c>
      <c r="D864">
        <v>395</v>
      </c>
      <c r="E864">
        <v>1190</v>
      </c>
      <c r="F864" s="5">
        <v>43862</v>
      </c>
      <c r="G864">
        <v>395</v>
      </c>
      <c r="H864" t="s">
        <v>57</v>
      </c>
    </row>
    <row r="865" spans="1:8" x14ac:dyDescent="0.3">
      <c r="A865">
        <v>80</v>
      </c>
      <c r="B865" s="5">
        <v>43903</v>
      </c>
      <c r="C865" t="s">
        <v>11</v>
      </c>
      <c r="D865">
        <v>131</v>
      </c>
      <c r="E865">
        <v>1059</v>
      </c>
      <c r="F865" s="5">
        <v>43891</v>
      </c>
      <c r="G865">
        <v>-131</v>
      </c>
      <c r="H865" t="s">
        <v>57</v>
      </c>
    </row>
    <row r="866" spans="1:8" x14ac:dyDescent="0.3">
      <c r="A866">
        <v>80</v>
      </c>
      <c r="B866" s="5">
        <v>43916</v>
      </c>
      <c r="C866" t="s">
        <v>10</v>
      </c>
      <c r="D866">
        <v>80</v>
      </c>
      <c r="E866">
        <v>1139</v>
      </c>
      <c r="F866" s="5">
        <v>43891</v>
      </c>
      <c r="G866">
        <v>80</v>
      </c>
      <c r="H866" t="s">
        <v>57</v>
      </c>
    </row>
    <row r="867" spans="1:8" x14ac:dyDescent="0.3">
      <c r="A867">
        <v>80</v>
      </c>
      <c r="B867" s="5">
        <v>43921</v>
      </c>
      <c r="C867" t="s">
        <v>11</v>
      </c>
      <c r="D867">
        <v>517</v>
      </c>
      <c r="E867">
        <v>622</v>
      </c>
      <c r="F867" s="5">
        <v>43891</v>
      </c>
      <c r="G867">
        <v>-517</v>
      </c>
      <c r="H867" t="s">
        <v>57</v>
      </c>
    </row>
    <row r="868" spans="1:8" x14ac:dyDescent="0.3">
      <c r="A868">
        <v>80</v>
      </c>
      <c r="B868" s="5">
        <v>43937</v>
      </c>
      <c r="C868" t="s">
        <v>11</v>
      </c>
      <c r="D868">
        <v>423</v>
      </c>
      <c r="E868">
        <v>199</v>
      </c>
      <c r="F868" s="5">
        <v>43922</v>
      </c>
      <c r="G868">
        <v>-423</v>
      </c>
      <c r="H868" t="s">
        <v>57</v>
      </c>
    </row>
    <row r="869" spans="1:8" x14ac:dyDescent="0.3">
      <c r="A869">
        <v>81</v>
      </c>
      <c r="B869" s="5">
        <v>43855</v>
      </c>
      <c r="C869" t="s">
        <v>10</v>
      </c>
      <c r="D869">
        <v>403</v>
      </c>
      <c r="E869">
        <v>403</v>
      </c>
      <c r="F869" s="5">
        <v>43831</v>
      </c>
      <c r="G869">
        <v>403</v>
      </c>
      <c r="H869" t="s">
        <v>57</v>
      </c>
    </row>
    <row r="870" spans="1:8" x14ac:dyDescent="0.3">
      <c r="A870">
        <v>81</v>
      </c>
      <c r="B870" s="5">
        <v>43873</v>
      </c>
      <c r="C870" t="s">
        <v>11</v>
      </c>
      <c r="D870">
        <v>802</v>
      </c>
      <c r="E870">
        <v>-399</v>
      </c>
      <c r="F870" s="5">
        <v>43862</v>
      </c>
      <c r="G870">
        <v>-802</v>
      </c>
      <c r="H870" t="s">
        <v>58</v>
      </c>
    </row>
    <row r="871" spans="1:8" x14ac:dyDescent="0.3">
      <c r="A871">
        <v>81</v>
      </c>
      <c r="B871" s="5">
        <v>43883</v>
      </c>
      <c r="C871" t="s">
        <v>12</v>
      </c>
      <c r="D871">
        <v>558</v>
      </c>
      <c r="E871">
        <v>-957</v>
      </c>
      <c r="F871" s="5">
        <v>43862</v>
      </c>
      <c r="G871">
        <v>-558</v>
      </c>
      <c r="H871" t="s">
        <v>58</v>
      </c>
    </row>
    <row r="872" spans="1:8" x14ac:dyDescent="0.3">
      <c r="A872">
        <v>81</v>
      </c>
      <c r="B872" s="5">
        <v>43894</v>
      </c>
      <c r="C872" t="s">
        <v>10</v>
      </c>
      <c r="D872">
        <v>497</v>
      </c>
      <c r="E872">
        <v>-460</v>
      </c>
      <c r="F872" s="5">
        <v>43891</v>
      </c>
      <c r="G872">
        <v>497</v>
      </c>
      <c r="H872" t="s">
        <v>58</v>
      </c>
    </row>
    <row r="873" spans="1:8" x14ac:dyDescent="0.3">
      <c r="A873">
        <v>81</v>
      </c>
      <c r="B873" s="5">
        <v>43899</v>
      </c>
      <c r="C873" t="s">
        <v>10</v>
      </c>
      <c r="D873">
        <v>741</v>
      </c>
      <c r="E873">
        <v>281</v>
      </c>
      <c r="F873" s="5">
        <v>43891</v>
      </c>
      <c r="G873">
        <v>741</v>
      </c>
      <c r="H873" t="s">
        <v>57</v>
      </c>
    </row>
    <row r="874" spans="1:8" x14ac:dyDescent="0.3">
      <c r="A874">
        <v>81</v>
      </c>
      <c r="B874" s="5">
        <v>43900</v>
      </c>
      <c r="C874" t="s">
        <v>12</v>
      </c>
      <c r="D874">
        <v>744</v>
      </c>
      <c r="E874">
        <v>-463</v>
      </c>
      <c r="F874" s="5">
        <v>43891</v>
      </c>
      <c r="G874">
        <v>-744</v>
      </c>
      <c r="H874" t="s">
        <v>58</v>
      </c>
    </row>
    <row r="875" spans="1:8" x14ac:dyDescent="0.3">
      <c r="A875">
        <v>81</v>
      </c>
      <c r="B875" s="5">
        <v>43919</v>
      </c>
      <c r="C875" t="s">
        <v>12</v>
      </c>
      <c r="D875">
        <v>643</v>
      </c>
      <c r="E875">
        <v>-1106</v>
      </c>
      <c r="F875" s="5">
        <v>43891</v>
      </c>
      <c r="G875">
        <v>-643</v>
      </c>
      <c r="H875" t="s">
        <v>58</v>
      </c>
    </row>
    <row r="876" spans="1:8" x14ac:dyDescent="0.3">
      <c r="A876">
        <v>81</v>
      </c>
      <c r="B876" s="5">
        <v>43922</v>
      </c>
      <c r="C876" t="s">
        <v>11</v>
      </c>
      <c r="D876">
        <v>224</v>
      </c>
      <c r="E876">
        <v>-1330</v>
      </c>
      <c r="F876" s="5">
        <v>43922</v>
      </c>
      <c r="G876">
        <v>-224</v>
      </c>
      <c r="H876" t="s">
        <v>58</v>
      </c>
    </row>
    <row r="877" spans="1:8" x14ac:dyDescent="0.3">
      <c r="A877">
        <v>81</v>
      </c>
      <c r="B877" s="5">
        <v>43932</v>
      </c>
      <c r="C877" t="s">
        <v>11</v>
      </c>
      <c r="D877">
        <v>65</v>
      </c>
      <c r="E877">
        <v>-1395</v>
      </c>
      <c r="F877" s="5">
        <v>43922</v>
      </c>
      <c r="G877">
        <v>-65</v>
      </c>
      <c r="H877" t="s">
        <v>58</v>
      </c>
    </row>
    <row r="878" spans="1:8" x14ac:dyDescent="0.3">
      <c r="A878">
        <v>81</v>
      </c>
      <c r="B878" s="5">
        <v>43935</v>
      </c>
      <c r="C878" t="s">
        <v>10</v>
      </c>
      <c r="D878">
        <v>494</v>
      </c>
      <c r="E878">
        <v>-901</v>
      </c>
      <c r="F878" s="5">
        <v>43922</v>
      </c>
      <c r="G878">
        <v>494</v>
      </c>
      <c r="H878" t="s">
        <v>58</v>
      </c>
    </row>
    <row r="879" spans="1:8" x14ac:dyDescent="0.3">
      <c r="A879">
        <v>81</v>
      </c>
      <c r="B879" s="5">
        <v>43940</v>
      </c>
      <c r="C879" t="s">
        <v>12</v>
      </c>
      <c r="D879">
        <v>610</v>
      </c>
      <c r="E879">
        <v>-1511</v>
      </c>
      <c r="F879" s="5">
        <v>43922</v>
      </c>
      <c r="G879">
        <v>-610</v>
      </c>
      <c r="H879" t="s">
        <v>58</v>
      </c>
    </row>
    <row r="880" spans="1:8" x14ac:dyDescent="0.3">
      <c r="A880">
        <v>81</v>
      </c>
      <c r="B880" s="5">
        <v>43941</v>
      </c>
      <c r="C880" t="s">
        <v>11</v>
      </c>
      <c r="D880">
        <v>473</v>
      </c>
      <c r="E880">
        <v>-1984</v>
      </c>
      <c r="F880" s="5">
        <v>43922</v>
      </c>
      <c r="G880">
        <v>-473</v>
      </c>
      <c r="H880" t="s">
        <v>58</v>
      </c>
    </row>
    <row r="881" spans="1:8" x14ac:dyDescent="0.3">
      <c r="A881">
        <v>82</v>
      </c>
      <c r="B881" s="5">
        <v>43839</v>
      </c>
      <c r="C881" t="s">
        <v>10</v>
      </c>
      <c r="D881">
        <v>363</v>
      </c>
      <c r="E881">
        <v>363</v>
      </c>
      <c r="F881" s="5">
        <v>43831</v>
      </c>
      <c r="G881">
        <v>363</v>
      </c>
      <c r="H881" t="s">
        <v>57</v>
      </c>
    </row>
    <row r="882" spans="1:8" x14ac:dyDescent="0.3">
      <c r="A882">
        <v>82</v>
      </c>
      <c r="B882" s="5">
        <v>43845</v>
      </c>
      <c r="C882" t="s">
        <v>11</v>
      </c>
      <c r="D882">
        <v>972</v>
      </c>
      <c r="E882">
        <v>-609</v>
      </c>
      <c r="F882" s="5">
        <v>43831</v>
      </c>
      <c r="G882">
        <v>-972</v>
      </c>
      <c r="H882" t="s">
        <v>58</v>
      </c>
    </row>
    <row r="883" spans="1:8" x14ac:dyDescent="0.3">
      <c r="A883">
        <v>82</v>
      </c>
      <c r="B883" s="5">
        <v>43846</v>
      </c>
      <c r="C883" t="s">
        <v>12</v>
      </c>
      <c r="D883">
        <v>979</v>
      </c>
      <c r="E883">
        <v>-1588</v>
      </c>
      <c r="F883" s="5">
        <v>43831</v>
      </c>
      <c r="G883">
        <v>-979</v>
      </c>
      <c r="H883" t="s">
        <v>58</v>
      </c>
    </row>
    <row r="884" spans="1:8" x14ac:dyDescent="0.3">
      <c r="A884">
        <v>82</v>
      </c>
      <c r="B884" s="5">
        <v>43848</v>
      </c>
      <c r="C884" t="s">
        <v>12</v>
      </c>
      <c r="D884">
        <v>193</v>
      </c>
      <c r="E884">
        <v>-1781</v>
      </c>
      <c r="F884" s="5">
        <v>43831</v>
      </c>
      <c r="G884">
        <v>-193</v>
      </c>
      <c r="H884" t="s">
        <v>58</v>
      </c>
    </row>
    <row r="885" spans="1:8" x14ac:dyDescent="0.3">
      <c r="A885">
        <v>82</v>
      </c>
      <c r="B885" s="5">
        <v>43856</v>
      </c>
      <c r="C885" t="s">
        <v>11</v>
      </c>
      <c r="D885">
        <v>889</v>
      </c>
      <c r="E885">
        <v>-2670</v>
      </c>
      <c r="F885" s="5">
        <v>43831</v>
      </c>
      <c r="G885">
        <v>-889</v>
      </c>
      <c r="H885" t="s">
        <v>58</v>
      </c>
    </row>
    <row r="886" spans="1:8" x14ac:dyDescent="0.3">
      <c r="A886">
        <v>82</v>
      </c>
      <c r="B886" s="5">
        <v>43857</v>
      </c>
      <c r="C886" t="s">
        <v>10</v>
      </c>
      <c r="D886">
        <v>854</v>
      </c>
      <c r="E886">
        <v>-1816</v>
      </c>
      <c r="F886" s="5">
        <v>43831</v>
      </c>
      <c r="G886">
        <v>854</v>
      </c>
      <c r="H886" t="s">
        <v>58</v>
      </c>
    </row>
    <row r="887" spans="1:8" x14ac:dyDescent="0.3">
      <c r="A887">
        <v>82</v>
      </c>
      <c r="B887" s="5">
        <v>43858</v>
      </c>
      <c r="C887" t="s">
        <v>12</v>
      </c>
      <c r="D887">
        <v>436</v>
      </c>
      <c r="E887">
        <v>-2252</v>
      </c>
      <c r="F887" s="5">
        <v>43831</v>
      </c>
      <c r="G887">
        <v>-436</v>
      </c>
      <c r="H887" t="s">
        <v>58</v>
      </c>
    </row>
    <row r="888" spans="1:8" x14ac:dyDescent="0.3">
      <c r="A888">
        <v>82</v>
      </c>
      <c r="B888" s="5">
        <v>43858</v>
      </c>
      <c r="C888" t="s">
        <v>12</v>
      </c>
      <c r="D888">
        <v>760</v>
      </c>
      <c r="E888">
        <v>-3012</v>
      </c>
      <c r="F888" s="5">
        <v>43831</v>
      </c>
      <c r="G888">
        <v>-760</v>
      </c>
      <c r="H888" t="s">
        <v>58</v>
      </c>
    </row>
    <row r="889" spans="1:8" x14ac:dyDescent="0.3">
      <c r="A889">
        <v>82</v>
      </c>
      <c r="B889" s="5">
        <v>43860</v>
      </c>
      <c r="C889" t="s">
        <v>11</v>
      </c>
      <c r="D889">
        <v>900</v>
      </c>
      <c r="E889">
        <v>-3912</v>
      </c>
      <c r="F889" s="5">
        <v>43831</v>
      </c>
      <c r="G889">
        <v>-900</v>
      </c>
      <c r="H889" t="s">
        <v>58</v>
      </c>
    </row>
    <row r="890" spans="1:8" x14ac:dyDescent="0.3">
      <c r="A890">
        <v>82</v>
      </c>
      <c r="B890" s="5">
        <v>43865</v>
      </c>
      <c r="C890" t="s">
        <v>11</v>
      </c>
      <c r="D890">
        <v>74</v>
      </c>
      <c r="E890">
        <v>-3986</v>
      </c>
      <c r="F890" s="5">
        <v>43862</v>
      </c>
      <c r="G890">
        <v>-74</v>
      </c>
      <c r="H890" t="s">
        <v>58</v>
      </c>
    </row>
    <row r="891" spans="1:8" x14ac:dyDescent="0.3">
      <c r="A891">
        <v>82</v>
      </c>
      <c r="B891" s="5">
        <v>43896</v>
      </c>
      <c r="C891" t="s">
        <v>12</v>
      </c>
      <c r="D891">
        <v>66</v>
      </c>
      <c r="E891">
        <v>-4052</v>
      </c>
      <c r="F891" s="5">
        <v>43891</v>
      </c>
      <c r="G891">
        <v>-66</v>
      </c>
      <c r="H891" t="s">
        <v>58</v>
      </c>
    </row>
    <row r="892" spans="1:8" x14ac:dyDescent="0.3">
      <c r="A892">
        <v>82</v>
      </c>
      <c r="B892" s="5">
        <v>43900</v>
      </c>
      <c r="C892" t="s">
        <v>12</v>
      </c>
      <c r="D892">
        <v>764</v>
      </c>
      <c r="E892">
        <v>-4816</v>
      </c>
      <c r="F892" s="5">
        <v>43891</v>
      </c>
      <c r="G892">
        <v>-764</v>
      </c>
      <c r="H892" t="s">
        <v>58</v>
      </c>
    </row>
    <row r="893" spans="1:8" x14ac:dyDescent="0.3">
      <c r="A893">
        <v>82</v>
      </c>
      <c r="B893" s="5">
        <v>43904</v>
      </c>
      <c r="C893" t="s">
        <v>10</v>
      </c>
      <c r="D893">
        <v>778</v>
      </c>
      <c r="E893">
        <v>-4038</v>
      </c>
      <c r="F893" s="5">
        <v>43891</v>
      </c>
      <c r="G893">
        <v>778</v>
      </c>
      <c r="H893" t="s">
        <v>58</v>
      </c>
    </row>
    <row r="894" spans="1:8" x14ac:dyDescent="0.3">
      <c r="A894">
        <v>82</v>
      </c>
      <c r="B894" s="5">
        <v>43905</v>
      </c>
      <c r="C894" t="s">
        <v>10</v>
      </c>
      <c r="D894">
        <v>789</v>
      </c>
      <c r="E894">
        <v>-3249</v>
      </c>
      <c r="F894" s="5">
        <v>43891</v>
      </c>
      <c r="G894">
        <v>789</v>
      </c>
      <c r="H894" t="s">
        <v>58</v>
      </c>
    </row>
    <row r="895" spans="1:8" x14ac:dyDescent="0.3">
      <c r="A895">
        <v>82</v>
      </c>
      <c r="B895" s="5">
        <v>43923</v>
      </c>
      <c r="C895" t="s">
        <v>11</v>
      </c>
      <c r="D895">
        <v>946</v>
      </c>
      <c r="E895">
        <v>-4195</v>
      </c>
      <c r="F895" s="5">
        <v>43922</v>
      </c>
      <c r="G895">
        <v>-946</v>
      </c>
      <c r="H895" t="s">
        <v>58</v>
      </c>
    </row>
    <row r="896" spans="1:8" x14ac:dyDescent="0.3">
      <c r="A896">
        <v>82</v>
      </c>
      <c r="B896" s="5">
        <v>43924</v>
      </c>
      <c r="C896" t="s">
        <v>11</v>
      </c>
      <c r="D896">
        <v>419</v>
      </c>
      <c r="E896">
        <v>-4614</v>
      </c>
      <c r="F896" s="5">
        <v>43922</v>
      </c>
      <c r="G896">
        <v>-419</v>
      </c>
      <c r="H896" t="s">
        <v>58</v>
      </c>
    </row>
    <row r="897" spans="1:8" x14ac:dyDescent="0.3">
      <c r="A897">
        <v>83</v>
      </c>
      <c r="B897" s="5">
        <v>43839</v>
      </c>
      <c r="C897" t="s">
        <v>10</v>
      </c>
      <c r="D897">
        <v>942</v>
      </c>
      <c r="E897">
        <v>942</v>
      </c>
      <c r="F897" s="5">
        <v>43831</v>
      </c>
      <c r="G897">
        <v>942</v>
      </c>
      <c r="H897" t="s">
        <v>57</v>
      </c>
    </row>
    <row r="898" spans="1:8" x14ac:dyDescent="0.3">
      <c r="A898">
        <v>83</v>
      </c>
      <c r="B898" s="5">
        <v>43855</v>
      </c>
      <c r="C898" t="s">
        <v>10</v>
      </c>
      <c r="D898">
        <v>875</v>
      </c>
      <c r="E898">
        <v>1817</v>
      </c>
      <c r="F898" s="5">
        <v>43831</v>
      </c>
      <c r="G898">
        <v>875</v>
      </c>
      <c r="H898" t="s">
        <v>57</v>
      </c>
    </row>
    <row r="899" spans="1:8" x14ac:dyDescent="0.3">
      <c r="A899">
        <v>83</v>
      </c>
      <c r="B899" s="5">
        <v>43857</v>
      </c>
      <c r="C899" t="s">
        <v>11</v>
      </c>
      <c r="D899">
        <v>718</v>
      </c>
      <c r="E899">
        <v>1099</v>
      </c>
      <c r="F899" s="5">
        <v>43831</v>
      </c>
      <c r="G899">
        <v>-718</v>
      </c>
      <c r="H899" t="s">
        <v>57</v>
      </c>
    </row>
    <row r="900" spans="1:8" x14ac:dyDescent="0.3">
      <c r="A900">
        <v>83</v>
      </c>
      <c r="B900" s="5">
        <v>43870</v>
      </c>
      <c r="C900" t="s">
        <v>12</v>
      </c>
      <c r="D900">
        <v>655</v>
      </c>
      <c r="E900">
        <v>444</v>
      </c>
      <c r="F900" s="5">
        <v>43862</v>
      </c>
      <c r="G900">
        <v>-655</v>
      </c>
      <c r="H900" t="s">
        <v>57</v>
      </c>
    </row>
    <row r="901" spans="1:8" x14ac:dyDescent="0.3">
      <c r="A901">
        <v>83</v>
      </c>
      <c r="B901" s="5">
        <v>43872</v>
      </c>
      <c r="C901" t="s">
        <v>11</v>
      </c>
      <c r="D901">
        <v>787</v>
      </c>
      <c r="E901">
        <v>-343</v>
      </c>
      <c r="F901" s="5">
        <v>43862</v>
      </c>
      <c r="G901">
        <v>-787</v>
      </c>
      <c r="H901" t="s">
        <v>58</v>
      </c>
    </row>
    <row r="902" spans="1:8" x14ac:dyDescent="0.3">
      <c r="A902">
        <v>83</v>
      </c>
      <c r="B902" s="5">
        <v>43880</v>
      </c>
      <c r="C902" t="s">
        <v>11</v>
      </c>
      <c r="D902">
        <v>308</v>
      </c>
      <c r="E902">
        <v>-651</v>
      </c>
      <c r="F902" s="5">
        <v>43862</v>
      </c>
      <c r="G902">
        <v>-308</v>
      </c>
      <c r="H902" t="s">
        <v>58</v>
      </c>
    </row>
    <row r="903" spans="1:8" x14ac:dyDescent="0.3">
      <c r="A903">
        <v>83</v>
      </c>
      <c r="B903" s="5">
        <v>43888</v>
      </c>
      <c r="C903" t="s">
        <v>11</v>
      </c>
      <c r="D903">
        <v>41</v>
      </c>
      <c r="E903">
        <v>-692</v>
      </c>
      <c r="F903" s="5">
        <v>43862</v>
      </c>
      <c r="G903">
        <v>-41</v>
      </c>
      <c r="H903" t="s">
        <v>58</v>
      </c>
    </row>
    <row r="904" spans="1:8" x14ac:dyDescent="0.3">
      <c r="A904">
        <v>83</v>
      </c>
      <c r="B904" s="5">
        <v>43893</v>
      </c>
      <c r="C904" t="s">
        <v>12</v>
      </c>
      <c r="D904">
        <v>301</v>
      </c>
      <c r="E904">
        <v>-993</v>
      </c>
      <c r="F904" s="5">
        <v>43891</v>
      </c>
      <c r="G904">
        <v>-301</v>
      </c>
      <c r="H904" t="s">
        <v>58</v>
      </c>
    </row>
    <row r="905" spans="1:8" x14ac:dyDescent="0.3">
      <c r="A905">
        <v>83</v>
      </c>
      <c r="B905" s="5">
        <v>43899</v>
      </c>
      <c r="C905" t="s">
        <v>10</v>
      </c>
      <c r="D905">
        <v>713</v>
      </c>
      <c r="E905">
        <v>-280</v>
      </c>
      <c r="F905" s="5">
        <v>43891</v>
      </c>
      <c r="G905">
        <v>713</v>
      </c>
      <c r="H905" t="s">
        <v>58</v>
      </c>
    </row>
    <row r="906" spans="1:8" x14ac:dyDescent="0.3">
      <c r="A906">
        <v>83</v>
      </c>
      <c r="B906" s="5">
        <v>43908</v>
      </c>
      <c r="C906" t="s">
        <v>10</v>
      </c>
      <c r="D906">
        <v>617</v>
      </c>
      <c r="E906">
        <v>337</v>
      </c>
      <c r="F906" s="5">
        <v>43891</v>
      </c>
      <c r="G906">
        <v>617</v>
      </c>
      <c r="H906" t="s">
        <v>57</v>
      </c>
    </row>
    <row r="907" spans="1:8" x14ac:dyDescent="0.3">
      <c r="A907">
        <v>83</v>
      </c>
      <c r="B907" s="5">
        <v>43911</v>
      </c>
      <c r="C907" t="s">
        <v>11</v>
      </c>
      <c r="D907">
        <v>827</v>
      </c>
      <c r="E907">
        <v>-490</v>
      </c>
      <c r="F907" s="5">
        <v>43891</v>
      </c>
      <c r="G907">
        <v>-827</v>
      </c>
      <c r="H907" t="s">
        <v>58</v>
      </c>
    </row>
    <row r="908" spans="1:8" x14ac:dyDescent="0.3">
      <c r="A908">
        <v>83</v>
      </c>
      <c r="B908" s="5">
        <v>43918</v>
      </c>
      <c r="C908" t="s">
        <v>11</v>
      </c>
      <c r="D908">
        <v>566</v>
      </c>
      <c r="E908">
        <v>-1056</v>
      </c>
      <c r="F908" s="5">
        <v>43891</v>
      </c>
      <c r="G908">
        <v>-566</v>
      </c>
      <c r="H908" t="s">
        <v>58</v>
      </c>
    </row>
    <row r="909" spans="1:8" x14ac:dyDescent="0.3">
      <c r="A909">
        <v>83</v>
      </c>
      <c r="B909" s="5">
        <v>43920</v>
      </c>
      <c r="C909" t="s">
        <v>10</v>
      </c>
      <c r="D909">
        <v>247</v>
      </c>
      <c r="E909">
        <v>-809</v>
      </c>
      <c r="F909" s="5">
        <v>43891</v>
      </c>
      <c r="G909">
        <v>247</v>
      </c>
      <c r="H909" t="s">
        <v>58</v>
      </c>
    </row>
    <row r="910" spans="1:8" x14ac:dyDescent="0.3">
      <c r="A910">
        <v>83</v>
      </c>
      <c r="B910" s="5">
        <v>43920</v>
      </c>
      <c r="C910" t="s">
        <v>10</v>
      </c>
      <c r="D910">
        <v>67</v>
      </c>
      <c r="E910">
        <v>-742</v>
      </c>
      <c r="F910" s="5">
        <v>43891</v>
      </c>
      <c r="G910">
        <v>67</v>
      </c>
      <c r="H910" t="s">
        <v>58</v>
      </c>
    </row>
    <row r="911" spans="1:8" x14ac:dyDescent="0.3">
      <c r="A911">
        <v>83</v>
      </c>
      <c r="B911" s="5">
        <v>43928</v>
      </c>
      <c r="C911" t="s">
        <v>10</v>
      </c>
      <c r="D911">
        <v>365</v>
      </c>
      <c r="E911">
        <v>-377</v>
      </c>
      <c r="F911" s="5">
        <v>43922</v>
      </c>
      <c r="G911">
        <v>365</v>
      </c>
      <c r="H911" t="s">
        <v>58</v>
      </c>
    </row>
    <row r="912" spans="1:8" x14ac:dyDescent="0.3">
      <c r="A912">
        <v>84</v>
      </c>
      <c r="B912" s="5">
        <v>43853</v>
      </c>
      <c r="C912" t="s">
        <v>10</v>
      </c>
      <c r="D912">
        <v>968</v>
      </c>
      <c r="E912">
        <v>968</v>
      </c>
      <c r="F912" s="5">
        <v>43831</v>
      </c>
      <c r="G912">
        <v>968</v>
      </c>
      <c r="H912" t="s">
        <v>57</v>
      </c>
    </row>
    <row r="913" spans="1:8" x14ac:dyDescent="0.3">
      <c r="A913">
        <v>84</v>
      </c>
      <c r="B913" s="5">
        <v>43895</v>
      </c>
      <c r="C913" t="s">
        <v>11</v>
      </c>
      <c r="D913">
        <v>359</v>
      </c>
      <c r="E913">
        <v>609</v>
      </c>
      <c r="F913" s="5">
        <v>43891</v>
      </c>
      <c r="G913">
        <v>-359</v>
      </c>
      <c r="H913" t="s">
        <v>57</v>
      </c>
    </row>
    <row r="914" spans="1:8" x14ac:dyDescent="0.3">
      <c r="A914">
        <v>85</v>
      </c>
      <c r="B914" s="5">
        <v>43841</v>
      </c>
      <c r="C914" t="s">
        <v>10</v>
      </c>
      <c r="D914">
        <v>467</v>
      </c>
      <c r="E914">
        <v>467</v>
      </c>
      <c r="F914" s="5">
        <v>43831</v>
      </c>
      <c r="G914">
        <v>467</v>
      </c>
      <c r="H914" t="s">
        <v>57</v>
      </c>
    </row>
    <row r="915" spans="1:8" x14ac:dyDescent="0.3">
      <c r="A915">
        <v>85</v>
      </c>
      <c r="B915" s="5">
        <v>43913</v>
      </c>
      <c r="C915" t="s">
        <v>10</v>
      </c>
      <c r="D915">
        <v>609</v>
      </c>
      <c r="E915">
        <v>1076</v>
      </c>
      <c r="F915" s="5">
        <v>43891</v>
      </c>
      <c r="G915">
        <v>609</v>
      </c>
      <c r="H915" t="s">
        <v>57</v>
      </c>
    </row>
    <row r="916" spans="1:8" x14ac:dyDescent="0.3">
      <c r="A916">
        <v>85</v>
      </c>
      <c r="B916" s="5">
        <v>43925</v>
      </c>
      <c r="C916" t="s">
        <v>11</v>
      </c>
      <c r="D916">
        <v>430</v>
      </c>
      <c r="E916">
        <v>646</v>
      </c>
      <c r="F916" s="5">
        <v>43922</v>
      </c>
      <c r="G916">
        <v>-430</v>
      </c>
      <c r="H916" t="s">
        <v>57</v>
      </c>
    </row>
    <row r="917" spans="1:8" x14ac:dyDescent="0.3">
      <c r="A917">
        <v>86</v>
      </c>
      <c r="B917" s="5">
        <v>43833</v>
      </c>
      <c r="C917" t="s">
        <v>10</v>
      </c>
      <c r="D917">
        <v>12</v>
      </c>
      <c r="E917">
        <v>12</v>
      </c>
      <c r="F917" s="5">
        <v>43831</v>
      </c>
      <c r="G917">
        <v>12</v>
      </c>
      <c r="H917" t="s">
        <v>57</v>
      </c>
    </row>
    <row r="918" spans="1:8" x14ac:dyDescent="0.3">
      <c r="A918">
        <v>86</v>
      </c>
      <c r="B918" s="5">
        <v>43843</v>
      </c>
      <c r="C918" t="s">
        <v>10</v>
      </c>
      <c r="D918">
        <v>592</v>
      </c>
      <c r="E918">
        <v>604</v>
      </c>
      <c r="F918" s="5">
        <v>43831</v>
      </c>
      <c r="G918">
        <v>592</v>
      </c>
      <c r="H918" t="s">
        <v>57</v>
      </c>
    </row>
    <row r="919" spans="1:8" x14ac:dyDescent="0.3">
      <c r="A919">
        <v>86</v>
      </c>
      <c r="B919" s="5">
        <v>43848</v>
      </c>
      <c r="C919" t="s">
        <v>12</v>
      </c>
      <c r="D919">
        <v>681</v>
      </c>
      <c r="E919">
        <v>-77</v>
      </c>
      <c r="F919" s="5">
        <v>43831</v>
      </c>
      <c r="G919">
        <v>-681</v>
      </c>
      <c r="H919" t="s">
        <v>58</v>
      </c>
    </row>
    <row r="920" spans="1:8" x14ac:dyDescent="0.3">
      <c r="A920">
        <v>86</v>
      </c>
      <c r="B920" s="5">
        <v>43852</v>
      </c>
      <c r="C920" t="s">
        <v>10</v>
      </c>
      <c r="D920">
        <v>144</v>
      </c>
      <c r="E920">
        <v>67</v>
      </c>
      <c r="F920" s="5">
        <v>43831</v>
      </c>
      <c r="G920">
        <v>144</v>
      </c>
      <c r="H920" t="s">
        <v>57</v>
      </c>
    </row>
    <row r="921" spans="1:8" x14ac:dyDescent="0.3">
      <c r="A921">
        <v>86</v>
      </c>
      <c r="B921" s="5">
        <v>43856</v>
      </c>
      <c r="C921" t="s">
        <v>10</v>
      </c>
      <c r="D921">
        <v>143</v>
      </c>
      <c r="E921">
        <v>210</v>
      </c>
      <c r="F921" s="5">
        <v>43831</v>
      </c>
      <c r="G921">
        <v>143</v>
      </c>
      <c r="H921" t="s">
        <v>57</v>
      </c>
    </row>
    <row r="922" spans="1:8" x14ac:dyDescent="0.3">
      <c r="A922">
        <v>86</v>
      </c>
      <c r="B922" s="5">
        <v>43856</v>
      </c>
      <c r="C922" t="s">
        <v>10</v>
      </c>
      <c r="D922">
        <v>662</v>
      </c>
      <c r="E922">
        <v>872</v>
      </c>
      <c r="F922" s="5">
        <v>43831</v>
      </c>
      <c r="G922">
        <v>662</v>
      </c>
      <c r="H922" t="s">
        <v>57</v>
      </c>
    </row>
    <row r="923" spans="1:8" x14ac:dyDescent="0.3">
      <c r="A923">
        <v>86</v>
      </c>
      <c r="B923" s="5">
        <v>43867</v>
      </c>
      <c r="C923" t="s">
        <v>11</v>
      </c>
      <c r="D923">
        <v>125</v>
      </c>
      <c r="E923">
        <v>747</v>
      </c>
      <c r="F923" s="5">
        <v>43862</v>
      </c>
      <c r="G923">
        <v>-125</v>
      </c>
      <c r="H923" t="s">
        <v>57</v>
      </c>
    </row>
    <row r="924" spans="1:8" x14ac:dyDescent="0.3">
      <c r="A924">
        <v>86</v>
      </c>
      <c r="B924" s="5">
        <v>43870</v>
      </c>
      <c r="C924" t="s">
        <v>12</v>
      </c>
      <c r="D924">
        <v>993</v>
      </c>
      <c r="E924">
        <v>-246</v>
      </c>
      <c r="F924" s="5">
        <v>43862</v>
      </c>
      <c r="G924">
        <v>-993</v>
      </c>
      <c r="H924" t="s">
        <v>58</v>
      </c>
    </row>
    <row r="925" spans="1:8" x14ac:dyDescent="0.3">
      <c r="A925">
        <v>86</v>
      </c>
      <c r="B925" s="5">
        <v>43873</v>
      </c>
      <c r="C925" t="s">
        <v>12</v>
      </c>
      <c r="D925">
        <v>582</v>
      </c>
      <c r="E925">
        <v>-828</v>
      </c>
      <c r="F925" s="5">
        <v>43862</v>
      </c>
      <c r="G925">
        <v>-582</v>
      </c>
      <c r="H925" t="s">
        <v>58</v>
      </c>
    </row>
    <row r="926" spans="1:8" x14ac:dyDescent="0.3">
      <c r="A926">
        <v>86</v>
      </c>
      <c r="B926" s="5">
        <v>43882</v>
      </c>
      <c r="C926" t="s">
        <v>12</v>
      </c>
      <c r="D926">
        <v>541</v>
      </c>
      <c r="E926">
        <v>-1369</v>
      </c>
      <c r="F926" s="5">
        <v>43862</v>
      </c>
      <c r="G926">
        <v>-541</v>
      </c>
      <c r="H926" t="s">
        <v>58</v>
      </c>
    </row>
    <row r="927" spans="1:8" x14ac:dyDescent="0.3">
      <c r="A927">
        <v>86</v>
      </c>
      <c r="B927" s="5">
        <v>43885</v>
      </c>
      <c r="C927" t="s">
        <v>10</v>
      </c>
      <c r="D927">
        <v>865</v>
      </c>
      <c r="E927">
        <v>-504</v>
      </c>
      <c r="F927" s="5">
        <v>43862</v>
      </c>
      <c r="G927">
        <v>865</v>
      </c>
      <c r="H927" t="s">
        <v>58</v>
      </c>
    </row>
    <row r="928" spans="1:8" x14ac:dyDescent="0.3">
      <c r="A928">
        <v>86</v>
      </c>
      <c r="B928" s="5">
        <v>43892</v>
      </c>
      <c r="C928" t="s">
        <v>12</v>
      </c>
      <c r="D928">
        <v>767</v>
      </c>
      <c r="E928">
        <v>-1271</v>
      </c>
      <c r="F928" s="5">
        <v>43891</v>
      </c>
      <c r="G928">
        <v>-767</v>
      </c>
      <c r="H928" t="s">
        <v>58</v>
      </c>
    </row>
    <row r="929" spans="1:8" x14ac:dyDescent="0.3">
      <c r="A929">
        <v>86</v>
      </c>
      <c r="B929" s="5">
        <v>43898</v>
      </c>
      <c r="C929" t="s">
        <v>12</v>
      </c>
      <c r="D929">
        <v>217</v>
      </c>
      <c r="E929">
        <v>-1488</v>
      </c>
      <c r="F929" s="5">
        <v>43891</v>
      </c>
      <c r="G929">
        <v>-217</v>
      </c>
      <c r="H929" t="s">
        <v>58</v>
      </c>
    </row>
    <row r="930" spans="1:8" x14ac:dyDescent="0.3">
      <c r="A930">
        <v>86</v>
      </c>
      <c r="B930" s="5">
        <v>43901</v>
      </c>
      <c r="C930" t="s">
        <v>10</v>
      </c>
      <c r="D930">
        <v>901</v>
      </c>
      <c r="E930">
        <v>-587</v>
      </c>
      <c r="F930" s="5">
        <v>43891</v>
      </c>
      <c r="G930">
        <v>901</v>
      </c>
      <c r="H930" t="s">
        <v>58</v>
      </c>
    </row>
    <row r="931" spans="1:8" x14ac:dyDescent="0.3">
      <c r="A931">
        <v>86</v>
      </c>
      <c r="B931" s="5">
        <v>43910</v>
      </c>
      <c r="C931" t="s">
        <v>11</v>
      </c>
      <c r="D931">
        <v>595</v>
      </c>
      <c r="E931">
        <v>-1182</v>
      </c>
      <c r="F931" s="5">
        <v>43891</v>
      </c>
      <c r="G931">
        <v>-595</v>
      </c>
      <c r="H931" t="s">
        <v>58</v>
      </c>
    </row>
    <row r="932" spans="1:8" x14ac:dyDescent="0.3">
      <c r="A932">
        <v>86</v>
      </c>
      <c r="B932" s="5">
        <v>43912</v>
      </c>
      <c r="C932" t="s">
        <v>10</v>
      </c>
      <c r="D932">
        <v>710</v>
      </c>
      <c r="E932">
        <v>-472</v>
      </c>
      <c r="F932" s="5">
        <v>43891</v>
      </c>
      <c r="G932">
        <v>710</v>
      </c>
      <c r="H932" t="s">
        <v>58</v>
      </c>
    </row>
    <row r="933" spans="1:8" x14ac:dyDescent="0.3">
      <c r="A933">
        <v>86</v>
      </c>
      <c r="B933" s="5">
        <v>43916</v>
      </c>
      <c r="C933" t="s">
        <v>10</v>
      </c>
      <c r="D933">
        <v>772</v>
      </c>
      <c r="E933">
        <v>300</v>
      </c>
      <c r="F933" s="5">
        <v>43891</v>
      </c>
      <c r="G933">
        <v>772</v>
      </c>
      <c r="H933" t="s">
        <v>57</v>
      </c>
    </row>
    <row r="934" spans="1:8" x14ac:dyDescent="0.3">
      <c r="A934">
        <v>86</v>
      </c>
      <c r="B934" s="5">
        <v>43918</v>
      </c>
      <c r="C934" t="s">
        <v>10</v>
      </c>
      <c r="D934">
        <v>356</v>
      </c>
      <c r="E934">
        <v>656</v>
      </c>
      <c r="F934" s="5">
        <v>43891</v>
      </c>
      <c r="G934">
        <v>356</v>
      </c>
      <c r="H934" t="s">
        <v>57</v>
      </c>
    </row>
    <row r="935" spans="1:8" x14ac:dyDescent="0.3">
      <c r="A935">
        <v>86</v>
      </c>
      <c r="B935" s="5">
        <v>43920</v>
      </c>
      <c r="C935" t="s">
        <v>11</v>
      </c>
      <c r="D935">
        <v>563</v>
      </c>
      <c r="E935">
        <v>93</v>
      </c>
      <c r="F935" s="5">
        <v>43891</v>
      </c>
      <c r="G935">
        <v>-563</v>
      </c>
      <c r="H935" t="s">
        <v>57</v>
      </c>
    </row>
    <row r="936" spans="1:8" x14ac:dyDescent="0.3">
      <c r="A936">
        <v>87</v>
      </c>
      <c r="B936" s="5">
        <v>43843</v>
      </c>
      <c r="C936" t="s">
        <v>10</v>
      </c>
      <c r="D936">
        <v>777</v>
      </c>
      <c r="E936">
        <v>777</v>
      </c>
      <c r="F936" s="5">
        <v>43831</v>
      </c>
      <c r="G936">
        <v>777</v>
      </c>
      <c r="H936" t="s">
        <v>57</v>
      </c>
    </row>
    <row r="937" spans="1:8" x14ac:dyDescent="0.3">
      <c r="A937">
        <v>87</v>
      </c>
      <c r="B937" s="5">
        <v>43851</v>
      </c>
      <c r="C937" t="s">
        <v>12</v>
      </c>
      <c r="D937">
        <v>616</v>
      </c>
      <c r="E937">
        <v>161</v>
      </c>
      <c r="F937" s="5">
        <v>43831</v>
      </c>
      <c r="G937">
        <v>-616</v>
      </c>
      <c r="H937" t="s">
        <v>57</v>
      </c>
    </row>
    <row r="938" spans="1:8" x14ac:dyDescent="0.3">
      <c r="A938">
        <v>87</v>
      </c>
      <c r="B938" s="5">
        <v>43852</v>
      </c>
      <c r="C938" t="s">
        <v>11</v>
      </c>
      <c r="D938">
        <v>524</v>
      </c>
      <c r="E938">
        <v>-363</v>
      </c>
      <c r="F938" s="5">
        <v>43831</v>
      </c>
      <c r="G938">
        <v>-524</v>
      </c>
      <c r="H938" t="s">
        <v>58</v>
      </c>
    </row>
    <row r="939" spans="1:8" x14ac:dyDescent="0.3">
      <c r="A939">
        <v>87</v>
      </c>
      <c r="B939" s="5">
        <v>43859</v>
      </c>
      <c r="C939" t="s">
        <v>11</v>
      </c>
      <c r="D939">
        <v>2</v>
      </c>
      <c r="E939">
        <v>-365</v>
      </c>
      <c r="F939" s="5">
        <v>43831</v>
      </c>
      <c r="G939">
        <v>-2</v>
      </c>
      <c r="H939" t="s">
        <v>58</v>
      </c>
    </row>
    <row r="940" spans="1:8" x14ac:dyDescent="0.3">
      <c r="A940">
        <v>87</v>
      </c>
      <c r="B940" s="5">
        <v>43863</v>
      </c>
      <c r="C940" t="s">
        <v>12</v>
      </c>
      <c r="D940">
        <v>661</v>
      </c>
      <c r="E940">
        <v>-1026</v>
      </c>
      <c r="F940" s="5">
        <v>43862</v>
      </c>
      <c r="G940">
        <v>-661</v>
      </c>
      <c r="H940" t="s">
        <v>58</v>
      </c>
    </row>
    <row r="941" spans="1:8" x14ac:dyDescent="0.3">
      <c r="A941">
        <v>87</v>
      </c>
      <c r="B941" s="5">
        <v>43867</v>
      </c>
      <c r="C941" t="s">
        <v>10</v>
      </c>
      <c r="D941">
        <v>561</v>
      </c>
      <c r="E941">
        <v>-465</v>
      </c>
      <c r="F941" s="5">
        <v>43862</v>
      </c>
      <c r="G941">
        <v>561</v>
      </c>
      <c r="H941" t="s">
        <v>58</v>
      </c>
    </row>
    <row r="942" spans="1:8" x14ac:dyDescent="0.3">
      <c r="A942">
        <v>87</v>
      </c>
      <c r="B942" s="5">
        <v>43875</v>
      </c>
      <c r="C942" t="s">
        <v>11</v>
      </c>
      <c r="D942">
        <v>183</v>
      </c>
      <c r="E942">
        <v>-648</v>
      </c>
      <c r="F942" s="5">
        <v>43862</v>
      </c>
      <c r="G942">
        <v>-183</v>
      </c>
      <c r="H942" t="s">
        <v>58</v>
      </c>
    </row>
    <row r="943" spans="1:8" x14ac:dyDescent="0.3">
      <c r="A943">
        <v>87</v>
      </c>
      <c r="B943" s="5">
        <v>43878</v>
      </c>
      <c r="C943" t="s">
        <v>12</v>
      </c>
      <c r="D943">
        <v>107</v>
      </c>
      <c r="E943">
        <v>-755</v>
      </c>
      <c r="F943" s="5">
        <v>43862</v>
      </c>
      <c r="G943">
        <v>-107</v>
      </c>
      <c r="H943" t="s">
        <v>58</v>
      </c>
    </row>
    <row r="944" spans="1:8" x14ac:dyDescent="0.3">
      <c r="A944">
        <v>87</v>
      </c>
      <c r="B944" s="5">
        <v>43880</v>
      </c>
      <c r="C944" t="s">
        <v>11</v>
      </c>
      <c r="D944">
        <v>305</v>
      </c>
      <c r="E944">
        <v>-1060</v>
      </c>
      <c r="F944" s="5">
        <v>43862</v>
      </c>
      <c r="G944">
        <v>-305</v>
      </c>
      <c r="H944" t="s">
        <v>58</v>
      </c>
    </row>
    <row r="945" spans="1:8" x14ac:dyDescent="0.3">
      <c r="A945">
        <v>87</v>
      </c>
      <c r="B945" s="5">
        <v>43880</v>
      </c>
      <c r="C945" t="s">
        <v>10</v>
      </c>
      <c r="D945">
        <v>376</v>
      </c>
      <c r="E945">
        <v>-684</v>
      </c>
      <c r="F945" s="5">
        <v>43862</v>
      </c>
      <c r="G945">
        <v>376</v>
      </c>
      <c r="H945" t="s">
        <v>58</v>
      </c>
    </row>
    <row r="946" spans="1:8" x14ac:dyDescent="0.3">
      <c r="A946">
        <v>87</v>
      </c>
      <c r="B946" s="5">
        <v>43887</v>
      </c>
      <c r="C946" t="s">
        <v>11</v>
      </c>
      <c r="D946">
        <v>682</v>
      </c>
      <c r="E946">
        <v>-1366</v>
      </c>
      <c r="F946" s="5">
        <v>43862</v>
      </c>
      <c r="G946">
        <v>-682</v>
      </c>
      <c r="H946" t="s">
        <v>58</v>
      </c>
    </row>
    <row r="947" spans="1:8" x14ac:dyDescent="0.3">
      <c r="A947">
        <v>87</v>
      </c>
      <c r="B947" s="5">
        <v>43895</v>
      </c>
      <c r="C947" t="s">
        <v>11</v>
      </c>
      <c r="D947">
        <v>197</v>
      </c>
      <c r="E947">
        <v>-1563</v>
      </c>
      <c r="F947" s="5">
        <v>43891</v>
      </c>
      <c r="G947">
        <v>-197</v>
      </c>
      <c r="H947" t="s">
        <v>58</v>
      </c>
    </row>
    <row r="948" spans="1:8" x14ac:dyDescent="0.3">
      <c r="A948">
        <v>87</v>
      </c>
      <c r="B948" s="5">
        <v>43926</v>
      </c>
      <c r="C948" t="s">
        <v>10</v>
      </c>
      <c r="D948">
        <v>995</v>
      </c>
      <c r="E948">
        <v>-568</v>
      </c>
      <c r="F948" s="5">
        <v>43922</v>
      </c>
      <c r="G948">
        <v>995</v>
      </c>
      <c r="H948" t="s">
        <v>58</v>
      </c>
    </row>
    <row r="949" spans="1:8" x14ac:dyDescent="0.3">
      <c r="A949">
        <v>87</v>
      </c>
      <c r="B949" s="5">
        <v>43931</v>
      </c>
      <c r="C949" t="s">
        <v>12</v>
      </c>
      <c r="D949">
        <v>627</v>
      </c>
      <c r="E949">
        <v>-1195</v>
      </c>
      <c r="F949" s="5">
        <v>43922</v>
      </c>
      <c r="G949">
        <v>-627</v>
      </c>
      <c r="H949" t="s">
        <v>58</v>
      </c>
    </row>
    <row r="950" spans="1:8" x14ac:dyDescent="0.3">
      <c r="A950">
        <v>88</v>
      </c>
      <c r="B950" s="5">
        <v>43842</v>
      </c>
      <c r="C950" t="s">
        <v>10</v>
      </c>
      <c r="D950">
        <v>672</v>
      </c>
      <c r="E950">
        <v>672</v>
      </c>
      <c r="F950" s="5">
        <v>43831</v>
      </c>
      <c r="G950">
        <v>672</v>
      </c>
      <c r="H950" t="s">
        <v>57</v>
      </c>
    </row>
    <row r="951" spans="1:8" x14ac:dyDescent="0.3">
      <c r="A951">
        <v>88</v>
      </c>
      <c r="B951" s="5">
        <v>43850</v>
      </c>
      <c r="C951" t="s">
        <v>10</v>
      </c>
      <c r="D951">
        <v>236</v>
      </c>
      <c r="E951">
        <v>908</v>
      </c>
      <c r="F951" s="5">
        <v>43831</v>
      </c>
      <c r="G951">
        <v>236</v>
      </c>
      <c r="H951" t="s">
        <v>57</v>
      </c>
    </row>
    <row r="952" spans="1:8" x14ac:dyDescent="0.3">
      <c r="A952">
        <v>88</v>
      </c>
      <c r="B952" s="5">
        <v>43858</v>
      </c>
      <c r="C952" t="s">
        <v>11</v>
      </c>
      <c r="D952">
        <v>943</v>
      </c>
      <c r="E952">
        <v>-35</v>
      </c>
      <c r="F952" s="5">
        <v>43831</v>
      </c>
      <c r="G952">
        <v>-943</v>
      </c>
      <c r="H952" t="s">
        <v>58</v>
      </c>
    </row>
    <row r="953" spans="1:8" x14ac:dyDescent="0.3">
      <c r="A953">
        <v>88</v>
      </c>
      <c r="B953" s="5">
        <v>43865</v>
      </c>
      <c r="C953" t="s">
        <v>11</v>
      </c>
      <c r="D953">
        <v>48</v>
      </c>
      <c r="E953">
        <v>-83</v>
      </c>
      <c r="F953" s="5">
        <v>43862</v>
      </c>
      <c r="G953">
        <v>-48</v>
      </c>
      <c r="H953" t="s">
        <v>58</v>
      </c>
    </row>
    <row r="954" spans="1:8" x14ac:dyDescent="0.3">
      <c r="A954">
        <v>88</v>
      </c>
      <c r="B954" s="5">
        <v>43865</v>
      </c>
      <c r="C954" t="s">
        <v>10</v>
      </c>
      <c r="D954">
        <v>188</v>
      </c>
      <c r="E954">
        <v>105</v>
      </c>
      <c r="F954" s="5">
        <v>43862</v>
      </c>
      <c r="G954">
        <v>188</v>
      </c>
      <c r="H954" t="s">
        <v>57</v>
      </c>
    </row>
    <row r="955" spans="1:8" x14ac:dyDescent="0.3">
      <c r="A955">
        <v>88</v>
      </c>
      <c r="B955" s="5">
        <v>43878</v>
      </c>
      <c r="C955" t="s">
        <v>10</v>
      </c>
      <c r="D955">
        <v>732</v>
      </c>
      <c r="E955">
        <v>837</v>
      </c>
      <c r="F955" s="5">
        <v>43862</v>
      </c>
      <c r="G955">
        <v>732</v>
      </c>
      <c r="H955" t="s">
        <v>57</v>
      </c>
    </row>
    <row r="956" spans="1:8" x14ac:dyDescent="0.3">
      <c r="A956">
        <v>88</v>
      </c>
      <c r="B956" s="5">
        <v>43887</v>
      </c>
      <c r="C956" t="s">
        <v>12</v>
      </c>
      <c r="D956">
        <v>85</v>
      </c>
      <c r="E956">
        <v>752</v>
      </c>
      <c r="F956" s="5">
        <v>43862</v>
      </c>
      <c r="G956">
        <v>-85</v>
      </c>
      <c r="H956" t="s">
        <v>57</v>
      </c>
    </row>
    <row r="957" spans="1:8" x14ac:dyDescent="0.3">
      <c r="A957">
        <v>88</v>
      </c>
      <c r="B957" s="5">
        <v>43900</v>
      </c>
      <c r="C957" t="s">
        <v>11</v>
      </c>
      <c r="D957">
        <v>908</v>
      </c>
      <c r="E957">
        <v>-156</v>
      </c>
      <c r="F957" s="5">
        <v>43891</v>
      </c>
      <c r="G957">
        <v>-908</v>
      </c>
      <c r="H957" t="s">
        <v>58</v>
      </c>
    </row>
    <row r="958" spans="1:8" x14ac:dyDescent="0.3">
      <c r="A958">
        <v>88</v>
      </c>
      <c r="B958" s="5">
        <v>43917</v>
      </c>
      <c r="C958" t="s">
        <v>11</v>
      </c>
      <c r="D958">
        <v>580</v>
      </c>
      <c r="E958">
        <v>-736</v>
      </c>
      <c r="F958" s="5">
        <v>43891</v>
      </c>
      <c r="G958">
        <v>-580</v>
      </c>
      <c r="H958" t="s">
        <v>58</v>
      </c>
    </row>
    <row r="959" spans="1:8" x14ac:dyDescent="0.3">
      <c r="A959">
        <v>88</v>
      </c>
      <c r="B959" s="5">
        <v>43929</v>
      </c>
      <c r="C959" t="s">
        <v>12</v>
      </c>
      <c r="D959">
        <v>84</v>
      </c>
      <c r="E959">
        <v>-820</v>
      </c>
      <c r="F959" s="5">
        <v>43922</v>
      </c>
      <c r="G959">
        <v>-84</v>
      </c>
      <c r="H959" t="s">
        <v>58</v>
      </c>
    </row>
    <row r="960" spans="1:8" x14ac:dyDescent="0.3">
      <c r="A960">
        <v>89</v>
      </c>
      <c r="B960" s="5">
        <v>43855</v>
      </c>
      <c r="C960" t="s">
        <v>10</v>
      </c>
      <c r="D960">
        <v>210</v>
      </c>
      <c r="E960">
        <v>210</v>
      </c>
      <c r="F960" s="5">
        <v>43831</v>
      </c>
      <c r="G960">
        <v>210</v>
      </c>
      <c r="H960" t="s">
        <v>57</v>
      </c>
    </row>
    <row r="961" spans="1:8" x14ac:dyDescent="0.3">
      <c r="A961">
        <v>89</v>
      </c>
      <c r="B961" s="5">
        <v>43868</v>
      </c>
      <c r="C961" t="s">
        <v>12</v>
      </c>
      <c r="D961">
        <v>86</v>
      </c>
      <c r="E961">
        <v>124</v>
      </c>
      <c r="F961" s="5">
        <v>43862</v>
      </c>
      <c r="G961">
        <v>-86</v>
      </c>
      <c r="H961" t="s">
        <v>57</v>
      </c>
    </row>
    <row r="962" spans="1:8" x14ac:dyDescent="0.3">
      <c r="A962">
        <v>89</v>
      </c>
      <c r="B962" s="5">
        <v>43875</v>
      </c>
      <c r="C962" t="s">
        <v>11</v>
      </c>
      <c r="D962">
        <v>537</v>
      </c>
      <c r="E962">
        <v>-413</v>
      </c>
      <c r="F962" s="5">
        <v>43862</v>
      </c>
      <c r="G962">
        <v>-537</v>
      </c>
      <c r="H962" t="s">
        <v>58</v>
      </c>
    </row>
    <row r="963" spans="1:8" x14ac:dyDescent="0.3">
      <c r="A963">
        <v>89</v>
      </c>
      <c r="B963" s="5">
        <v>43878</v>
      </c>
      <c r="C963" t="s">
        <v>11</v>
      </c>
      <c r="D963">
        <v>478</v>
      </c>
      <c r="E963">
        <v>-891</v>
      </c>
      <c r="F963" s="5">
        <v>43862</v>
      </c>
      <c r="G963">
        <v>-478</v>
      </c>
      <c r="H963" t="s">
        <v>58</v>
      </c>
    </row>
    <row r="964" spans="1:8" x14ac:dyDescent="0.3">
      <c r="A964">
        <v>89</v>
      </c>
      <c r="B964" s="5">
        <v>43886</v>
      </c>
      <c r="C964" t="s">
        <v>12</v>
      </c>
      <c r="D964">
        <v>788</v>
      </c>
      <c r="E964">
        <v>-1679</v>
      </c>
      <c r="F964" s="5">
        <v>43862</v>
      </c>
      <c r="G964">
        <v>-788</v>
      </c>
      <c r="H964" t="s">
        <v>58</v>
      </c>
    </row>
    <row r="965" spans="1:8" x14ac:dyDescent="0.3">
      <c r="A965">
        <v>89</v>
      </c>
      <c r="B965" s="5">
        <v>43891</v>
      </c>
      <c r="C965" t="s">
        <v>10</v>
      </c>
      <c r="D965">
        <v>922</v>
      </c>
      <c r="E965">
        <v>-757</v>
      </c>
      <c r="F965" s="5">
        <v>43891</v>
      </c>
      <c r="G965">
        <v>922</v>
      </c>
      <c r="H965" t="s">
        <v>58</v>
      </c>
    </row>
    <row r="966" spans="1:8" x14ac:dyDescent="0.3">
      <c r="A966">
        <v>89</v>
      </c>
      <c r="B966" s="5">
        <v>43898</v>
      </c>
      <c r="C966" t="s">
        <v>11</v>
      </c>
      <c r="D966">
        <v>246</v>
      </c>
      <c r="E966">
        <v>-1003</v>
      </c>
      <c r="F966" s="5">
        <v>43891</v>
      </c>
      <c r="G966">
        <v>-246</v>
      </c>
      <c r="H966" t="s">
        <v>58</v>
      </c>
    </row>
    <row r="967" spans="1:8" x14ac:dyDescent="0.3">
      <c r="A967">
        <v>89</v>
      </c>
      <c r="B967" s="5">
        <v>43909</v>
      </c>
      <c r="C967" t="s">
        <v>12</v>
      </c>
      <c r="D967">
        <v>757</v>
      </c>
      <c r="E967">
        <v>-1760</v>
      </c>
      <c r="F967" s="5">
        <v>43891</v>
      </c>
      <c r="G967">
        <v>-757</v>
      </c>
      <c r="H967" t="s">
        <v>58</v>
      </c>
    </row>
    <row r="968" spans="1:8" x14ac:dyDescent="0.3">
      <c r="A968">
        <v>89</v>
      </c>
      <c r="B968" s="5">
        <v>43912</v>
      </c>
      <c r="C968" t="s">
        <v>12</v>
      </c>
      <c r="D968">
        <v>418</v>
      </c>
      <c r="E968">
        <v>-2178</v>
      </c>
      <c r="F968" s="5">
        <v>43891</v>
      </c>
      <c r="G968">
        <v>-418</v>
      </c>
      <c r="H968" t="s">
        <v>58</v>
      </c>
    </row>
    <row r="969" spans="1:8" x14ac:dyDescent="0.3">
      <c r="A969">
        <v>89</v>
      </c>
      <c r="B969" s="5">
        <v>43913</v>
      </c>
      <c r="C969" t="s">
        <v>12</v>
      </c>
      <c r="D969">
        <v>475</v>
      </c>
      <c r="E969">
        <v>-2653</v>
      </c>
      <c r="F969" s="5">
        <v>43891</v>
      </c>
      <c r="G969">
        <v>-475</v>
      </c>
      <c r="H969" t="s">
        <v>58</v>
      </c>
    </row>
    <row r="970" spans="1:8" x14ac:dyDescent="0.3">
      <c r="A970">
        <v>89</v>
      </c>
      <c r="B970" s="5">
        <v>43922</v>
      </c>
      <c r="C970" t="s">
        <v>10</v>
      </c>
      <c r="D970">
        <v>415</v>
      </c>
      <c r="E970">
        <v>-2238</v>
      </c>
      <c r="F970" s="5">
        <v>43922</v>
      </c>
      <c r="G970">
        <v>415</v>
      </c>
      <c r="H970" t="s">
        <v>58</v>
      </c>
    </row>
    <row r="971" spans="1:8" x14ac:dyDescent="0.3">
      <c r="A971">
        <v>89</v>
      </c>
      <c r="B971" s="5">
        <v>43927</v>
      </c>
      <c r="C971" t="s">
        <v>10</v>
      </c>
      <c r="D971">
        <v>737</v>
      </c>
      <c r="E971">
        <v>-1501</v>
      </c>
      <c r="F971" s="5">
        <v>43922</v>
      </c>
      <c r="G971">
        <v>737</v>
      </c>
      <c r="H971" t="s">
        <v>58</v>
      </c>
    </row>
    <row r="972" spans="1:8" x14ac:dyDescent="0.3">
      <c r="A972">
        <v>89</v>
      </c>
      <c r="B972" s="5">
        <v>43929</v>
      </c>
      <c r="C972" t="s">
        <v>10</v>
      </c>
      <c r="D972">
        <v>249</v>
      </c>
      <c r="E972">
        <v>-1252</v>
      </c>
      <c r="F972" s="5">
        <v>43922</v>
      </c>
      <c r="G972">
        <v>249</v>
      </c>
      <c r="H972" t="s">
        <v>58</v>
      </c>
    </row>
    <row r="973" spans="1:8" x14ac:dyDescent="0.3">
      <c r="A973">
        <v>89</v>
      </c>
      <c r="B973" s="5">
        <v>43937</v>
      </c>
      <c r="C973" t="s">
        <v>11</v>
      </c>
      <c r="D973">
        <v>864</v>
      </c>
      <c r="E973">
        <v>-2116</v>
      </c>
      <c r="F973" s="5">
        <v>43922</v>
      </c>
      <c r="G973">
        <v>-864</v>
      </c>
      <c r="H973" t="s">
        <v>58</v>
      </c>
    </row>
    <row r="974" spans="1:8" x14ac:dyDescent="0.3">
      <c r="A974">
        <v>89</v>
      </c>
      <c r="B974" s="5">
        <v>43941</v>
      </c>
      <c r="C974" t="s">
        <v>11</v>
      </c>
      <c r="D974">
        <v>671</v>
      </c>
      <c r="E974">
        <v>-2787</v>
      </c>
      <c r="F974" s="5">
        <v>43922</v>
      </c>
      <c r="G974">
        <v>-671</v>
      </c>
      <c r="H974" t="s">
        <v>58</v>
      </c>
    </row>
    <row r="975" spans="1:8" x14ac:dyDescent="0.3">
      <c r="A975">
        <v>89</v>
      </c>
      <c r="B975" s="5">
        <v>43941</v>
      </c>
      <c r="C975" t="s">
        <v>12</v>
      </c>
      <c r="D975">
        <v>360</v>
      </c>
      <c r="E975">
        <v>-3147</v>
      </c>
      <c r="F975" s="5">
        <v>43922</v>
      </c>
      <c r="G975">
        <v>-360</v>
      </c>
      <c r="H975" t="s">
        <v>58</v>
      </c>
    </row>
    <row r="976" spans="1:8" x14ac:dyDescent="0.3">
      <c r="A976">
        <v>90</v>
      </c>
      <c r="B976" s="5">
        <v>43849</v>
      </c>
      <c r="C976" t="s">
        <v>10</v>
      </c>
      <c r="D976">
        <v>890</v>
      </c>
      <c r="E976">
        <v>890</v>
      </c>
      <c r="F976" s="5">
        <v>43831</v>
      </c>
      <c r="G976">
        <v>890</v>
      </c>
      <c r="H976" t="s">
        <v>57</v>
      </c>
    </row>
    <row r="977" spans="1:8" x14ac:dyDescent="0.3">
      <c r="A977">
        <v>90</v>
      </c>
      <c r="B977" s="5">
        <v>43852</v>
      </c>
      <c r="C977" t="s">
        <v>10</v>
      </c>
      <c r="D977">
        <v>472</v>
      </c>
      <c r="E977">
        <v>1362</v>
      </c>
      <c r="F977" s="5">
        <v>43831</v>
      </c>
      <c r="G977">
        <v>472</v>
      </c>
      <c r="H977" t="s">
        <v>57</v>
      </c>
    </row>
    <row r="978" spans="1:8" x14ac:dyDescent="0.3">
      <c r="A978">
        <v>90</v>
      </c>
      <c r="B978" s="5">
        <v>43852</v>
      </c>
      <c r="C978" t="s">
        <v>11</v>
      </c>
      <c r="D978">
        <v>25</v>
      </c>
      <c r="E978">
        <v>1337</v>
      </c>
      <c r="F978" s="5">
        <v>43831</v>
      </c>
      <c r="G978">
        <v>-25</v>
      </c>
      <c r="H978" t="s">
        <v>57</v>
      </c>
    </row>
    <row r="979" spans="1:8" x14ac:dyDescent="0.3">
      <c r="A979">
        <v>90</v>
      </c>
      <c r="B979" s="5">
        <v>43859</v>
      </c>
      <c r="C979" t="s">
        <v>12</v>
      </c>
      <c r="D979">
        <v>434</v>
      </c>
      <c r="E979">
        <v>903</v>
      </c>
      <c r="F979" s="5">
        <v>43831</v>
      </c>
      <c r="G979">
        <v>-434</v>
      </c>
      <c r="H979" t="s">
        <v>57</v>
      </c>
    </row>
    <row r="980" spans="1:8" x14ac:dyDescent="0.3">
      <c r="A980">
        <v>90</v>
      </c>
      <c r="B980" s="5">
        <v>43861</v>
      </c>
      <c r="C980" t="s">
        <v>10</v>
      </c>
      <c r="D980">
        <v>869</v>
      </c>
      <c r="E980">
        <v>1772</v>
      </c>
      <c r="F980" s="5">
        <v>43831</v>
      </c>
      <c r="G980">
        <v>869</v>
      </c>
      <c r="H980" t="s">
        <v>57</v>
      </c>
    </row>
    <row r="981" spans="1:8" x14ac:dyDescent="0.3">
      <c r="A981">
        <v>90</v>
      </c>
      <c r="B981" s="5">
        <v>43864</v>
      </c>
      <c r="C981" t="s">
        <v>10</v>
      </c>
      <c r="D981">
        <v>290</v>
      </c>
      <c r="E981">
        <v>2062</v>
      </c>
      <c r="F981" s="5">
        <v>43862</v>
      </c>
      <c r="G981">
        <v>290</v>
      </c>
      <c r="H981" t="s">
        <v>57</v>
      </c>
    </row>
    <row r="982" spans="1:8" x14ac:dyDescent="0.3">
      <c r="A982">
        <v>90</v>
      </c>
      <c r="B982" s="5">
        <v>43865</v>
      </c>
      <c r="C982" t="s">
        <v>12</v>
      </c>
      <c r="D982">
        <v>111</v>
      </c>
      <c r="E982">
        <v>1951</v>
      </c>
      <c r="F982" s="5">
        <v>43862</v>
      </c>
      <c r="G982">
        <v>-111</v>
      </c>
      <c r="H982" t="s">
        <v>57</v>
      </c>
    </row>
    <row r="983" spans="1:8" x14ac:dyDescent="0.3">
      <c r="A983">
        <v>90</v>
      </c>
      <c r="B983" s="5">
        <v>43870</v>
      </c>
      <c r="C983" t="s">
        <v>12</v>
      </c>
      <c r="D983">
        <v>830</v>
      </c>
      <c r="E983">
        <v>1121</v>
      </c>
      <c r="F983" s="5">
        <v>43862</v>
      </c>
      <c r="G983">
        <v>-830</v>
      </c>
      <c r="H983" t="s">
        <v>57</v>
      </c>
    </row>
    <row r="984" spans="1:8" x14ac:dyDescent="0.3">
      <c r="A984">
        <v>90</v>
      </c>
      <c r="B984" s="5">
        <v>43871</v>
      </c>
      <c r="C984" t="s">
        <v>10</v>
      </c>
      <c r="D984">
        <v>365</v>
      </c>
      <c r="E984">
        <v>1486</v>
      </c>
      <c r="F984" s="5">
        <v>43862</v>
      </c>
      <c r="G984">
        <v>365</v>
      </c>
      <c r="H984" t="s">
        <v>57</v>
      </c>
    </row>
    <row r="985" spans="1:8" x14ac:dyDescent="0.3">
      <c r="A985">
        <v>90</v>
      </c>
      <c r="B985" s="5">
        <v>43873</v>
      </c>
      <c r="C985" t="s">
        <v>11</v>
      </c>
      <c r="D985">
        <v>393</v>
      </c>
      <c r="E985">
        <v>1093</v>
      </c>
      <c r="F985" s="5">
        <v>43862</v>
      </c>
      <c r="G985">
        <v>-393</v>
      </c>
      <c r="H985" t="s">
        <v>57</v>
      </c>
    </row>
    <row r="986" spans="1:8" x14ac:dyDescent="0.3">
      <c r="A986">
        <v>90</v>
      </c>
      <c r="B986" s="5">
        <v>43877</v>
      </c>
      <c r="C986" t="s">
        <v>12</v>
      </c>
      <c r="D986">
        <v>978</v>
      </c>
      <c r="E986">
        <v>115</v>
      </c>
      <c r="F986" s="5">
        <v>43862</v>
      </c>
      <c r="G986">
        <v>-978</v>
      </c>
      <c r="H986" t="s">
        <v>57</v>
      </c>
    </row>
    <row r="987" spans="1:8" x14ac:dyDescent="0.3">
      <c r="A987">
        <v>90</v>
      </c>
      <c r="B987" s="5">
        <v>43884</v>
      </c>
      <c r="C987" t="s">
        <v>11</v>
      </c>
      <c r="D987">
        <v>534</v>
      </c>
      <c r="E987">
        <v>-419</v>
      </c>
      <c r="F987" s="5">
        <v>43862</v>
      </c>
      <c r="G987">
        <v>-534</v>
      </c>
      <c r="H987" t="s">
        <v>58</v>
      </c>
    </row>
    <row r="988" spans="1:8" x14ac:dyDescent="0.3">
      <c r="A988">
        <v>90</v>
      </c>
      <c r="B988" s="5">
        <v>43886</v>
      </c>
      <c r="C988" t="s">
        <v>12</v>
      </c>
      <c r="D988">
        <v>217</v>
      </c>
      <c r="E988">
        <v>-636</v>
      </c>
      <c r="F988" s="5">
        <v>43862</v>
      </c>
      <c r="G988">
        <v>-217</v>
      </c>
      <c r="H988" t="s">
        <v>58</v>
      </c>
    </row>
    <row r="989" spans="1:8" x14ac:dyDescent="0.3">
      <c r="A989">
        <v>90</v>
      </c>
      <c r="B989" s="5">
        <v>43887</v>
      </c>
      <c r="C989" t="s">
        <v>11</v>
      </c>
      <c r="D989">
        <v>731</v>
      </c>
      <c r="E989">
        <v>-1367</v>
      </c>
      <c r="F989" s="5">
        <v>43862</v>
      </c>
      <c r="G989">
        <v>-731</v>
      </c>
      <c r="H989" t="s">
        <v>58</v>
      </c>
    </row>
    <row r="990" spans="1:8" x14ac:dyDescent="0.3">
      <c r="A990">
        <v>90</v>
      </c>
      <c r="B990" s="5">
        <v>43890</v>
      </c>
      <c r="C990" t="s">
        <v>10</v>
      </c>
      <c r="D990">
        <v>132</v>
      </c>
      <c r="E990">
        <v>-1235</v>
      </c>
      <c r="F990" s="5">
        <v>43862</v>
      </c>
      <c r="G990">
        <v>132</v>
      </c>
      <c r="H990" t="s">
        <v>58</v>
      </c>
    </row>
    <row r="991" spans="1:8" x14ac:dyDescent="0.3">
      <c r="A991">
        <v>90</v>
      </c>
      <c r="B991" s="5">
        <v>43897</v>
      </c>
      <c r="C991" t="s">
        <v>10</v>
      </c>
      <c r="D991">
        <v>22</v>
      </c>
      <c r="E991">
        <v>-1213</v>
      </c>
      <c r="F991" s="5">
        <v>43891</v>
      </c>
      <c r="G991">
        <v>22</v>
      </c>
      <c r="H991" t="s">
        <v>58</v>
      </c>
    </row>
    <row r="992" spans="1:8" x14ac:dyDescent="0.3">
      <c r="A992">
        <v>90</v>
      </c>
      <c r="B992" s="5">
        <v>43899</v>
      </c>
      <c r="C992" t="s">
        <v>10</v>
      </c>
      <c r="D992">
        <v>279</v>
      </c>
      <c r="E992">
        <v>-934</v>
      </c>
      <c r="F992" s="5">
        <v>43891</v>
      </c>
      <c r="G992">
        <v>279</v>
      </c>
      <c r="H992" t="s">
        <v>58</v>
      </c>
    </row>
    <row r="993" spans="1:8" x14ac:dyDescent="0.3">
      <c r="A993">
        <v>90</v>
      </c>
      <c r="B993" s="5">
        <v>43918</v>
      </c>
      <c r="C993" t="s">
        <v>10</v>
      </c>
      <c r="D993">
        <v>124</v>
      </c>
      <c r="E993">
        <v>-810</v>
      </c>
      <c r="F993" s="5">
        <v>43891</v>
      </c>
      <c r="G993">
        <v>124</v>
      </c>
      <c r="H993" t="s">
        <v>58</v>
      </c>
    </row>
    <row r="994" spans="1:8" x14ac:dyDescent="0.3">
      <c r="A994">
        <v>90</v>
      </c>
      <c r="B994" s="5">
        <v>43920</v>
      </c>
      <c r="C994" t="s">
        <v>12</v>
      </c>
      <c r="D994">
        <v>814</v>
      </c>
      <c r="E994">
        <v>-1624</v>
      </c>
      <c r="F994" s="5">
        <v>43891</v>
      </c>
      <c r="G994">
        <v>-814</v>
      </c>
      <c r="H994" t="s">
        <v>58</v>
      </c>
    </row>
    <row r="995" spans="1:8" x14ac:dyDescent="0.3">
      <c r="A995">
        <v>90</v>
      </c>
      <c r="B995" s="5">
        <v>43934</v>
      </c>
      <c r="C995" t="s">
        <v>12</v>
      </c>
      <c r="D995">
        <v>222</v>
      </c>
      <c r="E995">
        <v>-1846</v>
      </c>
      <c r="F995" s="5">
        <v>43922</v>
      </c>
      <c r="G995">
        <v>-222</v>
      </c>
      <c r="H995" t="s">
        <v>58</v>
      </c>
    </row>
    <row r="996" spans="1:8" x14ac:dyDescent="0.3">
      <c r="A996">
        <v>91</v>
      </c>
      <c r="B996" s="5">
        <v>43841</v>
      </c>
      <c r="C996" t="s">
        <v>10</v>
      </c>
      <c r="D996">
        <v>856</v>
      </c>
      <c r="E996">
        <v>856</v>
      </c>
      <c r="F996" s="5">
        <v>43831</v>
      </c>
      <c r="G996">
        <v>856</v>
      </c>
      <c r="H996" t="s">
        <v>57</v>
      </c>
    </row>
    <row r="997" spans="1:8" x14ac:dyDescent="0.3">
      <c r="A997">
        <v>91</v>
      </c>
      <c r="B997" s="5">
        <v>43851</v>
      </c>
      <c r="C997" t="s">
        <v>12</v>
      </c>
      <c r="D997">
        <v>218</v>
      </c>
      <c r="E997">
        <v>638</v>
      </c>
      <c r="F997" s="5">
        <v>43831</v>
      </c>
      <c r="G997">
        <v>-218</v>
      </c>
      <c r="H997" t="s">
        <v>57</v>
      </c>
    </row>
    <row r="998" spans="1:8" x14ac:dyDescent="0.3">
      <c r="A998">
        <v>91</v>
      </c>
      <c r="B998" s="5">
        <v>43851</v>
      </c>
      <c r="C998" t="s">
        <v>11</v>
      </c>
      <c r="D998">
        <v>883</v>
      </c>
      <c r="E998">
        <v>-245</v>
      </c>
      <c r="F998" s="5">
        <v>43831</v>
      </c>
      <c r="G998">
        <v>-883</v>
      </c>
      <c r="H998" t="s">
        <v>58</v>
      </c>
    </row>
    <row r="999" spans="1:8" x14ac:dyDescent="0.3">
      <c r="A999">
        <v>91</v>
      </c>
      <c r="B999" s="5">
        <v>43852</v>
      </c>
      <c r="C999" t="s">
        <v>12</v>
      </c>
      <c r="D999">
        <v>145</v>
      </c>
      <c r="E999">
        <v>-390</v>
      </c>
      <c r="F999" s="5">
        <v>43831</v>
      </c>
      <c r="G999">
        <v>-145</v>
      </c>
      <c r="H999" t="s">
        <v>58</v>
      </c>
    </row>
    <row r="1000" spans="1:8" x14ac:dyDescent="0.3">
      <c r="A1000">
        <v>91</v>
      </c>
      <c r="B1000" s="5">
        <v>43852</v>
      </c>
      <c r="C1000" t="s">
        <v>10</v>
      </c>
      <c r="D1000">
        <v>343</v>
      </c>
      <c r="E1000">
        <v>-47</v>
      </c>
      <c r="F1000" s="5">
        <v>43831</v>
      </c>
      <c r="G1000">
        <v>343</v>
      </c>
      <c r="H1000" t="s">
        <v>58</v>
      </c>
    </row>
    <row r="1001" spans="1:8" x14ac:dyDescent="0.3">
      <c r="A1001">
        <v>91</v>
      </c>
      <c r="B1001" s="5">
        <v>43869</v>
      </c>
      <c r="C1001" t="s">
        <v>11</v>
      </c>
      <c r="D1001">
        <v>533</v>
      </c>
      <c r="E1001">
        <v>-580</v>
      </c>
      <c r="F1001" s="5">
        <v>43862</v>
      </c>
      <c r="G1001">
        <v>-533</v>
      </c>
      <c r="H1001" t="s">
        <v>58</v>
      </c>
    </row>
    <row r="1002" spans="1:8" x14ac:dyDescent="0.3">
      <c r="A1002">
        <v>91</v>
      </c>
      <c r="B1002" s="5">
        <v>43871</v>
      </c>
      <c r="C1002" t="s">
        <v>12</v>
      </c>
      <c r="D1002">
        <v>238</v>
      </c>
      <c r="E1002">
        <v>-818</v>
      </c>
      <c r="F1002" s="5">
        <v>43862</v>
      </c>
      <c r="G1002">
        <v>-238</v>
      </c>
      <c r="H1002" t="s">
        <v>58</v>
      </c>
    </row>
    <row r="1003" spans="1:8" x14ac:dyDescent="0.3">
      <c r="A1003">
        <v>91</v>
      </c>
      <c r="B1003" s="5">
        <v>43871</v>
      </c>
      <c r="C1003" t="s">
        <v>12</v>
      </c>
      <c r="D1003">
        <v>476</v>
      </c>
      <c r="E1003">
        <v>-1294</v>
      </c>
      <c r="F1003" s="5">
        <v>43862</v>
      </c>
      <c r="G1003">
        <v>-476</v>
      </c>
      <c r="H1003" t="s">
        <v>58</v>
      </c>
    </row>
    <row r="1004" spans="1:8" x14ac:dyDescent="0.3">
      <c r="A1004">
        <v>91</v>
      </c>
      <c r="B1004" s="5">
        <v>43872</v>
      </c>
      <c r="C1004" t="s">
        <v>10</v>
      </c>
      <c r="D1004">
        <v>426</v>
      </c>
      <c r="E1004">
        <v>-868</v>
      </c>
      <c r="F1004" s="5">
        <v>43862</v>
      </c>
      <c r="G1004">
        <v>426</v>
      </c>
      <c r="H1004" t="s">
        <v>58</v>
      </c>
    </row>
    <row r="1005" spans="1:8" x14ac:dyDescent="0.3">
      <c r="A1005">
        <v>91</v>
      </c>
      <c r="B1005" s="5">
        <v>43873</v>
      </c>
      <c r="C1005" t="s">
        <v>10</v>
      </c>
      <c r="D1005">
        <v>796</v>
      </c>
      <c r="E1005">
        <v>-72</v>
      </c>
      <c r="F1005" s="5">
        <v>43862</v>
      </c>
      <c r="G1005">
        <v>796</v>
      </c>
      <c r="H1005" t="s">
        <v>58</v>
      </c>
    </row>
    <row r="1006" spans="1:8" x14ac:dyDescent="0.3">
      <c r="A1006">
        <v>91</v>
      </c>
      <c r="B1006" s="5">
        <v>43878</v>
      </c>
      <c r="C1006" t="s">
        <v>12</v>
      </c>
      <c r="D1006">
        <v>871</v>
      </c>
      <c r="E1006">
        <v>-943</v>
      </c>
      <c r="F1006" s="5">
        <v>43862</v>
      </c>
      <c r="G1006">
        <v>-871</v>
      </c>
      <c r="H1006" t="s">
        <v>58</v>
      </c>
    </row>
    <row r="1007" spans="1:8" x14ac:dyDescent="0.3">
      <c r="A1007">
        <v>91</v>
      </c>
      <c r="B1007" s="5">
        <v>43886</v>
      </c>
      <c r="C1007" t="s">
        <v>11</v>
      </c>
      <c r="D1007">
        <v>501</v>
      </c>
      <c r="E1007">
        <v>-1444</v>
      </c>
      <c r="F1007" s="5">
        <v>43862</v>
      </c>
      <c r="G1007">
        <v>-501</v>
      </c>
      <c r="H1007" t="s">
        <v>58</v>
      </c>
    </row>
    <row r="1008" spans="1:8" x14ac:dyDescent="0.3">
      <c r="A1008">
        <v>91</v>
      </c>
      <c r="B1008" s="5">
        <v>43886</v>
      </c>
      <c r="C1008" t="s">
        <v>10</v>
      </c>
      <c r="D1008">
        <v>485</v>
      </c>
      <c r="E1008">
        <v>-959</v>
      </c>
      <c r="F1008" s="5">
        <v>43862</v>
      </c>
      <c r="G1008">
        <v>485</v>
      </c>
      <c r="H1008" t="s">
        <v>58</v>
      </c>
    </row>
    <row r="1009" spans="1:8" x14ac:dyDescent="0.3">
      <c r="A1009">
        <v>91</v>
      </c>
      <c r="B1009" s="5">
        <v>43891</v>
      </c>
      <c r="C1009" t="s">
        <v>11</v>
      </c>
      <c r="D1009">
        <v>979</v>
      </c>
      <c r="E1009">
        <v>-1938</v>
      </c>
      <c r="F1009" s="5">
        <v>43891</v>
      </c>
      <c r="G1009">
        <v>-979</v>
      </c>
      <c r="H1009" t="s">
        <v>58</v>
      </c>
    </row>
    <row r="1010" spans="1:8" x14ac:dyDescent="0.3">
      <c r="A1010">
        <v>91</v>
      </c>
      <c r="B1010" s="5">
        <v>43904</v>
      </c>
      <c r="C1010" t="s">
        <v>11</v>
      </c>
      <c r="D1010">
        <v>322</v>
      </c>
      <c r="E1010">
        <v>-2260</v>
      </c>
      <c r="F1010" s="5">
        <v>43891</v>
      </c>
      <c r="G1010">
        <v>-322</v>
      </c>
      <c r="H1010" t="s">
        <v>58</v>
      </c>
    </row>
    <row r="1011" spans="1:8" x14ac:dyDescent="0.3">
      <c r="A1011">
        <v>91</v>
      </c>
      <c r="B1011" s="5">
        <v>43907</v>
      </c>
      <c r="C1011" t="s">
        <v>10</v>
      </c>
      <c r="D1011">
        <v>23</v>
      </c>
      <c r="E1011">
        <v>-2237</v>
      </c>
      <c r="F1011" s="5">
        <v>43891</v>
      </c>
      <c r="G1011">
        <v>23</v>
      </c>
      <c r="H1011" t="s">
        <v>58</v>
      </c>
    </row>
    <row r="1012" spans="1:8" x14ac:dyDescent="0.3">
      <c r="A1012">
        <v>91</v>
      </c>
      <c r="B1012" s="5">
        <v>43920</v>
      </c>
      <c r="C1012" t="s">
        <v>10</v>
      </c>
      <c r="D1012">
        <v>486</v>
      </c>
      <c r="E1012">
        <v>-1751</v>
      </c>
      <c r="F1012" s="5">
        <v>43891</v>
      </c>
      <c r="G1012">
        <v>486</v>
      </c>
      <c r="H1012" t="s">
        <v>58</v>
      </c>
    </row>
    <row r="1013" spans="1:8" x14ac:dyDescent="0.3">
      <c r="A1013">
        <v>91</v>
      </c>
      <c r="B1013" s="5">
        <v>43921</v>
      </c>
      <c r="C1013" t="s">
        <v>12</v>
      </c>
      <c r="D1013">
        <v>909</v>
      </c>
      <c r="E1013">
        <v>-2660</v>
      </c>
      <c r="F1013" s="5">
        <v>43891</v>
      </c>
      <c r="G1013">
        <v>-909</v>
      </c>
      <c r="H1013" t="s">
        <v>58</v>
      </c>
    </row>
    <row r="1014" spans="1:8" x14ac:dyDescent="0.3">
      <c r="A1014">
        <v>91</v>
      </c>
      <c r="B1014" s="5">
        <v>43928</v>
      </c>
      <c r="C1014" t="s">
        <v>10</v>
      </c>
      <c r="D1014">
        <v>165</v>
      </c>
      <c r="E1014">
        <v>-2495</v>
      </c>
      <c r="F1014" s="5">
        <v>43922</v>
      </c>
      <c r="G1014">
        <v>165</v>
      </c>
      <c r="H1014" t="s">
        <v>58</v>
      </c>
    </row>
    <row r="1015" spans="1:8" x14ac:dyDescent="0.3">
      <c r="A1015">
        <v>92</v>
      </c>
      <c r="B1015" s="5">
        <v>43835</v>
      </c>
      <c r="C1015" t="s">
        <v>10</v>
      </c>
      <c r="D1015">
        <v>985</v>
      </c>
      <c r="E1015">
        <v>985</v>
      </c>
      <c r="F1015" s="5">
        <v>43831</v>
      </c>
      <c r="G1015">
        <v>985</v>
      </c>
      <c r="H1015" t="s">
        <v>57</v>
      </c>
    </row>
    <row r="1016" spans="1:8" x14ac:dyDescent="0.3">
      <c r="A1016">
        <v>92</v>
      </c>
      <c r="B1016" s="5">
        <v>43909</v>
      </c>
      <c r="C1016" t="s">
        <v>11</v>
      </c>
      <c r="D1016">
        <v>50</v>
      </c>
      <c r="E1016">
        <v>935</v>
      </c>
      <c r="F1016" s="5">
        <v>43891</v>
      </c>
      <c r="G1016">
        <v>-50</v>
      </c>
      <c r="H1016" t="s">
        <v>57</v>
      </c>
    </row>
    <row r="1017" spans="1:8" x14ac:dyDescent="0.3">
      <c r="A1017">
        <v>92</v>
      </c>
      <c r="B1017" s="5">
        <v>43912</v>
      </c>
      <c r="C1017" t="s">
        <v>11</v>
      </c>
      <c r="D1017">
        <v>793</v>
      </c>
      <c r="E1017">
        <v>142</v>
      </c>
      <c r="F1017" s="5">
        <v>43891</v>
      </c>
      <c r="G1017">
        <v>-793</v>
      </c>
      <c r="H1017" t="s">
        <v>57</v>
      </c>
    </row>
    <row r="1018" spans="1:8" x14ac:dyDescent="0.3">
      <c r="A1018">
        <v>93</v>
      </c>
      <c r="B1018" s="5">
        <v>43841</v>
      </c>
      <c r="C1018" t="s">
        <v>10</v>
      </c>
      <c r="D1018">
        <v>557</v>
      </c>
      <c r="E1018">
        <v>557</v>
      </c>
      <c r="F1018" s="5">
        <v>43831</v>
      </c>
      <c r="G1018">
        <v>557</v>
      </c>
      <c r="H1018" t="s">
        <v>57</v>
      </c>
    </row>
    <row r="1019" spans="1:8" x14ac:dyDescent="0.3">
      <c r="A1019">
        <v>93</v>
      </c>
      <c r="B1019" s="5">
        <v>43848</v>
      </c>
      <c r="C1019" t="s">
        <v>10</v>
      </c>
      <c r="D1019">
        <v>435</v>
      </c>
      <c r="E1019">
        <v>992</v>
      </c>
      <c r="F1019" s="5">
        <v>43831</v>
      </c>
      <c r="G1019">
        <v>435</v>
      </c>
      <c r="H1019" t="s">
        <v>57</v>
      </c>
    </row>
    <row r="1020" spans="1:8" x14ac:dyDescent="0.3">
      <c r="A1020">
        <v>93</v>
      </c>
      <c r="B1020" s="5">
        <v>43850</v>
      </c>
      <c r="C1020" t="s">
        <v>12</v>
      </c>
      <c r="D1020">
        <v>593</v>
      </c>
      <c r="E1020">
        <v>399</v>
      </c>
      <c r="F1020" s="5">
        <v>43831</v>
      </c>
      <c r="G1020">
        <v>-593</v>
      </c>
      <c r="H1020" t="s">
        <v>57</v>
      </c>
    </row>
    <row r="1021" spans="1:8" x14ac:dyDescent="0.3">
      <c r="A1021">
        <v>93</v>
      </c>
      <c r="B1021" s="5">
        <v>43862</v>
      </c>
      <c r="C1021" t="s">
        <v>12</v>
      </c>
      <c r="D1021">
        <v>717</v>
      </c>
      <c r="E1021">
        <v>-318</v>
      </c>
      <c r="F1021" s="5">
        <v>43862</v>
      </c>
      <c r="G1021">
        <v>-717</v>
      </c>
      <c r="H1021" t="s">
        <v>58</v>
      </c>
    </row>
    <row r="1022" spans="1:8" x14ac:dyDescent="0.3">
      <c r="A1022">
        <v>93</v>
      </c>
      <c r="B1022" s="5">
        <v>43869</v>
      </c>
      <c r="C1022" t="s">
        <v>10</v>
      </c>
      <c r="D1022">
        <v>394</v>
      </c>
      <c r="E1022">
        <v>76</v>
      </c>
      <c r="F1022" s="5">
        <v>43862</v>
      </c>
      <c r="G1022">
        <v>394</v>
      </c>
      <c r="H1022" t="s">
        <v>57</v>
      </c>
    </row>
    <row r="1023" spans="1:8" x14ac:dyDescent="0.3">
      <c r="A1023">
        <v>93</v>
      </c>
      <c r="B1023" s="5">
        <v>43870</v>
      </c>
      <c r="C1023" t="s">
        <v>11</v>
      </c>
      <c r="D1023">
        <v>366</v>
      </c>
      <c r="E1023">
        <v>-290</v>
      </c>
      <c r="F1023" s="5">
        <v>43862</v>
      </c>
      <c r="G1023">
        <v>-366</v>
      </c>
      <c r="H1023" t="s">
        <v>58</v>
      </c>
    </row>
    <row r="1024" spans="1:8" x14ac:dyDescent="0.3">
      <c r="A1024">
        <v>93</v>
      </c>
      <c r="B1024" s="5">
        <v>43874</v>
      </c>
      <c r="C1024" t="s">
        <v>11</v>
      </c>
      <c r="D1024">
        <v>16</v>
      </c>
      <c r="E1024">
        <v>-306</v>
      </c>
      <c r="F1024" s="5">
        <v>43862</v>
      </c>
      <c r="G1024">
        <v>-16</v>
      </c>
      <c r="H1024" t="s">
        <v>58</v>
      </c>
    </row>
    <row r="1025" spans="1:8" x14ac:dyDescent="0.3">
      <c r="A1025">
        <v>93</v>
      </c>
      <c r="B1025" s="5">
        <v>43877</v>
      </c>
      <c r="C1025" t="s">
        <v>10</v>
      </c>
      <c r="D1025">
        <v>807</v>
      </c>
      <c r="E1025">
        <v>501</v>
      </c>
      <c r="F1025" s="5">
        <v>43862</v>
      </c>
      <c r="G1025">
        <v>807</v>
      </c>
      <c r="H1025" t="s">
        <v>57</v>
      </c>
    </row>
    <row r="1026" spans="1:8" x14ac:dyDescent="0.3">
      <c r="A1026">
        <v>93</v>
      </c>
      <c r="B1026" s="5">
        <v>43882</v>
      </c>
      <c r="C1026" t="s">
        <v>10</v>
      </c>
      <c r="D1026">
        <v>635</v>
      </c>
      <c r="E1026">
        <v>1136</v>
      </c>
      <c r="F1026" s="5">
        <v>43862</v>
      </c>
      <c r="G1026">
        <v>635</v>
      </c>
      <c r="H1026" t="s">
        <v>57</v>
      </c>
    </row>
    <row r="1027" spans="1:8" x14ac:dyDescent="0.3">
      <c r="A1027">
        <v>93</v>
      </c>
      <c r="B1027" s="5">
        <v>43884</v>
      </c>
      <c r="C1027" t="s">
        <v>12</v>
      </c>
      <c r="D1027">
        <v>462</v>
      </c>
      <c r="E1027">
        <v>674</v>
      </c>
      <c r="F1027" s="5">
        <v>43862</v>
      </c>
      <c r="G1027">
        <v>-462</v>
      </c>
      <c r="H1027" t="s">
        <v>57</v>
      </c>
    </row>
    <row r="1028" spans="1:8" x14ac:dyDescent="0.3">
      <c r="A1028">
        <v>93</v>
      </c>
      <c r="B1028" s="5">
        <v>43888</v>
      </c>
      <c r="C1028" t="s">
        <v>10</v>
      </c>
      <c r="D1028">
        <v>429</v>
      </c>
      <c r="E1028">
        <v>1103</v>
      </c>
      <c r="F1028" s="5">
        <v>43862</v>
      </c>
      <c r="G1028">
        <v>429</v>
      </c>
      <c r="H1028" t="s">
        <v>57</v>
      </c>
    </row>
    <row r="1029" spans="1:8" x14ac:dyDescent="0.3">
      <c r="A1029">
        <v>93</v>
      </c>
      <c r="B1029" s="5">
        <v>43910</v>
      </c>
      <c r="C1029" t="s">
        <v>10</v>
      </c>
      <c r="D1029">
        <v>993</v>
      </c>
      <c r="E1029">
        <v>2096</v>
      </c>
      <c r="F1029" s="5">
        <v>43891</v>
      </c>
      <c r="G1029">
        <v>993</v>
      </c>
      <c r="H1029" t="s">
        <v>57</v>
      </c>
    </row>
    <row r="1030" spans="1:8" x14ac:dyDescent="0.3">
      <c r="A1030">
        <v>93</v>
      </c>
      <c r="B1030" s="5">
        <v>43917</v>
      </c>
      <c r="C1030" t="s">
        <v>12</v>
      </c>
      <c r="D1030">
        <v>154</v>
      </c>
      <c r="E1030">
        <v>1942</v>
      </c>
      <c r="F1030" s="5">
        <v>43891</v>
      </c>
      <c r="G1030">
        <v>-154</v>
      </c>
      <c r="H1030" t="s">
        <v>57</v>
      </c>
    </row>
    <row r="1031" spans="1:8" x14ac:dyDescent="0.3">
      <c r="A1031">
        <v>93</v>
      </c>
      <c r="B1031" s="5">
        <v>43919</v>
      </c>
      <c r="C1031" t="s">
        <v>12</v>
      </c>
      <c r="D1031">
        <v>477</v>
      </c>
      <c r="E1031">
        <v>1465</v>
      </c>
      <c r="F1031" s="5">
        <v>43891</v>
      </c>
      <c r="G1031">
        <v>-477</v>
      </c>
      <c r="H1031" t="s">
        <v>57</v>
      </c>
    </row>
    <row r="1032" spans="1:8" x14ac:dyDescent="0.3">
      <c r="A1032">
        <v>93</v>
      </c>
      <c r="B1032" s="5">
        <v>43920</v>
      </c>
      <c r="C1032" t="s">
        <v>11</v>
      </c>
      <c r="D1032">
        <v>279</v>
      </c>
      <c r="E1032">
        <v>1186</v>
      </c>
      <c r="F1032" s="5">
        <v>43891</v>
      </c>
      <c r="G1032">
        <v>-279</v>
      </c>
      <c r="H1032" t="s">
        <v>57</v>
      </c>
    </row>
    <row r="1033" spans="1:8" x14ac:dyDescent="0.3">
      <c r="A1033">
        <v>93</v>
      </c>
      <c r="B1033" s="5">
        <v>43930</v>
      </c>
      <c r="C1033" t="s">
        <v>12</v>
      </c>
      <c r="D1033">
        <v>218</v>
      </c>
      <c r="E1033">
        <v>968</v>
      </c>
      <c r="F1033" s="5">
        <v>43922</v>
      </c>
      <c r="G1033">
        <v>-218</v>
      </c>
      <c r="H1033" t="s">
        <v>57</v>
      </c>
    </row>
    <row r="1034" spans="1:8" x14ac:dyDescent="0.3">
      <c r="A1034">
        <v>94</v>
      </c>
      <c r="B1034" s="5">
        <v>43831</v>
      </c>
      <c r="C1034" t="s">
        <v>10</v>
      </c>
      <c r="D1034">
        <v>902</v>
      </c>
      <c r="E1034">
        <v>902</v>
      </c>
      <c r="F1034" s="5">
        <v>43831</v>
      </c>
      <c r="G1034">
        <v>902</v>
      </c>
      <c r="H1034" t="s">
        <v>57</v>
      </c>
    </row>
    <row r="1035" spans="1:8" x14ac:dyDescent="0.3">
      <c r="A1035">
        <v>94</v>
      </c>
      <c r="B1035" s="5">
        <v>43843</v>
      </c>
      <c r="C1035" t="s">
        <v>12</v>
      </c>
      <c r="D1035">
        <v>435</v>
      </c>
      <c r="E1035">
        <v>467</v>
      </c>
      <c r="F1035" s="5">
        <v>43831</v>
      </c>
      <c r="G1035">
        <v>-435</v>
      </c>
      <c r="H1035" t="s">
        <v>57</v>
      </c>
    </row>
    <row r="1036" spans="1:8" x14ac:dyDescent="0.3">
      <c r="A1036">
        <v>94</v>
      </c>
      <c r="B1036" s="5">
        <v>43855</v>
      </c>
      <c r="C1036" t="s">
        <v>12</v>
      </c>
      <c r="D1036">
        <v>449</v>
      </c>
      <c r="E1036">
        <v>18</v>
      </c>
      <c r="F1036" s="5">
        <v>43831</v>
      </c>
      <c r="G1036">
        <v>-449</v>
      </c>
      <c r="H1036" t="s">
        <v>57</v>
      </c>
    </row>
    <row r="1037" spans="1:8" x14ac:dyDescent="0.3">
      <c r="A1037">
        <v>94</v>
      </c>
      <c r="B1037" s="5">
        <v>43860</v>
      </c>
      <c r="C1037" t="s">
        <v>12</v>
      </c>
      <c r="D1037">
        <v>784</v>
      </c>
      <c r="E1037">
        <v>-766</v>
      </c>
      <c r="F1037" s="5">
        <v>43831</v>
      </c>
      <c r="G1037">
        <v>-784</v>
      </c>
      <c r="H1037" t="s">
        <v>58</v>
      </c>
    </row>
    <row r="1038" spans="1:8" x14ac:dyDescent="0.3">
      <c r="A1038">
        <v>94</v>
      </c>
      <c r="B1038" s="5">
        <v>43863</v>
      </c>
      <c r="C1038" t="s">
        <v>12</v>
      </c>
      <c r="D1038">
        <v>738</v>
      </c>
      <c r="E1038">
        <v>-1504</v>
      </c>
      <c r="F1038" s="5">
        <v>43862</v>
      </c>
      <c r="G1038">
        <v>-738</v>
      </c>
      <c r="H1038" t="s">
        <v>58</v>
      </c>
    </row>
    <row r="1039" spans="1:8" x14ac:dyDescent="0.3">
      <c r="A1039">
        <v>94</v>
      </c>
      <c r="B1039" s="5">
        <v>43890</v>
      </c>
      <c r="C1039" t="s">
        <v>10</v>
      </c>
      <c r="D1039">
        <v>8</v>
      </c>
      <c r="E1039">
        <v>-1496</v>
      </c>
      <c r="F1039" s="5">
        <v>43862</v>
      </c>
      <c r="G1039">
        <v>8</v>
      </c>
      <c r="H1039" t="s">
        <v>58</v>
      </c>
    </row>
    <row r="1040" spans="1:8" x14ac:dyDescent="0.3">
      <c r="A1040">
        <v>94</v>
      </c>
      <c r="B1040" s="5">
        <v>43898</v>
      </c>
      <c r="C1040" t="s">
        <v>12</v>
      </c>
      <c r="D1040">
        <v>736</v>
      </c>
      <c r="E1040">
        <v>-2232</v>
      </c>
      <c r="F1040" s="5">
        <v>43891</v>
      </c>
      <c r="G1040">
        <v>-736</v>
      </c>
      <c r="H1040" t="s">
        <v>58</v>
      </c>
    </row>
    <row r="1041" spans="1:8" x14ac:dyDescent="0.3">
      <c r="A1041">
        <v>94</v>
      </c>
      <c r="B1041" s="5">
        <v>43913</v>
      </c>
      <c r="C1041" t="s">
        <v>10</v>
      </c>
      <c r="D1041">
        <v>690</v>
      </c>
      <c r="E1041">
        <v>-1542</v>
      </c>
      <c r="F1041" s="5">
        <v>43891</v>
      </c>
      <c r="G1041">
        <v>690</v>
      </c>
      <c r="H1041" t="s">
        <v>58</v>
      </c>
    </row>
    <row r="1042" spans="1:8" x14ac:dyDescent="0.3">
      <c r="A1042">
        <v>95</v>
      </c>
      <c r="B1042" s="5">
        <v>43833</v>
      </c>
      <c r="C1042" t="s">
        <v>10</v>
      </c>
      <c r="D1042">
        <v>19</v>
      </c>
      <c r="E1042">
        <v>19</v>
      </c>
      <c r="F1042" s="5">
        <v>43831</v>
      </c>
      <c r="G1042">
        <v>19</v>
      </c>
      <c r="H1042" t="s">
        <v>57</v>
      </c>
    </row>
    <row r="1043" spans="1:8" x14ac:dyDescent="0.3">
      <c r="A1043">
        <v>95</v>
      </c>
      <c r="B1043" s="5">
        <v>43835</v>
      </c>
      <c r="C1043" t="s">
        <v>10</v>
      </c>
      <c r="D1043">
        <v>198</v>
      </c>
      <c r="E1043">
        <v>217</v>
      </c>
      <c r="F1043" s="5">
        <v>43831</v>
      </c>
      <c r="G1043">
        <v>198</v>
      </c>
      <c r="H1043" t="s">
        <v>57</v>
      </c>
    </row>
    <row r="1044" spans="1:8" x14ac:dyDescent="0.3">
      <c r="A1044">
        <v>95</v>
      </c>
      <c r="B1044" s="5">
        <v>43867</v>
      </c>
      <c r="C1044" t="s">
        <v>12</v>
      </c>
      <c r="D1044">
        <v>608</v>
      </c>
      <c r="E1044">
        <v>-391</v>
      </c>
      <c r="F1044" s="5">
        <v>43862</v>
      </c>
      <c r="G1044">
        <v>-608</v>
      </c>
      <c r="H1044" t="s">
        <v>58</v>
      </c>
    </row>
    <row r="1045" spans="1:8" x14ac:dyDescent="0.3">
      <c r="A1045">
        <v>95</v>
      </c>
      <c r="B1045" s="5">
        <v>43873</v>
      </c>
      <c r="C1045" t="s">
        <v>12</v>
      </c>
      <c r="D1045">
        <v>622</v>
      </c>
      <c r="E1045">
        <v>-1013</v>
      </c>
      <c r="F1045" s="5">
        <v>43862</v>
      </c>
      <c r="G1045">
        <v>-622</v>
      </c>
      <c r="H1045" t="s">
        <v>58</v>
      </c>
    </row>
    <row r="1046" spans="1:8" x14ac:dyDescent="0.3">
      <c r="A1046">
        <v>95</v>
      </c>
      <c r="B1046" s="5">
        <v>43877</v>
      </c>
      <c r="C1046" t="s">
        <v>10</v>
      </c>
      <c r="D1046">
        <v>706</v>
      </c>
      <c r="E1046">
        <v>-307</v>
      </c>
      <c r="F1046" s="5">
        <v>43862</v>
      </c>
      <c r="G1046">
        <v>706</v>
      </c>
      <c r="H1046" t="s">
        <v>58</v>
      </c>
    </row>
    <row r="1047" spans="1:8" x14ac:dyDescent="0.3">
      <c r="A1047">
        <v>95</v>
      </c>
      <c r="B1047" s="5">
        <v>43884</v>
      </c>
      <c r="C1047" t="s">
        <v>10</v>
      </c>
      <c r="D1047">
        <v>911</v>
      </c>
      <c r="E1047">
        <v>604</v>
      </c>
      <c r="F1047" s="5">
        <v>43862</v>
      </c>
      <c r="G1047">
        <v>911</v>
      </c>
      <c r="H1047" t="s">
        <v>57</v>
      </c>
    </row>
    <row r="1048" spans="1:8" x14ac:dyDescent="0.3">
      <c r="A1048">
        <v>95</v>
      </c>
      <c r="B1048" s="5">
        <v>43885</v>
      </c>
      <c r="C1048" t="s">
        <v>12</v>
      </c>
      <c r="D1048">
        <v>36</v>
      </c>
      <c r="E1048">
        <v>568</v>
      </c>
      <c r="F1048" s="5">
        <v>43862</v>
      </c>
      <c r="G1048">
        <v>-36</v>
      </c>
      <c r="H1048" t="s">
        <v>57</v>
      </c>
    </row>
    <row r="1049" spans="1:8" x14ac:dyDescent="0.3">
      <c r="A1049">
        <v>95</v>
      </c>
      <c r="B1049" s="5">
        <v>43887</v>
      </c>
      <c r="C1049" t="s">
        <v>10</v>
      </c>
      <c r="D1049">
        <v>930</v>
      </c>
      <c r="E1049">
        <v>1498</v>
      </c>
      <c r="F1049" s="5">
        <v>43862</v>
      </c>
      <c r="G1049">
        <v>930</v>
      </c>
      <c r="H1049" t="s">
        <v>57</v>
      </c>
    </row>
    <row r="1050" spans="1:8" x14ac:dyDescent="0.3">
      <c r="A1050">
        <v>95</v>
      </c>
      <c r="B1050" s="5">
        <v>43888</v>
      </c>
      <c r="C1050" t="s">
        <v>11</v>
      </c>
      <c r="D1050">
        <v>538</v>
      </c>
      <c r="E1050">
        <v>960</v>
      </c>
      <c r="F1050" s="5">
        <v>43862</v>
      </c>
      <c r="G1050">
        <v>-538</v>
      </c>
      <c r="H1050" t="s">
        <v>57</v>
      </c>
    </row>
    <row r="1051" spans="1:8" x14ac:dyDescent="0.3">
      <c r="A1051">
        <v>95</v>
      </c>
      <c r="B1051" s="5">
        <v>43897</v>
      </c>
      <c r="C1051" t="s">
        <v>11</v>
      </c>
      <c r="D1051">
        <v>321</v>
      </c>
      <c r="E1051">
        <v>639</v>
      </c>
      <c r="F1051" s="5">
        <v>43891</v>
      </c>
      <c r="G1051">
        <v>-321</v>
      </c>
      <c r="H1051" t="s">
        <v>57</v>
      </c>
    </row>
    <row r="1052" spans="1:8" x14ac:dyDescent="0.3">
      <c r="A1052">
        <v>95</v>
      </c>
      <c r="B1052" s="5">
        <v>43900</v>
      </c>
      <c r="C1052" t="s">
        <v>10</v>
      </c>
      <c r="D1052">
        <v>387</v>
      </c>
      <c r="E1052">
        <v>1026</v>
      </c>
      <c r="F1052" s="5">
        <v>43891</v>
      </c>
      <c r="G1052">
        <v>387</v>
      </c>
      <c r="H1052" t="s">
        <v>57</v>
      </c>
    </row>
    <row r="1053" spans="1:8" x14ac:dyDescent="0.3">
      <c r="A1053">
        <v>95</v>
      </c>
      <c r="B1053" s="5">
        <v>43912</v>
      </c>
      <c r="C1053" t="s">
        <v>10</v>
      </c>
      <c r="D1053">
        <v>949</v>
      </c>
      <c r="E1053">
        <v>1975</v>
      </c>
      <c r="F1053" s="5">
        <v>43891</v>
      </c>
      <c r="G1053">
        <v>949</v>
      </c>
      <c r="H1053" t="s">
        <v>57</v>
      </c>
    </row>
    <row r="1054" spans="1:8" x14ac:dyDescent="0.3">
      <c r="A1054">
        <v>95</v>
      </c>
      <c r="B1054" s="5">
        <v>43917</v>
      </c>
      <c r="C1054" t="s">
        <v>10</v>
      </c>
      <c r="D1054">
        <v>978</v>
      </c>
      <c r="E1054">
        <v>2953</v>
      </c>
      <c r="F1054" s="5">
        <v>43891</v>
      </c>
      <c r="G1054">
        <v>978</v>
      </c>
      <c r="H1054" t="s">
        <v>57</v>
      </c>
    </row>
    <row r="1055" spans="1:8" x14ac:dyDescent="0.3">
      <c r="A1055">
        <v>95</v>
      </c>
      <c r="B1055" s="5">
        <v>43918</v>
      </c>
      <c r="C1055" t="s">
        <v>12</v>
      </c>
      <c r="D1055">
        <v>977</v>
      </c>
      <c r="E1055">
        <v>1976</v>
      </c>
      <c r="F1055" s="5">
        <v>43891</v>
      </c>
      <c r="G1055">
        <v>-977</v>
      </c>
      <c r="H1055" t="s">
        <v>57</v>
      </c>
    </row>
    <row r="1056" spans="1:8" x14ac:dyDescent="0.3">
      <c r="A1056">
        <v>95</v>
      </c>
      <c r="B1056" s="5">
        <v>43920</v>
      </c>
      <c r="C1056" t="s">
        <v>11</v>
      </c>
      <c r="D1056">
        <v>530</v>
      </c>
      <c r="E1056">
        <v>1446</v>
      </c>
      <c r="F1056" s="5">
        <v>43891</v>
      </c>
      <c r="G1056">
        <v>-530</v>
      </c>
      <c r="H1056" t="s">
        <v>57</v>
      </c>
    </row>
    <row r="1057" spans="1:8" x14ac:dyDescent="0.3">
      <c r="A1057">
        <v>96</v>
      </c>
      <c r="B1057" s="5">
        <v>43833</v>
      </c>
      <c r="C1057" t="s">
        <v>10</v>
      </c>
      <c r="D1057">
        <v>492</v>
      </c>
      <c r="E1057">
        <v>492</v>
      </c>
      <c r="F1057" s="5">
        <v>43831</v>
      </c>
      <c r="G1057">
        <v>492</v>
      </c>
      <c r="H1057" t="s">
        <v>57</v>
      </c>
    </row>
    <row r="1058" spans="1:8" x14ac:dyDescent="0.3">
      <c r="A1058">
        <v>96</v>
      </c>
      <c r="B1058" s="5">
        <v>43833</v>
      </c>
      <c r="C1058" t="s">
        <v>10</v>
      </c>
      <c r="D1058">
        <v>753</v>
      </c>
      <c r="E1058">
        <v>1245</v>
      </c>
      <c r="F1058" s="5">
        <v>43831</v>
      </c>
      <c r="G1058">
        <v>753</v>
      </c>
      <c r="H1058" t="s">
        <v>57</v>
      </c>
    </row>
    <row r="1059" spans="1:8" x14ac:dyDescent="0.3">
      <c r="A1059">
        <v>96</v>
      </c>
      <c r="B1059" s="5">
        <v>43850</v>
      </c>
      <c r="C1059" t="s">
        <v>11</v>
      </c>
      <c r="D1059">
        <v>303</v>
      </c>
      <c r="E1059">
        <v>942</v>
      </c>
      <c r="F1059" s="5">
        <v>43831</v>
      </c>
      <c r="G1059">
        <v>-303</v>
      </c>
      <c r="H1059" t="s">
        <v>57</v>
      </c>
    </row>
    <row r="1060" spans="1:8" x14ac:dyDescent="0.3">
      <c r="A1060">
        <v>96</v>
      </c>
      <c r="B1060" s="5">
        <v>43851</v>
      </c>
      <c r="C1060" t="s">
        <v>12</v>
      </c>
      <c r="D1060">
        <v>290</v>
      </c>
      <c r="E1060">
        <v>652</v>
      </c>
      <c r="F1060" s="5">
        <v>43831</v>
      </c>
      <c r="G1060">
        <v>-290</v>
      </c>
      <c r="H1060" t="s">
        <v>57</v>
      </c>
    </row>
    <row r="1061" spans="1:8" x14ac:dyDescent="0.3">
      <c r="A1061">
        <v>96</v>
      </c>
      <c r="B1061" s="5">
        <v>43854</v>
      </c>
      <c r="C1061" t="s">
        <v>10</v>
      </c>
      <c r="D1061">
        <v>301</v>
      </c>
      <c r="E1061">
        <v>953</v>
      </c>
      <c r="F1061" s="5">
        <v>43831</v>
      </c>
      <c r="G1061">
        <v>301</v>
      </c>
      <c r="H1061" t="s">
        <v>57</v>
      </c>
    </row>
    <row r="1062" spans="1:8" x14ac:dyDescent="0.3">
      <c r="A1062">
        <v>96</v>
      </c>
      <c r="B1062" s="5">
        <v>43861</v>
      </c>
      <c r="C1062" t="s">
        <v>10</v>
      </c>
      <c r="D1062">
        <v>95</v>
      </c>
      <c r="E1062">
        <v>1048</v>
      </c>
      <c r="F1062" s="5">
        <v>43831</v>
      </c>
      <c r="G1062">
        <v>95</v>
      </c>
      <c r="H1062" t="s">
        <v>57</v>
      </c>
    </row>
    <row r="1063" spans="1:8" x14ac:dyDescent="0.3">
      <c r="A1063">
        <v>96</v>
      </c>
      <c r="B1063" s="5">
        <v>43863</v>
      </c>
      <c r="C1063" t="s">
        <v>10</v>
      </c>
      <c r="D1063">
        <v>445</v>
      </c>
      <c r="E1063">
        <v>1493</v>
      </c>
      <c r="F1063" s="5">
        <v>43862</v>
      </c>
      <c r="G1063">
        <v>445</v>
      </c>
      <c r="H1063" t="s">
        <v>57</v>
      </c>
    </row>
    <row r="1064" spans="1:8" x14ac:dyDescent="0.3">
      <c r="A1064">
        <v>96</v>
      </c>
      <c r="B1064" s="5">
        <v>43874</v>
      </c>
      <c r="C1064" t="s">
        <v>11</v>
      </c>
      <c r="D1064">
        <v>30</v>
      </c>
      <c r="E1064">
        <v>1463</v>
      </c>
      <c r="F1064" s="5">
        <v>43862</v>
      </c>
      <c r="G1064">
        <v>-30</v>
      </c>
      <c r="H1064" t="s">
        <v>57</v>
      </c>
    </row>
    <row r="1065" spans="1:8" x14ac:dyDescent="0.3">
      <c r="A1065">
        <v>96</v>
      </c>
      <c r="B1065" s="5">
        <v>43877</v>
      </c>
      <c r="C1065" t="s">
        <v>12</v>
      </c>
      <c r="D1065">
        <v>65</v>
      </c>
      <c r="E1065">
        <v>1398</v>
      </c>
      <c r="F1065" s="5">
        <v>43862</v>
      </c>
      <c r="G1065">
        <v>-65</v>
      </c>
      <c r="H1065" t="s">
        <v>57</v>
      </c>
    </row>
    <row r="1066" spans="1:8" x14ac:dyDescent="0.3">
      <c r="A1066">
        <v>96</v>
      </c>
      <c r="B1066" s="5">
        <v>43889</v>
      </c>
      <c r="C1066" t="s">
        <v>10</v>
      </c>
      <c r="D1066">
        <v>31</v>
      </c>
      <c r="E1066">
        <v>1429</v>
      </c>
      <c r="F1066" s="5">
        <v>43862</v>
      </c>
      <c r="G1066">
        <v>31</v>
      </c>
      <c r="H1066" t="s">
        <v>57</v>
      </c>
    </row>
    <row r="1067" spans="1:8" x14ac:dyDescent="0.3">
      <c r="A1067">
        <v>96</v>
      </c>
      <c r="B1067" s="5">
        <v>43890</v>
      </c>
      <c r="C1067" t="s">
        <v>10</v>
      </c>
      <c r="D1067">
        <v>108</v>
      </c>
      <c r="E1067">
        <v>1537</v>
      </c>
      <c r="F1067" s="5">
        <v>43862</v>
      </c>
      <c r="G1067">
        <v>108</v>
      </c>
      <c r="H1067" t="s">
        <v>57</v>
      </c>
    </row>
    <row r="1068" spans="1:8" x14ac:dyDescent="0.3">
      <c r="A1068">
        <v>96</v>
      </c>
      <c r="B1068" s="5">
        <v>43894</v>
      </c>
      <c r="C1068" t="s">
        <v>11</v>
      </c>
      <c r="D1068">
        <v>311</v>
      </c>
      <c r="E1068">
        <v>1226</v>
      </c>
      <c r="F1068" s="5">
        <v>43891</v>
      </c>
      <c r="G1068">
        <v>-311</v>
      </c>
      <c r="H1068" t="s">
        <v>57</v>
      </c>
    </row>
    <row r="1069" spans="1:8" x14ac:dyDescent="0.3">
      <c r="A1069">
        <v>96</v>
      </c>
      <c r="B1069" s="5">
        <v>43898</v>
      </c>
      <c r="C1069" t="s">
        <v>10</v>
      </c>
      <c r="D1069">
        <v>488</v>
      </c>
      <c r="E1069">
        <v>1714</v>
      </c>
      <c r="F1069" s="5">
        <v>43891</v>
      </c>
      <c r="G1069">
        <v>488</v>
      </c>
      <c r="H1069" t="s">
        <v>57</v>
      </c>
    </row>
    <row r="1070" spans="1:8" x14ac:dyDescent="0.3">
      <c r="A1070">
        <v>96</v>
      </c>
      <c r="B1070" s="5">
        <v>43900</v>
      </c>
      <c r="C1070" t="s">
        <v>12</v>
      </c>
      <c r="D1070">
        <v>545</v>
      </c>
      <c r="E1070">
        <v>1169</v>
      </c>
      <c r="F1070" s="5">
        <v>43891</v>
      </c>
      <c r="G1070">
        <v>-545</v>
      </c>
      <c r="H1070" t="s">
        <v>57</v>
      </c>
    </row>
    <row r="1071" spans="1:8" x14ac:dyDescent="0.3">
      <c r="A1071">
        <v>96</v>
      </c>
      <c r="B1071" s="5">
        <v>43913</v>
      </c>
      <c r="C1071" t="s">
        <v>12</v>
      </c>
      <c r="D1071">
        <v>490</v>
      </c>
      <c r="E1071">
        <v>679</v>
      </c>
      <c r="F1071" s="5">
        <v>43891</v>
      </c>
      <c r="G1071">
        <v>-490</v>
      </c>
      <c r="H1071" t="s">
        <v>57</v>
      </c>
    </row>
    <row r="1072" spans="1:8" x14ac:dyDescent="0.3">
      <c r="A1072">
        <v>96</v>
      </c>
      <c r="B1072" s="5">
        <v>43914</v>
      </c>
      <c r="C1072" t="s">
        <v>12</v>
      </c>
      <c r="D1072">
        <v>417</v>
      </c>
      <c r="E1072">
        <v>262</v>
      </c>
      <c r="F1072" s="5">
        <v>43891</v>
      </c>
      <c r="G1072">
        <v>-417</v>
      </c>
      <c r="H1072" t="s">
        <v>57</v>
      </c>
    </row>
    <row r="1073" spans="1:8" x14ac:dyDescent="0.3">
      <c r="A1073">
        <v>96</v>
      </c>
      <c r="B1073" s="5">
        <v>43918</v>
      </c>
      <c r="C1073" t="s">
        <v>10</v>
      </c>
      <c r="D1073">
        <v>891</v>
      </c>
      <c r="E1073">
        <v>1153</v>
      </c>
      <c r="F1073" s="5">
        <v>43891</v>
      </c>
      <c r="G1073">
        <v>891</v>
      </c>
      <c r="H1073" t="s">
        <v>57</v>
      </c>
    </row>
    <row r="1074" spans="1:8" x14ac:dyDescent="0.3">
      <c r="A1074">
        <v>96</v>
      </c>
      <c r="B1074" s="5">
        <v>43920</v>
      </c>
      <c r="C1074" t="s">
        <v>11</v>
      </c>
      <c r="D1074">
        <v>211</v>
      </c>
      <c r="E1074">
        <v>942</v>
      </c>
      <c r="F1074" s="5">
        <v>43891</v>
      </c>
      <c r="G1074">
        <v>-211</v>
      </c>
      <c r="H1074" t="s">
        <v>57</v>
      </c>
    </row>
    <row r="1075" spans="1:8" x14ac:dyDescent="0.3">
      <c r="A1075">
        <v>97</v>
      </c>
      <c r="B1075" s="5">
        <v>43834</v>
      </c>
      <c r="C1075" t="s">
        <v>10</v>
      </c>
      <c r="D1075">
        <v>681</v>
      </c>
      <c r="E1075">
        <v>681</v>
      </c>
      <c r="F1075" s="5">
        <v>43831</v>
      </c>
      <c r="G1075">
        <v>681</v>
      </c>
      <c r="H1075" t="s">
        <v>57</v>
      </c>
    </row>
    <row r="1076" spans="1:8" x14ac:dyDescent="0.3">
      <c r="A1076">
        <v>97</v>
      </c>
      <c r="B1076" s="5">
        <v>43838</v>
      </c>
      <c r="C1076" t="s">
        <v>10</v>
      </c>
      <c r="D1076">
        <v>992</v>
      </c>
      <c r="E1076">
        <v>1673</v>
      </c>
      <c r="F1076" s="5">
        <v>43831</v>
      </c>
      <c r="G1076">
        <v>992</v>
      </c>
      <c r="H1076" t="s">
        <v>57</v>
      </c>
    </row>
    <row r="1077" spans="1:8" x14ac:dyDescent="0.3">
      <c r="A1077">
        <v>97</v>
      </c>
      <c r="B1077" s="5">
        <v>43846</v>
      </c>
      <c r="C1077" t="s">
        <v>12</v>
      </c>
      <c r="D1077">
        <v>34</v>
      </c>
      <c r="E1077">
        <v>1639</v>
      </c>
      <c r="F1077" s="5">
        <v>43831</v>
      </c>
      <c r="G1077">
        <v>-34</v>
      </c>
      <c r="H1077" t="s">
        <v>57</v>
      </c>
    </row>
    <row r="1078" spans="1:8" x14ac:dyDescent="0.3">
      <c r="A1078">
        <v>97</v>
      </c>
      <c r="B1078" s="5">
        <v>43851</v>
      </c>
      <c r="C1078" t="s">
        <v>11</v>
      </c>
      <c r="D1078">
        <v>32</v>
      </c>
      <c r="E1078">
        <v>1607</v>
      </c>
      <c r="F1078" s="5">
        <v>43831</v>
      </c>
      <c r="G1078">
        <v>-32</v>
      </c>
      <c r="H1078" t="s">
        <v>57</v>
      </c>
    </row>
    <row r="1079" spans="1:8" x14ac:dyDescent="0.3">
      <c r="A1079">
        <v>97</v>
      </c>
      <c r="B1079" s="5">
        <v>43852</v>
      </c>
      <c r="C1079" t="s">
        <v>11</v>
      </c>
      <c r="D1079">
        <v>984</v>
      </c>
      <c r="E1079">
        <v>623</v>
      </c>
      <c r="F1079" s="5">
        <v>43831</v>
      </c>
      <c r="G1079">
        <v>-984</v>
      </c>
      <c r="H1079" t="s">
        <v>57</v>
      </c>
    </row>
    <row r="1080" spans="1:8" x14ac:dyDescent="0.3">
      <c r="A1080">
        <v>97</v>
      </c>
      <c r="B1080" s="5">
        <v>43864</v>
      </c>
      <c r="C1080" t="s">
        <v>10</v>
      </c>
      <c r="D1080">
        <v>227</v>
      </c>
      <c r="E1080">
        <v>850</v>
      </c>
      <c r="F1080" s="5">
        <v>43862</v>
      </c>
      <c r="G1080">
        <v>227</v>
      </c>
      <c r="H1080" t="s">
        <v>57</v>
      </c>
    </row>
    <row r="1081" spans="1:8" x14ac:dyDescent="0.3">
      <c r="A1081">
        <v>97</v>
      </c>
      <c r="B1081" s="5">
        <v>43867</v>
      </c>
      <c r="C1081" t="s">
        <v>12</v>
      </c>
      <c r="D1081">
        <v>416</v>
      </c>
      <c r="E1081">
        <v>434</v>
      </c>
      <c r="F1081" s="5">
        <v>43862</v>
      </c>
      <c r="G1081">
        <v>-416</v>
      </c>
      <c r="H1081" t="s">
        <v>57</v>
      </c>
    </row>
    <row r="1082" spans="1:8" x14ac:dyDescent="0.3">
      <c r="A1082">
        <v>97</v>
      </c>
      <c r="B1082" s="5">
        <v>43870</v>
      </c>
      <c r="C1082" t="s">
        <v>12</v>
      </c>
      <c r="D1082">
        <v>917</v>
      </c>
      <c r="E1082">
        <v>-483</v>
      </c>
      <c r="F1082" s="5">
        <v>43862</v>
      </c>
      <c r="G1082">
        <v>-917</v>
      </c>
      <c r="H1082" t="s">
        <v>58</v>
      </c>
    </row>
    <row r="1083" spans="1:8" x14ac:dyDescent="0.3">
      <c r="A1083">
        <v>97</v>
      </c>
      <c r="B1083" s="5">
        <v>43880</v>
      </c>
      <c r="C1083" t="s">
        <v>12</v>
      </c>
      <c r="D1083">
        <v>98</v>
      </c>
      <c r="E1083">
        <v>-581</v>
      </c>
      <c r="F1083" s="5">
        <v>43862</v>
      </c>
      <c r="G1083">
        <v>-98</v>
      </c>
      <c r="H1083" t="s">
        <v>58</v>
      </c>
    </row>
    <row r="1084" spans="1:8" x14ac:dyDescent="0.3">
      <c r="A1084">
        <v>97</v>
      </c>
      <c r="B1084" s="5">
        <v>43885</v>
      </c>
      <c r="C1084" t="s">
        <v>10</v>
      </c>
      <c r="D1084">
        <v>55</v>
      </c>
      <c r="E1084">
        <v>-526</v>
      </c>
      <c r="F1084" s="5">
        <v>43862</v>
      </c>
      <c r="G1084">
        <v>55</v>
      </c>
      <c r="H1084" t="s">
        <v>58</v>
      </c>
    </row>
    <row r="1085" spans="1:8" x14ac:dyDescent="0.3">
      <c r="A1085">
        <v>97</v>
      </c>
      <c r="B1085" s="5">
        <v>43885</v>
      </c>
      <c r="C1085" t="s">
        <v>10</v>
      </c>
      <c r="D1085">
        <v>286</v>
      </c>
      <c r="E1085">
        <v>-240</v>
      </c>
      <c r="F1085" s="5">
        <v>43862</v>
      </c>
      <c r="G1085">
        <v>286</v>
      </c>
      <c r="H1085" t="s">
        <v>58</v>
      </c>
    </row>
    <row r="1086" spans="1:8" x14ac:dyDescent="0.3">
      <c r="A1086">
        <v>97</v>
      </c>
      <c r="B1086" s="5">
        <v>43891</v>
      </c>
      <c r="C1086" t="s">
        <v>12</v>
      </c>
      <c r="D1086">
        <v>249</v>
      </c>
      <c r="E1086">
        <v>-489</v>
      </c>
      <c r="F1086" s="5">
        <v>43891</v>
      </c>
      <c r="G1086">
        <v>-249</v>
      </c>
      <c r="H1086" t="s">
        <v>58</v>
      </c>
    </row>
    <row r="1087" spans="1:8" x14ac:dyDescent="0.3">
      <c r="A1087">
        <v>97</v>
      </c>
      <c r="B1087" s="5">
        <v>43898</v>
      </c>
      <c r="C1087" t="s">
        <v>10</v>
      </c>
      <c r="D1087">
        <v>198</v>
      </c>
      <c r="E1087">
        <v>-291</v>
      </c>
      <c r="F1087" s="5">
        <v>43891</v>
      </c>
      <c r="G1087">
        <v>198</v>
      </c>
      <c r="H1087" t="s">
        <v>58</v>
      </c>
    </row>
    <row r="1088" spans="1:8" x14ac:dyDescent="0.3">
      <c r="A1088">
        <v>97</v>
      </c>
      <c r="B1088" s="5">
        <v>43913</v>
      </c>
      <c r="C1088" t="s">
        <v>11</v>
      </c>
      <c r="D1088">
        <v>839</v>
      </c>
      <c r="E1088">
        <v>-1130</v>
      </c>
      <c r="F1088" s="5">
        <v>43891</v>
      </c>
      <c r="G1088">
        <v>-839</v>
      </c>
      <c r="H1088" t="s">
        <v>58</v>
      </c>
    </row>
    <row r="1089" spans="1:8" x14ac:dyDescent="0.3">
      <c r="A1089">
        <v>97</v>
      </c>
      <c r="B1089" s="5">
        <v>43915</v>
      </c>
      <c r="C1089" t="s">
        <v>11</v>
      </c>
      <c r="D1089">
        <v>559</v>
      </c>
      <c r="E1089">
        <v>-1689</v>
      </c>
      <c r="F1089" s="5">
        <v>43891</v>
      </c>
      <c r="G1089">
        <v>-559</v>
      </c>
      <c r="H1089" t="s">
        <v>58</v>
      </c>
    </row>
    <row r="1090" spans="1:8" x14ac:dyDescent="0.3">
      <c r="A1090">
        <v>97</v>
      </c>
      <c r="B1090" s="5">
        <v>43920</v>
      </c>
      <c r="C1090" t="s">
        <v>12</v>
      </c>
      <c r="D1090">
        <v>794</v>
      </c>
      <c r="E1090">
        <v>-2483</v>
      </c>
      <c r="F1090" s="5">
        <v>43891</v>
      </c>
      <c r="G1090">
        <v>-794</v>
      </c>
      <c r="H1090" t="s">
        <v>58</v>
      </c>
    </row>
    <row r="1091" spans="1:8" x14ac:dyDescent="0.3">
      <c r="A1091">
        <v>98</v>
      </c>
      <c r="B1091" s="5">
        <v>43845</v>
      </c>
      <c r="C1091" t="s">
        <v>10</v>
      </c>
      <c r="D1091">
        <v>622</v>
      </c>
      <c r="E1091">
        <v>622</v>
      </c>
      <c r="F1091" s="5">
        <v>43831</v>
      </c>
      <c r="G1091">
        <v>622</v>
      </c>
      <c r="H1091" t="s">
        <v>57</v>
      </c>
    </row>
    <row r="1092" spans="1:8" x14ac:dyDescent="0.3">
      <c r="A1092">
        <v>98</v>
      </c>
      <c r="B1092" s="5">
        <v>43886</v>
      </c>
      <c r="C1092" t="s">
        <v>12</v>
      </c>
      <c r="D1092">
        <v>108</v>
      </c>
      <c r="E1092">
        <v>514</v>
      </c>
      <c r="F1092" s="5">
        <v>43862</v>
      </c>
      <c r="G1092">
        <v>-108</v>
      </c>
      <c r="H1092" t="s">
        <v>57</v>
      </c>
    </row>
    <row r="1093" spans="1:8" x14ac:dyDescent="0.3">
      <c r="A1093">
        <v>98</v>
      </c>
      <c r="B1093" s="5">
        <v>43890</v>
      </c>
      <c r="C1093" t="s">
        <v>12</v>
      </c>
      <c r="D1093">
        <v>227</v>
      </c>
      <c r="E1093">
        <v>287</v>
      </c>
      <c r="F1093" s="5">
        <v>43862</v>
      </c>
      <c r="G1093">
        <v>-227</v>
      </c>
      <c r="H1093" t="s">
        <v>57</v>
      </c>
    </row>
    <row r="1094" spans="1:8" x14ac:dyDescent="0.3">
      <c r="A1094">
        <v>98</v>
      </c>
      <c r="B1094" s="5">
        <v>43891</v>
      </c>
      <c r="C1094" t="s">
        <v>12</v>
      </c>
      <c r="D1094">
        <v>179</v>
      </c>
      <c r="E1094">
        <v>108</v>
      </c>
      <c r="F1094" s="5">
        <v>43891</v>
      </c>
      <c r="G1094">
        <v>-179</v>
      </c>
      <c r="H1094" t="s">
        <v>57</v>
      </c>
    </row>
    <row r="1095" spans="1:8" x14ac:dyDescent="0.3">
      <c r="A1095">
        <v>98</v>
      </c>
      <c r="B1095" s="5">
        <v>43897</v>
      </c>
      <c r="C1095" t="s">
        <v>10</v>
      </c>
      <c r="D1095">
        <v>193</v>
      </c>
      <c r="E1095">
        <v>301</v>
      </c>
      <c r="F1095" s="5">
        <v>43891</v>
      </c>
      <c r="G1095">
        <v>193</v>
      </c>
      <c r="H1095" t="s">
        <v>57</v>
      </c>
    </row>
    <row r="1096" spans="1:8" x14ac:dyDescent="0.3">
      <c r="A1096">
        <v>98</v>
      </c>
      <c r="B1096" s="5">
        <v>43901</v>
      </c>
      <c r="C1096" t="s">
        <v>12</v>
      </c>
      <c r="D1096">
        <v>648</v>
      </c>
      <c r="E1096">
        <v>-347</v>
      </c>
      <c r="F1096" s="5">
        <v>43891</v>
      </c>
      <c r="G1096">
        <v>-648</v>
      </c>
      <c r="H1096" t="s">
        <v>58</v>
      </c>
    </row>
    <row r="1097" spans="1:8" x14ac:dyDescent="0.3">
      <c r="A1097">
        <v>98</v>
      </c>
      <c r="B1097" s="5">
        <v>43918</v>
      </c>
      <c r="C1097" t="s">
        <v>10</v>
      </c>
      <c r="D1097">
        <v>252</v>
      </c>
      <c r="E1097">
        <v>-95</v>
      </c>
      <c r="F1097" s="5">
        <v>43891</v>
      </c>
      <c r="G1097">
        <v>252</v>
      </c>
      <c r="H1097" t="s">
        <v>58</v>
      </c>
    </row>
    <row r="1098" spans="1:8" x14ac:dyDescent="0.3">
      <c r="A1098">
        <v>98</v>
      </c>
      <c r="B1098" s="5">
        <v>43922</v>
      </c>
      <c r="C1098" t="s">
        <v>12</v>
      </c>
      <c r="D1098">
        <v>291</v>
      </c>
      <c r="E1098">
        <v>-386</v>
      </c>
      <c r="F1098" s="5">
        <v>43922</v>
      </c>
      <c r="G1098">
        <v>-291</v>
      </c>
      <c r="H1098" t="s">
        <v>58</v>
      </c>
    </row>
    <row r="1099" spans="1:8" x14ac:dyDescent="0.3">
      <c r="A1099">
        <v>98</v>
      </c>
      <c r="B1099" s="5">
        <v>43923</v>
      </c>
      <c r="C1099" t="s">
        <v>10</v>
      </c>
      <c r="D1099">
        <v>683</v>
      </c>
      <c r="E1099">
        <v>297</v>
      </c>
      <c r="F1099" s="5">
        <v>43922</v>
      </c>
      <c r="G1099">
        <v>683</v>
      </c>
      <c r="H1099" t="s">
        <v>57</v>
      </c>
    </row>
    <row r="1100" spans="1:8" x14ac:dyDescent="0.3">
      <c r="A1100">
        <v>98</v>
      </c>
      <c r="B1100" s="5">
        <v>43934</v>
      </c>
      <c r="C1100" t="s">
        <v>10</v>
      </c>
      <c r="D1100">
        <v>453</v>
      </c>
      <c r="E1100">
        <v>750</v>
      </c>
      <c r="F1100" s="5">
        <v>43922</v>
      </c>
      <c r="G1100">
        <v>453</v>
      </c>
      <c r="H1100" t="s">
        <v>57</v>
      </c>
    </row>
    <row r="1101" spans="1:8" x14ac:dyDescent="0.3">
      <c r="A1101">
        <v>99</v>
      </c>
      <c r="B1101" s="5">
        <v>43838</v>
      </c>
      <c r="C1101" t="s">
        <v>10</v>
      </c>
      <c r="D1101">
        <v>160</v>
      </c>
      <c r="E1101">
        <v>160</v>
      </c>
      <c r="F1101" s="5">
        <v>43831</v>
      </c>
      <c r="G1101">
        <v>160</v>
      </c>
      <c r="H1101" t="s">
        <v>57</v>
      </c>
    </row>
    <row r="1102" spans="1:8" x14ac:dyDescent="0.3">
      <c r="A1102">
        <v>99</v>
      </c>
      <c r="B1102" s="5">
        <v>43851</v>
      </c>
      <c r="C1102" t="s">
        <v>10</v>
      </c>
      <c r="D1102">
        <v>789</v>
      </c>
      <c r="E1102">
        <v>949</v>
      </c>
      <c r="F1102" s="5">
        <v>43831</v>
      </c>
      <c r="G1102">
        <v>789</v>
      </c>
      <c r="H1102" t="s">
        <v>57</v>
      </c>
    </row>
    <row r="1103" spans="1:8" x14ac:dyDescent="0.3">
      <c r="A1103">
        <v>99</v>
      </c>
      <c r="B1103" s="5">
        <v>43890</v>
      </c>
      <c r="C1103" t="s">
        <v>12</v>
      </c>
      <c r="D1103">
        <v>189</v>
      </c>
      <c r="E1103">
        <v>760</v>
      </c>
      <c r="F1103" s="5">
        <v>43862</v>
      </c>
      <c r="G1103">
        <v>-189</v>
      </c>
      <c r="H1103" t="s">
        <v>57</v>
      </c>
    </row>
    <row r="1104" spans="1:8" x14ac:dyDescent="0.3">
      <c r="A1104">
        <v>99</v>
      </c>
      <c r="B1104" s="5">
        <v>43914</v>
      </c>
      <c r="C1104" t="s">
        <v>12</v>
      </c>
      <c r="D1104">
        <v>23</v>
      </c>
      <c r="E1104">
        <v>737</v>
      </c>
      <c r="F1104" s="5">
        <v>43891</v>
      </c>
      <c r="G1104">
        <v>-23</v>
      </c>
      <c r="H1104" t="s">
        <v>57</v>
      </c>
    </row>
    <row r="1105" spans="1:8" x14ac:dyDescent="0.3">
      <c r="A1105">
        <v>100</v>
      </c>
      <c r="B1105" s="5">
        <v>43836</v>
      </c>
      <c r="C1105" t="s">
        <v>10</v>
      </c>
      <c r="D1105">
        <v>158</v>
      </c>
      <c r="E1105">
        <v>158</v>
      </c>
      <c r="F1105" s="5">
        <v>43831</v>
      </c>
      <c r="G1105">
        <v>158</v>
      </c>
      <c r="H1105" t="s">
        <v>57</v>
      </c>
    </row>
    <row r="1106" spans="1:8" x14ac:dyDescent="0.3">
      <c r="A1106">
        <v>100</v>
      </c>
      <c r="B1106" s="5">
        <v>43844</v>
      </c>
      <c r="C1106" t="s">
        <v>10</v>
      </c>
      <c r="D1106">
        <v>923</v>
      </c>
      <c r="E1106">
        <v>1081</v>
      </c>
      <c r="F1106" s="5">
        <v>43831</v>
      </c>
      <c r="G1106">
        <v>923</v>
      </c>
      <c r="H1106" t="s">
        <v>57</v>
      </c>
    </row>
    <row r="1107" spans="1:8" x14ac:dyDescent="0.3">
      <c r="A1107">
        <v>100</v>
      </c>
      <c r="B1107" s="5">
        <v>43866</v>
      </c>
      <c r="C1107" t="s">
        <v>11</v>
      </c>
      <c r="D1107">
        <v>749</v>
      </c>
      <c r="E1107">
        <v>332</v>
      </c>
      <c r="F1107" s="5">
        <v>43862</v>
      </c>
      <c r="G1107">
        <v>-749</v>
      </c>
      <c r="H1107" t="s">
        <v>57</v>
      </c>
    </row>
    <row r="1108" spans="1:8" x14ac:dyDescent="0.3">
      <c r="A1108">
        <v>100</v>
      </c>
      <c r="B1108" s="5">
        <v>43869</v>
      </c>
      <c r="C1108" t="s">
        <v>11</v>
      </c>
      <c r="D1108">
        <v>829</v>
      </c>
      <c r="E1108">
        <v>-497</v>
      </c>
      <c r="F1108" s="5">
        <v>43862</v>
      </c>
      <c r="G1108">
        <v>-829</v>
      </c>
      <c r="H1108" t="s">
        <v>58</v>
      </c>
    </row>
    <row r="1109" spans="1:8" x14ac:dyDescent="0.3">
      <c r="A1109">
        <v>100</v>
      </c>
      <c r="B1109" s="5">
        <v>43891</v>
      </c>
      <c r="C1109" t="s">
        <v>10</v>
      </c>
      <c r="D1109">
        <v>780</v>
      </c>
      <c r="E1109">
        <v>283</v>
      </c>
      <c r="F1109" s="5">
        <v>43891</v>
      </c>
      <c r="G1109">
        <v>780</v>
      </c>
      <c r="H1109" t="s">
        <v>57</v>
      </c>
    </row>
    <row r="1110" spans="1:8" x14ac:dyDescent="0.3">
      <c r="A1110">
        <v>100</v>
      </c>
      <c r="B1110" s="5">
        <v>43893</v>
      </c>
      <c r="C1110" t="s">
        <v>12</v>
      </c>
      <c r="D1110">
        <v>123</v>
      </c>
      <c r="E1110">
        <v>160</v>
      </c>
      <c r="F1110" s="5">
        <v>43891</v>
      </c>
      <c r="G1110">
        <v>-123</v>
      </c>
      <c r="H1110" t="s">
        <v>57</v>
      </c>
    </row>
    <row r="1111" spans="1:8" x14ac:dyDescent="0.3">
      <c r="A1111">
        <v>100</v>
      </c>
      <c r="B1111" s="5">
        <v>43909</v>
      </c>
      <c r="C1111" t="s">
        <v>11</v>
      </c>
      <c r="D1111">
        <v>854</v>
      </c>
      <c r="E1111">
        <v>-694</v>
      </c>
      <c r="F1111" s="5">
        <v>43891</v>
      </c>
      <c r="G1111">
        <v>-854</v>
      </c>
      <c r="H1111" t="s">
        <v>58</v>
      </c>
    </row>
    <row r="1112" spans="1:8" x14ac:dyDescent="0.3">
      <c r="A1112">
        <v>100</v>
      </c>
      <c r="B1112" s="5">
        <v>43918</v>
      </c>
      <c r="C1112" t="s">
        <v>11</v>
      </c>
      <c r="D1112">
        <v>938</v>
      </c>
      <c r="E1112">
        <v>-1632</v>
      </c>
      <c r="F1112" s="5">
        <v>43891</v>
      </c>
      <c r="G1112">
        <v>-938</v>
      </c>
      <c r="H1112" t="s">
        <v>58</v>
      </c>
    </row>
    <row r="1113" spans="1:8" x14ac:dyDescent="0.3">
      <c r="A1113">
        <v>100</v>
      </c>
      <c r="B1113" s="5">
        <v>43920</v>
      </c>
      <c r="C1113" t="s">
        <v>10</v>
      </c>
      <c r="D1113">
        <v>181</v>
      </c>
      <c r="E1113">
        <v>-1451</v>
      </c>
      <c r="F1113" s="5">
        <v>43891</v>
      </c>
      <c r="G1113">
        <v>181</v>
      </c>
      <c r="H1113" t="s">
        <v>58</v>
      </c>
    </row>
    <row r="1114" spans="1:8" x14ac:dyDescent="0.3">
      <c r="A1114">
        <v>101</v>
      </c>
      <c r="B1114" s="5">
        <v>43842</v>
      </c>
      <c r="C1114" t="s">
        <v>10</v>
      </c>
      <c r="D1114">
        <v>136</v>
      </c>
      <c r="E1114">
        <v>136</v>
      </c>
      <c r="F1114" s="5">
        <v>43831</v>
      </c>
      <c r="G1114">
        <v>136</v>
      </c>
      <c r="H1114" t="s">
        <v>57</v>
      </c>
    </row>
    <row r="1115" spans="1:8" x14ac:dyDescent="0.3">
      <c r="A1115">
        <v>101</v>
      </c>
      <c r="B1115" s="5">
        <v>43848</v>
      </c>
      <c r="C1115" t="s">
        <v>11</v>
      </c>
      <c r="D1115">
        <v>620</v>
      </c>
      <c r="E1115">
        <v>-484</v>
      </c>
      <c r="F1115" s="5">
        <v>43831</v>
      </c>
      <c r="G1115">
        <v>-620</v>
      </c>
      <c r="H1115" t="s">
        <v>58</v>
      </c>
    </row>
    <row r="1116" spans="1:8" x14ac:dyDescent="0.3">
      <c r="A1116">
        <v>101</v>
      </c>
      <c r="B1116" s="5">
        <v>43866</v>
      </c>
      <c r="C1116" t="s">
        <v>12</v>
      </c>
      <c r="D1116">
        <v>840</v>
      </c>
      <c r="E1116">
        <v>-1324</v>
      </c>
      <c r="F1116" s="5">
        <v>43862</v>
      </c>
      <c r="G1116">
        <v>-840</v>
      </c>
      <c r="H1116" t="s">
        <v>58</v>
      </c>
    </row>
    <row r="1117" spans="1:8" x14ac:dyDescent="0.3">
      <c r="A1117">
        <v>101</v>
      </c>
      <c r="B1117" s="5">
        <v>43897</v>
      </c>
      <c r="C1117" t="s">
        <v>12</v>
      </c>
      <c r="D1117">
        <v>895</v>
      </c>
      <c r="E1117">
        <v>-2219</v>
      </c>
      <c r="F1117" s="5">
        <v>43891</v>
      </c>
      <c r="G1117">
        <v>-895</v>
      </c>
      <c r="H1117" t="s">
        <v>58</v>
      </c>
    </row>
    <row r="1118" spans="1:8" x14ac:dyDescent="0.3">
      <c r="A1118">
        <v>101</v>
      </c>
      <c r="B1118" s="5">
        <v>43902</v>
      </c>
      <c r="C1118" t="s">
        <v>10</v>
      </c>
      <c r="D1118">
        <v>544</v>
      </c>
      <c r="E1118">
        <v>-1675</v>
      </c>
      <c r="F1118" s="5">
        <v>43891</v>
      </c>
      <c r="G1118">
        <v>544</v>
      </c>
      <c r="H1118" t="s">
        <v>58</v>
      </c>
    </row>
    <row r="1119" spans="1:8" x14ac:dyDescent="0.3">
      <c r="A1119">
        <v>101</v>
      </c>
      <c r="B1119" s="5">
        <v>43905</v>
      </c>
      <c r="C1119" t="s">
        <v>11</v>
      </c>
      <c r="D1119">
        <v>535</v>
      </c>
      <c r="E1119">
        <v>-2210</v>
      </c>
      <c r="F1119" s="5">
        <v>43891</v>
      </c>
      <c r="G1119">
        <v>-535</v>
      </c>
      <c r="H1119" t="s">
        <v>58</v>
      </c>
    </row>
    <row r="1120" spans="1:8" x14ac:dyDescent="0.3">
      <c r="A1120">
        <v>101</v>
      </c>
      <c r="B1120" s="5">
        <v>43906</v>
      </c>
      <c r="C1120" t="s">
        <v>11</v>
      </c>
      <c r="D1120">
        <v>463</v>
      </c>
      <c r="E1120">
        <v>-2673</v>
      </c>
      <c r="F1120" s="5">
        <v>43891</v>
      </c>
      <c r="G1120">
        <v>-463</v>
      </c>
      <c r="H1120" t="s">
        <v>58</v>
      </c>
    </row>
    <row r="1121" spans="1:8" x14ac:dyDescent="0.3">
      <c r="A1121">
        <v>102</v>
      </c>
      <c r="B1121" s="5">
        <v>43856</v>
      </c>
      <c r="C1121" t="s">
        <v>10</v>
      </c>
      <c r="D1121">
        <v>917</v>
      </c>
      <c r="E1121">
        <v>917</v>
      </c>
      <c r="F1121" s="5">
        <v>43831</v>
      </c>
      <c r="G1121">
        <v>917</v>
      </c>
      <c r="H1121" t="s">
        <v>57</v>
      </c>
    </row>
    <row r="1122" spans="1:8" x14ac:dyDescent="0.3">
      <c r="A1122">
        <v>102</v>
      </c>
      <c r="B1122" s="5">
        <v>43867</v>
      </c>
      <c r="C1122" t="s">
        <v>10</v>
      </c>
      <c r="D1122">
        <v>438</v>
      </c>
      <c r="E1122">
        <v>1355</v>
      </c>
      <c r="F1122" s="5">
        <v>43862</v>
      </c>
      <c r="G1122">
        <v>438</v>
      </c>
      <c r="H1122" t="s">
        <v>57</v>
      </c>
    </row>
    <row r="1123" spans="1:8" x14ac:dyDescent="0.3">
      <c r="A1123">
        <v>102</v>
      </c>
      <c r="B1123" s="5">
        <v>43872</v>
      </c>
      <c r="C1123" t="s">
        <v>11</v>
      </c>
      <c r="D1123">
        <v>926</v>
      </c>
      <c r="E1123">
        <v>429</v>
      </c>
      <c r="F1123" s="5">
        <v>43862</v>
      </c>
      <c r="G1123">
        <v>-926</v>
      </c>
      <c r="H1123" t="s">
        <v>57</v>
      </c>
    </row>
    <row r="1124" spans="1:8" x14ac:dyDescent="0.3">
      <c r="A1124">
        <v>102</v>
      </c>
      <c r="B1124" s="5">
        <v>43873</v>
      </c>
      <c r="C1124" t="s">
        <v>11</v>
      </c>
      <c r="D1124">
        <v>243</v>
      </c>
      <c r="E1124">
        <v>186</v>
      </c>
      <c r="F1124" s="5">
        <v>43862</v>
      </c>
      <c r="G1124">
        <v>-243</v>
      </c>
      <c r="H1124" t="s">
        <v>57</v>
      </c>
    </row>
    <row r="1125" spans="1:8" x14ac:dyDescent="0.3">
      <c r="A1125">
        <v>102</v>
      </c>
      <c r="B1125" s="5">
        <v>43877</v>
      </c>
      <c r="C1125" t="s">
        <v>10</v>
      </c>
      <c r="D1125">
        <v>562</v>
      </c>
      <c r="E1125">
        <v>748</v>
      </c>
      <c r="F1125" s="5">
        <v>43862</v>
      </c>
      <c r="G1125">
        <v>562</v>
      </c>
      <c r="H1125" t="s">
        <v>57</v>
      </c>
    </row>
    <row r="1126" spans="1:8" x14ac:dyDescent="0.3">
      <c r="A1126">
        <v>102</v>
      </c>
      <c r="B1126" s="5">
        <v>43878</v>
      </c>
      <c r="C1126" t="s">
        <v>11</v>
      </c>
      <c r="D1126">
        <v>265</v>
      </c>
      <c r="E1126">
        <v>483</v>
      </c>
      <c r="F1126" s="5">
        <v>43862</v>
      </c>
      <c r="G1126">
        <v>-265</v>
      </c>
      <c r="H1126" t="s">
        <v>57</v>
      </c>
    </row>
    <row r="1127" spans="1:8" x14ac:dyDescent="0.3">
      <c r="A1127">
        <v>102</v>
      </c>
      <c r="B1127" s="5">
        <v>43882</v>
      </c>
      <c r="C1127" t="s">
        <v>10</v>
      </c>
      <c r="D1127">
        <v>945</v>
      </c>
      <c r="E1127">
        <v>1428</v>
      </c>
      <c r="F1127" s="5">
        <v>43862</v>
      </c>
      <c r="G1127">
        <v>945</v>
      </c>
      <c r="H1127" t="s">
        <v>57</v>
      </c>
    </row>
    <row r="1128" spans="1:8" x14ac:dyDescent="0.3">
      <c r="A1128">
        <v>102</v>
      </c>
      <c r="B1128" s="5">
        <v>43899</v>
      </c>
      <c r="C1128" t="s">
        <v>11</v>
      </c>
      <c r="D1128">
        <v>772</v>
      </c>
      <c r="E1128">
        <v>656</v>
      </c>
      <c r="F1128" s="5">
        <v>43891</v>
      </c>
      <c r="G1128">
        <v>-772</v>
      </c>
      <c r="H1128" t="s">
        <v>57</v>
      </c>
    </row>
    <row r="1129" spans="1:8" x14ac:dyDescent="0.3">
      <c r="A1129">
        <v>102</v>
      </c>
      <c r="B1129" s="5">
        <v>43899</v>
      </c>
      <c r="C1129" t="s">
        <v>10</v>
      </c>
      <c r="D1129">
        <v>303</v>
      </c>
      <c r="E1129">
        <v>959</v>
      </c>
      <c r="F1129" s="5">
        <v>43891</v>
      </c>
      <c r="G1129">
        <v>303</v>
      </c>
      <c r="H1129" t="s">
        <v>57</v>
      </c>
    </row>
    <row r="1130" spans="1:8" x14ac:dyDescent="0.3">
      <c r="A1130">
        <v>102</v>
      </c>
      <c r="B1130" s="5">
        <v>43900</v>
      </c>
      <c r="C1130" t="s">
        <v>10</v>
      </c>
      <c r="D1130">
        <v>591</v>
      </c>
      <c r="E1130">
        <v>1550</v>
      </c>
      <c r="F1130" s="5">
        <v>43891</v>
      </c>
      <c r="G1130">
        <v>591</v>
      </c>
      <c r="H1130" t="s">
        <v>57</v>
      </c>
    </row>
    <row r="1131" spans="1:8" x14ac:dyDescent="0.3">
      <c r="A1131">
        <v>102</v>
      </c>
      <c r="B1131" s="5">
        <v>43904</v>
      </c>
      <c r="C1131" t="s">
        <v>12</v>
      </c>
      <c r="D1131">
        <v>395</v>
      </c>
      <c r="E1131">
        <v>1155</v>
      </c>
      <c r="F1131" s="5">
        <v>43891</v>
      </c>
      <c r="G1131">
        <v>-395</v>
      </c>
      <c r="H1131" t="s">
        <v>57</v>
      </c>
    </row>
    <row r="1132" spans="1:8" x14ac:dyDescent="0.3">
      <c r="A1132">
        <v>102</v>
      </c>
      <c r="B1132" s="5">
        <v>43905</v>
      </c>
      <c r="C1132" t="s">
        <v>12</v>
      </c>
      <c r="D1132">
        <v>329</v>
      </c>
      <c r="E1132">
        <v>826</v>
      </c>
      <c r="F1132" s="5">
        <v>43891</v>
      </c>
      <c r="G1132">
        <v>-329</v>
      </c>
      <c r="H1132" t="s">
        <v>57</v>
      </c>
    </row>
    <row r="1133" spans="1:8" x14ac:dyDescent="0.3">
      <c r="A1133">
        <v>102</v>
      </c>
      <c r="B1133" s="5">
        <v>43908</v>
      </c>
      <c r="C1133" t="s">
        <v>10</v>
      </c>
      <c r="D1133">
        <v>639</v>
      </c>
      <c r="E1133">
        <v>1465</v>
      </c>
      <c r="F1133" s="5">
        <v>43891</v>
      </c>
      <c r="G1133">
        <v>639</v>
      </c>
      <c r="H1133" t="s">
        <v>57</v>
      </c>
    </row>
    <row r="1134" spans="1:8" x14ac:dyDescent="0.3">
      <c r="A1134">
        <v>102</v>
      </c>
      <c r="B1134" s="5">
        <v>43908</v>
      </c>
      <c r="C1134" t="s">
        <v>10</v>
      </c>
      <c r="D1134">
        <v>984</v>
      </c>
      <c r="E1134">
        <v>2449</v>
      </c>
      <c r="F1134" s="5">
        <v>43891</v>
      </c>
      <c r="G1134">
        <v>984</v>
      </c>
      <c r="H1134" t="s">
        <v>57</v>
      </c>
    </row>
    <row r="1135" spans="1:8" x14ac:dyDescent="0.3">
      <c r="A1135">
        <v>102</v>
      </c>
      <c r="B1135" s="5">
        <v>43916</v>
      </c>
      <c r="C1135" t="s">
        <v>12</v>
      </c>
      <c r="D1135">
        <v>584</v>
      </c>
      <c r="E1135">
        <v>1865</v>
      </c>
      <c r="F1135" s="5">
        <v>43891</v>
      </c>
      <c r="G1135">
        <v>-584</v>
      </c>
      <c r="H1135" t="s">
        <v>57</v>
      </c>
    </row>
    <row r="1136" spans="1:8" x14ac:dyDescent="0.3">
      <c r="A1136">
        <v>102</v>
      </c>
      <c r="B1136" s="5">
        <v>43923</v>
      </c>
      <c r="C1136" t="s">
        <v>10</v>
      </c>
      <c r="D1136">
        <v>192</v>
      </c>
      <c r="E1136">
        <v>2057</v>
      </c>
      <c r="F1136" s="5">
        <v>43922</v>
      </c>
      <c r="G1136">
        <v>192</v>
      </c>
      <c r="H1136" t="s">
        <v>57</v>
      </c>
    </row>
    <row r="1137" spans="1:8" x14ac:dyDescent="0.3">
      <c r="A1137">
        <v>102</v>
      </c>
      <c r="B1137" s="5">
        <v>43927</v>
      </c>
      <c r="C1137" t="s">
        <v>12</v>
      </c>
      <c r="D1137">
        <v>468</v>
      </c>
      <c r="E1137">
        <v>1589</v>
      </c>
      <c r="F1137" s="5">
        <v>43922</v>
      </c>
      <c r="G1137">
        <v>-468</v>
      </c>
      <c r="H1137" t="s">
        <v>57</v>
      </c>
    </row>
    <row r="1138" spans="1:8" x14ac:dyDescent="0.3">
      <c r="A1138">
        <v>102</v>
      </c>
      <c r="B1138" s="5">
        <v>43929</v>
      </c>
      <c r="C1138" t="s">
        <v>12</v>
      </c>
      <c r="D1138">
        <v>507</v>
      </c>
      <c r="E1138">
        <v>1082</v>
      </c>
      <c r="F1138" s="5">
        <v>43922</v>
      </c>
      <c r="G1138">
        <v>-507</v>
      </c>
      <c r="H1138" t="s">
        <v>57</v>
      </c>
    </row>
    <row r="1139" spans="1:8" x14ac:dyDescent="0.3">
      <c r="A1139">
        <v>102</v>
      </c>
      <c r="B1139" s="5">
        <v>43936</v>
      </c>
      <c r="C1139" t="s">
        <v>10</v>
      </c>
      <c r="D1139">
        <v>516</v>
      </c>
      <c r="E1139">
        <v>1598</v>
      </c>
      <c r="F1139" s="5">
        <v>43922</v>
      </c>
      <c r="G1139">
        <v>516</v>
      </c>
      <c r="H1139" t="s">
        <v>57</v>
      </c>
    </row>
    <row r="1140" spans="1:8" x14ac:dyDescent="0.3">
      <c r="A1140">
        <v>102</v>
      </c>
      <c r="B1140" s="5">
        <v>43938</v>
      </c>
      <c r="C1140" t="s">
        <v>12</v>
      </c>
      <c r="D1140">
        <v>921</v>
      </c>
      <c r="E1140">
        <v>677</v>
      </c>
      <c r="F1140" s="5">
        <v>43922</v>
      </c>
      <c r="G1140">
        <v>-921</v>
      </c>
      <c r="H1140" t="s">
        <v>57</v>
      </c>
    </row>
    <row r="1141" spans="1:8" x14ac:dyDescent="0.3">
      <c r="A1141">
        <v>102</v>
      </c>
      <c r="B1141" s="5">
        <v>43939</v>
      </c>
      <c r="C1141" t="s">
        <v>12</v>
      </c>
      <c r="D1141">
        <v>31</v>
      </c>
      <c r="E1141">
        <v>646</v>
      </c>
      <c r="F1141" s="5">
        <v>43922</v>
      </c>
      <c r="G1141">
        <v>-31</v>
      </c>
      <c r="H1141" t="s">
        <v>57</v>
      </c>
    </row>
    <row r="1142" spans="1:8" x14ac:dyDescent="0.3">
      <c r="A1142">
        <v>103</v>
      </c>
      <c r="B1142" s="5">
        <v>43837</v>
      </c>
      <c r="C1142" t="s">
        <v>10</v>
      </c>
      <c r="D1142">
        <v>646</v>
      </c>
      <c r="E1142">
        <v>646</v>
      </c>
      <c r="F1142" s="5">
        <v>43831</v>
      </c>
      <c r="G1142">
        <v>646</v>
      </c>
      <c r="H1142" t="s">
        <v>57</v>
      </c>
    </row>
    <row r="1143" spans="1:8" x14ac:dyDescent="0.3">
      <c r="A1143">
        <v>103</v>
      </c>
      <c r="B1143" s="5">
        <v>43844</v>
      </c>
      <c r="C1143" t="s">
        <v>12</v>
      </c>
      <c r="D1143">
        <v>353</v>
      </c>
      <c r="E1143">
        <v>293</v>
      </c>
      <c r="F1143" s="5">
        <v>43831</v>
      </c>
      <c r="G1143">
        <v>-353</v>
      </c>
      <c r="H1143" t="s">
        <v>57</v>
      </c>
    </row>
    <row r="1144" spans="1:8" x14ac:dyDescent="0.3">
      <c r="A1144">
        <v>103</v>
      </c>
      <c r="B1144" s="5">
        <v>43848</v>
      </c>
      <c r="C1144" t="s">
        <v>10</v>
      </c>
      <c r="D1144">
        <v>459</v>
      </c>
      <c r="E1144">
        <v>752</v>
      </c>
      <c r="F1144" s="5">
        <v>43831</v>
      </c>
      <c r="G1144">
        <v>459</v>
      </c>
      <c r="H1144" t="s">
        <v>57</v>
      </c>
    </row>
    <row r="1145" spans="1:8" x14ac:dyDescent="0.3">
      <c r="A1145">
        <v>103</v>
      </c>
      <c r="B1145" s="5">
        <v>43848</v>
      </c>
      <c r="C1145" t="s">
        <v>12</v>
      </c>
      <c r="D1145">
        <v>512</v>
      </c>
      <c r="E1145">
        <v>240</v>
      </c>
      <c r="F1145" s="5">
        <v>43831</v>
      </c>
      <c r="G1145">
        <v>-512</v>
      </c>
      <c r="H1145" t="s">
        <v>57</v>
      </c>
    </row>
    <row r="1146" spans="1:8" x14ac:dyDescent="0.3">
      <c r="A1146">
        <v>103</v>
      </c>
      <c r="B1146" s="5">
        <v>43877</v>
      </c>
      <c r="C1146" t="s">
        <v>11</v>
      </c>
      <c r="D1146">
        <v>535</v>
      </c>
      <c r="E1146">
        <v>-295</v>
      </c>
      <c r="F1146" s="5">
        <v>43862</v>
      </c>
      <c r="G1146">
        <v>-535</v>
      </c>
      <c r="H1146" t="s">
        <v>58</v>
      </c>
    </row>
    <row r="1147" spans="1:8" x14ac:dyDescent="0.3">
      <c r="A1147">
        <v>103</v>
      </c>
      <c r="B1147" s="5">
        <v>43877</v>
      </c>
      <c r="C1147" t="s">
        <v>11</v>
      </c>
      <c r="D1147">
        <v>555</v>
      </c>
      <c r="E1147">
        <v>-850</v>
      </c>
      <c r="F1147" s="5">
        <v>43862</v>
      </c>
      <c r="G1147">
        <v>-555</v>
      </c>
      <c r="H1147" t="s">
        <v>58</v>
      </c>
    </row>
    <row r="1148" spans="1:8" x14ac:dyDescent="0.3">
      <c r="A1148">
        <v>103</v>
      </c>
      <c r="B1148" s="5">
        <v>43899</v>
      </c>
      <c r="C1148" t="s">
        <v>10</v>
      </c>
      <c r="D1148">
        <v>410</v>
      </c>
      <c r="E1148">
        <v>-440</v>
      </c>
      <c r="F1148" s="5">
        <v>43891</v>
      </c>
      <c r="G1148">
        <v>410</v>
      </c>
      <c r="H1148" t="s">
        <v>58</v>
      </c>
    </row>
    <row r="1149" spans="1:8" x14ac:dyDescent="0.3">
      <c r="A1149">
        <v>103</v>
      </c>
      <c r="B1149" s="5">
        <v>43900</v>
      </c>
      <c r="C1149" t="s">
        <v>10</v>
      </c>
      <c r="D1149">
        <v>358</v>
      </c>
      <c r="E1149">
        <v>-82</v>
      </c>
      <c r="F1149" s="5">
        <v>43891</v>
      </c>
      <c r="G1149">
        <v>358</v>
      </c>
      <c r="H1149" t="s">
        <v>58</v>
      </c>
    </row>
    <row r="1150" spans="1:8" x14ac:dyDescent="0.3">
      <c r="A1150">
        <v>103</v>
      </c>
      <c r="B1150" s="5">
        <v>43908</v>
      </c>
      <c r="C1150" t="s">
        <v>11</v>
      </c>
      <c r="D1150">
        <v>688</v>
      </c>
      <c r="E1150">
        <v>-770</v>
      </c>
      <c r="F1150" s="5">
        <v>43891</v>
      </c>
      <c r="G1150">
        <v>-688</v>
      </c>
      <c r="H1150" t="s">
        <v>58</v>
      </c>
    </row>
    <row r="1151" spans="1:8" x14ac:dyDescent="0.3">
      <c r="A1151">
        <v>103</v>
      </c>
      <c r="B1151" s="5">
        <v>43909</v>
      </c>
      <c r="C1151" t="s">
        <v>11</v>
      </c>
      <c r="D1151">
        <v>435</v>
      </c>
      <c r="E1151">
        <v>-1205</v>
      </c>
      <c r="F1151" s="5">
        <v>43891</v>
      </c>
      <c r="G1151">
        <v>-435</v>
      </c>
      <c r="H1151" t="s">
        <v>58</v>
      </c>
    </row>
    <row r="1152" spans="1:8" x14ac:dyDescent="0.3">
      <c r="A1152">
        <v>103</v>
      </c>
      <c r="B1152" s="5">
        <v>43909</v>
      </c>
      <c r="C1152" t="s">
        <v>10</v>
      </c>
      <c r="D1152">
        <v>193</v>
      </c>
      <c r="E1152">
        <v>-1012</v>
      </c>
      <c r="F1152" s="5">
        <v>43891</v>
      </c>
      <c r="G1152">
        <v>193</v>
      </c>
      <c r="H1152" t="s">
        <v>58</v>
      </c>
    </row>
    <row r="1153" spans="1:8" x14ac:dyDescent="0.3">
      <c r="A1153">
        <v>103</v>
      </c>
      <c r="B1153" s="5">
        <v>43909</v>
      </c>
      <c r="C1153" t="s">
        <v>12</v>
      </c>
      <c r="D1153">
        <v>839</v>
      </c>
      <c r="E1153">
        <v>-1851</v>
      </c>
      <c r="F1153" s="5">
        <v>43891</v>
      </c>
      <c r="G1153">
        <v>-839</v>
      </c>
      <c r="H1153" t="s">
        <v>58</v>
      </c>
    </row>
    <row r="1154" spans="1:8" x14ac:dyDescent="0.3">
      <c r="A1154">
        <v>103</v>
      </c>
      <c r="B1154" s="5">
        <v>43916</v>
      </c>
      <c r="C1154" t="s">
        <v>11</v>
      </c>
      <c r="D1154">
        <v>406</v>
      </c>
      <c r="E1154">
        <v>-2257</v>
      </c>
      <c r="F1154" s="5">
        <v>43891</v>
      </c>
      <c r="G1154">
        <v>-406</v>
      </c>
      <c r="H1154" t="s">
        <v>58</v>
      </c>
    </row>
    <row r="1155" spans="1:8" x14ac:dyDescent="0.3">
      <c r="A1155">
        <v>104</v>
      </c>
      <c r="B1155" s="5">
        <v>43855</v>
      </c>
      <c r="C1155" t="s">
        <v>10</v>
      </c>
      <c r="D1155">
        <v>989</v>
      </c>
      <c r="E1155">
        <v>989</v>
      </c>
      <c r="F1155" s="5">
        <v>43831</v>
      </c>
      <c r="G1155">
        <v>989</v>
      </c>
      <c r="H1155" t="s">
        <v>57</v>
      </c>
    </row>
    <row r="1156" spans="1:8" x14ac:dyDescent="0.3">
      <c r="A1156">
        <v>104</v>
      </c>
      <c r="B1156" s="5">
        <v>43856</v>
      </c>
      <c r="C1156" t="s">
        <v>11</v>
      </c>
      <c r="D1156">
        <v>46</v>
      </c>
      <c r="E1156">
        <v>943</v>
      </c>
      <c r="F1156" s="5">
        <v>43831</v>
      </c>
      <c r="G1156">
        <v>-46</v>
      </c>
      <c r="H1156" t="s">
        <v>57</v>
      </c>
    </row>
    <row r="1157" spans="1:8" x14ac:dyDescent="0.3">
      <c r="A1157">
        <v>104</v>
      </c>
      <c r="B1157" s="5">
        <v>43860</v>
      </c>
      <c r="C1157" t="s">
        <v>12</v>
      </c>
      <c r="D1157">
        <v>328</v>
      </c>
      <c r="E1157">
        <v>615</v>
      </c>
      <c r="F1157" s="5">
        <v>43831</v>
      </c>
      <c r="G1157">
        <v>-328</v>
      </c>
      <c r="H1157" t="s">
        <v>57</v>
      </c>
    </row>
    <row r="1158" spans="1:8" x14ac:dyDescent="0.3">
      <c r="A1158">
        <v>104</v>
      </c>
      <c r="B1158" s="5">
        <v>43885</v>
      </c>
      <c r="C1158" t="s">
        <v>12</v>
      </c>
      <c r="D1158">
        <v>589</v>
      </c>
      <c r="E1158">
        <v>26</v>
      </c>
      <c r="F1158" s="5">
        <v>43862</v>
      </c>
      <c r="G1158">
        <v>-589</v>
      </c>
      <c r="H1158" t="s">
        <v>57</v>
      </c>
    </row>
    <row r="1159" spans="1:8" x14ac:dyDescent="0.3">
      <c r="A1159">
        <v>104</v>
      </c>
      <c r="B1159" s="5">
        <v>43888</v>
      </c>
      <c r="C1159" t="s">
        <v>10</v>
      </c>
      <c r="D1159">
        <v>985</v>
      </c>
      <c r="E1159">
        <v>1011</v>
      </c>
      <c r="F1159" s="5">
        <v>43862</v>
      </c>
      <c r="G1159">
        <v>985</v>
      </c>
      <c r="H1159" t="s">
        <v>57</v>
      </c>
    </row>
    <row r="1160" spans="1:8" x14ac:dyDescent="0.3">
      <c r="A1160">
        <v>104</v>
      </c>
      <c r="B1160" s="5">
        <v>43890</v>
      </c>
      <c r="C1160" t="s">
        <v>10</v>
      </c>
      <c r="D1160">
        <v>76</v>
      </c>
      <c r="E1160">
        <v>1087</v>
      </c>
      <c r="F1160" s="5">
        <v>43862</v>
      </c>
      <c r="G1160">
        <v>76</v>
      </c>
      <c r="H1160" t="s">
        <v>57</v>
      </c>
    </row>
    <row r="1161" spans="1:8" x14ac:dyDescent="0.3">
      <c r="A1161">
        <v>104</v>
      </c>
      <c r="B1161" s="5">
        <v>43915</v>
      </c>
      <c r="C1161" t="s">
        <v>12</v>
      </c>
      <c r="D1161">
        <v>321</v>
      </c>
      <c r="E1161">
        <v>766</v>
      </c>
      <c r="F1161" s="5">
        <v>43891</v>
      </c>
      <c r="G1161">
        <v>-321</v>
      </c>
      <c r="H1161" t="s">
        <v>57</v>
      </c>
    </row>
    <row r="1162" spans="1:8" x14ac:dyDescent="0.3">
      <c r="A1162">
        <v>104</v>
      </c>
      <c r="B1162" s="5">
        <v>43919</v>
      </c>
      <c r="C1162" t="s">
        <v>12</v>
      </c>
      <c r="D1162">
        <v>414</v>
      </c>
      <c r="E1162">
        <v>352</v>
      </c>
      <c r="F1162" s="5">
        <v>43891</v>
      </c>
      <c r="G1162">
        <v>-414</v>
      </c>
      <c r="H1162" t="s">
        <v>57</v>
      </c>
    </row>
    <row r="1163" spans="1:8" x14ac:dyDescent="0.3">
      <c r="A1163">
        <v>104</v>
      </c>
      <c r="B1163" s="5">
        <v>43920</v>
      </c>
      <c r="C1163" t="s">
        <v>10</v>
      </c>
      <c r="D1163">
        <v>838</v>
      </c>
      <c r="E1163">
        <v>1190</v>
      </c>
      <c r="F1163" s="5">
        <v>43891</v>
      </c>
      <c r="G1163">
        <v>838</v>
      </c>
      <c r="H1163" t="s">
        <v>57</v>
      </c>
    </row>
    <row r="1164" spans="1:8" x14ac:dyDescent="0.3">
      <c r="A1164">
        <v>105</v>
      </c>
      <c r="B1164" s="5">
        <v>43837</v>
      </c>
      <c r="C1164" t="s">
        <v>10</v>
      </c>
      <c r="D1164">
        <v>313</v>
      </c>
      <c r="E1164">
        <v>313</v>
      </c>
      <c r="F1164" s="5">
        <v>43831</v>
      </c>
      <c r="G1164">
        <v>313</v>
      </c>
      <c r="H1164" t="s">
        <v>57</v>
      </c>
    </row>
    <row r="1165" spans="1:8" x14ac:dyDescent="0.3">
      <c r="A1165">
        <v>105</v>
      </c>
      <c r="B1165" s="5">
        <v>43848</v>
      </c>
      <c r="C1165" t="s">
        <v>10</v>
      </c>
      <c r="D1165">
        <v>701</v>
      </c>
      <c r="E1165">
        <v>1014</v>
      </c>
      <c r="F1165" s="5">
        <v>43831</v>
      </c>
      <c r="G1165">
        <v>701</v>
      </c>
      <c r="H1165" t="s">
        <v>57</v>
      </c>
    </row>
    <row r="1166" spans="1:8" x14ac:dyDescent="0.3">
      <c r="A1166">
        <v>105</v>
      </c>
      <c r="B1166" s="5">
        <v>43870</v>
      </c>
      <c r="C1166" t="s">
        <v>11</v>
      </c>
      <c r="D1166">
        <v>249</v>
      </c>
      <c r="E1166">
        <v>765</v>
      </c>
      <c r="F1166" s="5">
        <v>43862</v>
      </c>
      <c r="G1166">
        <v>-249</v>
      </c>
      <c r="H1166" t="s">
        <v>57</v>
      </c>
    </row>
    <row r="1167" spans="1:8" x14ac:dyDescent="0.3">
      <c r="A1167">
        <v>105</v>
      </c>
      <c r="B1167" s="5">
        <v>43889</v>
      </c>
      <c r="C1167" t="s">
        <v>11</v>
      </c>
      <c r="D1167">
        <v>599</v>
      </c>
      <c r="E1167">
        <v>166</v>
      </c>
      <c r="F1167" s="5">
        <v>43862</v>
      </c>
      <c r="G1167">
        <v>-599</v>
      </c>
      <c r="H1167" t="s">
        <v>57</v>
      </c>
    </row>
    <row r="1168" spans="1:8" x14ac:dyDescent="0.3">
      <c r="A1168">
        <v>105</v>
      </c>
      <c r="B1168" s="5">
        <v>43894</v>
      </c>
      <c r="C1168" t="s">
        <v>10</v>
      </c>
      <c r="D1168">
        <v>143</v>
      </c>
      <c r="E1168">
        <v>309</v>
      </c>
      <c r="F1168" s="5">
        <v>43891</v>
      </c>
      <c r="G1168">
        <v>143</v>
      </c>
      <c r="H1168" t="s">
        <v>57</v>
      </c>
    </row>
    <row r="1169" spans="1:8" x14ac:dyDescent="0.3">
      <c r="A1169">
        <v>105</v>
      </c>
      <c r="B1169" s="5">
        <v>43903</v>
      </c>
      <c r="C1169" t="s">
        <v>12</v>
      </c>
      <c r="D1169">
        <v>848</v>
      </c>
      <c r="E1169">
        <v>-539</v>
      </c>
      <c r="F1169" s="5">
        <v>43891</v>
      </c>
      <c r="G1169">
        <v>-848</v>
      </c>
      <c r="H1169" t="s">
        <v>58</v>
      </c>
    </row>
    <row r="1170" spans="1:8" x14ac:dyDescent="0.3">
      <c r="A1170">
        <v>105</v>
      </c>
      <c r="B1170" s="5">
        <v>43905</v>
      </c>
      <c r="C1170" t="s">
        <v>10</v>
      </c>
      <c r="D1170">
        <v>367</v>
      </c>
      <c r="E1170">
        <v>-172</v>
      </c>
      <c r="F1170" s="5">
        <v>43891</v>
      </c>
      <c r="G1170">
        <v>367</v>
      </c>
      <c r="H1170" t="s">
        <v>58</v>
      </c>
    </row>
    <row r="1171" spans="1:8" x14ac:dyDescent="0.3">
      <c r="A1171">
        <v>105</v>
      </c>
      <c r="B1171" s="5">
        <v>43914</v>
      </c>
      <c r="C1171" t="s">
        <v>12</v>
      </c>
      <c r="D1171">
        <v>119</v>
      </c>
      <c r="E1171">
        <v>-291</v>
      </c>
      <c r="F1171" s="5">
        <v>43891</v>
      </c>
      <c r="G1171">
        <v>-119</v>
      </c>
      <c r="H1171" t="s">
        <v>58</v>
      </c>
    </row>
    <row r="1172" spans="1:8" x14ac:dyDescent="0.3">
      <c r="A1172">
        <v>105</v>
      </c>
      <c r="B1172" s="5">
        <v>43915</v>
      </c>
      <c r="C1172" t="s">
        <v>11</v>
      </c>
      <c r="D1172">
        <v>329</v>
      </c>
      <c r="E1172">
        <v>-620</v>
      </c>
      <c r="F1172" s="5">
        <v>43891</v>
      </c>
      <c r="G1172">
        <v>-329</v>
      </c>
      <c r="H1172" t="s">
        <v>58</v>
      </c>
    </row>
    <row r="1173" spans="1:8" x14ac:dyDescent="0.3">
      <c r="A1173">
        <v>105</v>
      </c>
      <c r="B1173" s="5">
        <v>43920</v>
      </c>
      <c r="C1173" t="s">
        <v>10</v>
      </c>
      <c r="D1173">
        <v>647</v>
      </c>
      <c r="E1173">
        <v>27</v>
      </c>
      <c r="F1173" s="5">
        <v>43891</v>
      </c>
      <c r="G1173">
        <v>647</v>
      </c>
      <c r="H1173" t="s">
        <v>57</v>
      </c>
    </row>
    <row r="1174" spans="1:8" x14ac:dyDescent="0.3">
      <c r="A1174">
        <v>105</v>
      </c>
      <c r="B1174" s="5">
        <v>43922</v>
      </c>
      <c r="C1174" t="s">
        <v>11</v>
      </c>
      <c r="D1174">
        <v>213</v>
      </c>
      <c r="E1174">
        <v>-186</v>
      </c>
      <c r="F1174" s="5">
        <v>43922</v>
      </c>
      <c r="G1174">
        <v>-213</v>
      </c>
      <c r="H1174" t="s">
        <v>58</v>
      </c>
    </row>
    <row r="1175" spans="1:8" x14ac:dyDescent="0.3">
      <c r="A1175">
        <v>106</v>
      </c>
      <c r="B1175" s="5">
        <v>43854</v>
      </c>
      <c r="C1175" t="s">
        <v>10</v>
      </c>
      <c r="D1175">
        <v>456</v>
      </c>
      <c r="E1175">
        <v>456</v>
      </c>
      <c r="F1175" s="5">
        <v>43831</v>
      </c>
      <c r="G1175">
        <v>456</v>
      </c>
      <c r="H1175" t="s">
        <v>57</v>
      </c>
    </row>
    <row r="1176" spans="1:8" x14ac:dyDescent="0.3">
      <c r="A1176">
        <v>106</v>
      </c>
      <c r="B1176" s="5">
        <v>43858</v>
      </c>
      <c r="C1176" t="s">
        <v>12</v>
      </c>
      <c r="D1176">
        <v>261</v>
      </c>
      <c r="E1176">
        <v>195</v>
      </c>
      <c r="F1176" s="5">
        <v>43831</v>
      </c>
      <c r="G1176">
        <v>-261</v>
      </c>
      <c r="H1176" t="s">
        <v>57</v>
      </c>
    </row>
    <row r="1177" spans="1:8" x14ac:dyDescent="0.3">
      <c r="A1177">
        <v>106</v>
      </c>
      <c r="B1177" s="5">
        <v>43859</v>
      </c>
      <c r="C1177" t="s">
        <v>12</v>
      </c>
      <c r="D1177">
        <v>304</v>
      </c>
      <c r="E1177">
        <v>-109</v>
      </c>
      <c r="F1177" s="5">
        <v>43831</v>
      </c>
      <c r="G1177">
        <v>-304</v>
      </c>
      <c r="H1177" t="s">
        <v>58</v>
      </c>
    </row>
    <row r="1178" spans="1:8" x14ac:dyDescent="0.3">
      <c r="A1178">
        <v>106</v>
      </c>
      <c r="B1178" s="5">
        <v>43862</v>
      </c>
      <c r="C1178" t="s">
        <v>10</v>
      </c>
      <c r="D1178">
        <v>747</v>
      </c>
      <c r="E1178">
        <v>638</v>
      </c>
      <c r="F1178" s="5">
        <v>43862</v>
      </c>
      <c r="G1178">
        <v>747</v>
      </c>
      <c r="H1178" t="s">
        <v>57</v>
      </c>
    </row>
    <row r="1179" spans="1:8" x14ac:dyDescent="0.3">
      <c r="A1179">
        <v>106</v>
      </c>
      <c r="B1179" s="5">
        <v>43868</v>
      </c>
      <c r="C1179" t="s">
        <v>11</v>
      </c>
      <c r="D1179">
        <v>222</v>
      </c>
      <c r="E1179">
        <v>416</v>
      </c>
      <c r="F1179" s="5">
        <v>43862</v>
      </c>
      <c r="G1179">
        <v>-222</v>
      </c>
      <c r="H1179" t="s">
        <v>57</v>
      </c>
    </row>
    <row r="1180" spans="1:8" x14ac:dyDescent="0.3">
      <c r="A1180">
        <v>106</v>
      </c>
      <c r="B1180" s="5">
        <v>43870</v>
      </c>
      <c r="C1180" t="s">
        <v>10</v>
      </c>
      <c r="D1180">
        <v>976</v>
      </c>
      <c r="E1180">
        <v>1392</v>
      </c>
      <c r="F1180" s="5">
        <v>43862</v>
      </c>
      <c r="G1180">
        <v>976</v>
      </c>
      <c r="H1180" t="s">
        <v>57</v>
      </c>
    </row>
    <row r="1181" spans="1:8" x14ac:dyDescent="0.3">
      <c r="A1181">
        <v>106</v>
      </c>
      <c r="B1181" s="5">
        <v>43883</v>
      </c>
      <c r="C1181" t="s">
        <v>12</v>
      </c>
      <c r="D1181">
        <v>546</v>
      </c>
      <c r="E1181">
        <v>846</v>
      </c>
      <c r="F1181" s="5">
        <v>43862</v>
      </c>
      <c r="G1181">
        <v>-546</v>
      </c>
      <c r="H1181" t="s">
        <v>57</v>
      </c>
    </row>
    <row r="1182" spans="1:8" x14ac:dyDescent="0.3">
      <c r="A1182">
        <v>106</v>
      </c>
      <c r="B1182" s="5">
        <v>43892</v>
      </c>
      <c r="C1182" t="s">
        <v>12</v>
      </c>
      <c r="D1182">
        <v>443</v>
      </c>
      <c r="E1182">
        <v>403</v>
      </c>
      <c r="F1182" s="5">
        <v>43891</v>
      </c>
      <c r="G1182">
        <v>-443</v>
      </c>
      <c r="H1182" t="s">
        <v>57</v>
      </c>
    </row>
    <row r="1183" spans="1:8" x14ac:dyDescent="0.3">
      <c r="A1183">
        <v>106</v>
      </c>
      <c r="B1183" s="5">
        <v>43900</v>
      </c>
      <c r="C1183" t="s">
        <v>10</v>
      </c>
      <c r="D1183">
        <v>453</v>
      </c>
      <c r="E1183">
        <v>856</v>
      </c>
      <c r="F1183" s="5">
        <v>43891</v>
      </c>
      <c r="G1183">
        <v>453</v>
      </c>
      <c r="H1183" t="s">
        <v>57</v>
      </c>
    </row>
    <row r="1184" spans="1:8" x14ac:dyDescent="0.3">
      <c r="A1184">
        <v>106</v>
      </c>
      <c r="B1184" s="5">
        <v>43901</v>
      </c>
      <c r="C1184" t="s">
        <v>10</v>
      </c>
      <c r="D1184">
        <v>60</v>
      </c>
      <c r="E1184">
        <v>916</v>
      </c>
      <c r="F1184" s="5">
        <v>43891</v>
      </c>
      <c r="G1184">
        <v>60</v>
      </c>
      <c r="H1184" t="s">
        <v>57</v>
      </c>
    </row>
    <row r="1185" spans="1:8" x14ac:dyDescent="0.3">
      <c r="A1185">
        <v>106</v>
      </c>
      <c r="B1185" s="5">
        <v>43911</v>
      </c>
      <c r="C1185" t="s">
        <v>12</v>
      </c>
      <c r="D1185">
        <v>756</v>
      </c>
      <c r="E1185">
        <v>160</v>
      </c>
      <c r="F1185" s="5">
        <v>43891</v>
      </c>
      <c r="G1185">
        <v>-756</v>
      </c>
      <c r="H1185" t="s">
        <v>57</v>
      </c>
    </row>
    <row r="1186" spans="1:8" x14ac:dyDescent="0.3">
      <c r="A1186">
        <v>106</v>
      </c>
      <c r="B1186" s="5">
        <v>43919</v>
      </c>
      <c r="C1186" t="s">
        <v>11</v>
      </c>
      <c r="D1186">
        <v>271</v>
      </c>
      <c r="E1186">
        <v>-111</v>
      </c>
      <c r="F1186" s="5">
        <v>43891</v>
      </c>
      <c r="G1186">
        <v>-271</v>
      </c>
      <c r="H1186" t="s">
        <v>58</v>
      </c>
    </row>
    <row r="1187" spans="1:8" x14ac:dyDescent="0.3">
      <c r="A1187">
        <v>106</v>
      </c>
      <c r="B1187" s="5">
        <v>43938</v>
      </c>
      <c r="C1187" t="s">
        <v>11</v>
      </c>
      <c r="D1187">
        <v>728</v>
      </c>
      <c r="E1187">
        <v>-839</v>
      </c>
      <c r="F1187" s="5">
        <v>43922</v>
      </c>
      <c r="G1187">
        <v>-728</v>
      </c>
      <c r="H1187" t="s">
        <v>58</v>
      </c>
    </row>
    <row r="1188" spans="1:8" x14ac:dyDescent="0.3">
      <c r="A1188">
        <v>106</v>
      </c>
      <c r="B1188" s="5">
        <v>43940</v>
      </c>
      <c r="C1188" t="s">
        <v>11</v>
      </c>
      <c r="D1188">
        <v>623</v>
      </c>
      <c r="E1188">
        <v>-1462</v>
      </c>
      <c r="F1188" s="5">
        <v>43922</v>
      </c>
      <c r="G1188">
        <v>-623</v>
      </c>
      <c r="H1188" t="s">
        <v>58</v>
      </c>
    </row>
    <row r="1189" spans="1:8" x14ac:dyDescent="0.3">
      <c r="A1189">
        <v>107</v>
      </c>
      <c r="B1189" s="5">
        <v>43843</v>
      </c>
      <c r="C1189" t="s">
        <v>10</v>
      </c>
      <c r="D1189">
        <v>538</v>
      </c>
      <c r="E1189">
        <v>538</v>
      </c>
      <c r="F1189" s="5">
        <v>43831</v>
      </c>
      <c r="G1189">
        <v>538</v>
      </c>
      <c r="H1189" t="s">
        <v>57</v>
      </c>
    </row>
    <row r="1190" spans="1:8" x14ac:dyDescent="0.3">
      <c r="A1190">
        <v>107</v>
      </c>
      <c r="B1190" s="5">
        <v>43846</v>
      </c>
      <c r="C1190" t="s">
        <v>11</v>
      </c>
      <c r="D1190">
        <v>682</v>
      </c>
      <c r="E1190">
        <v>-144</v>
      </c>
      <c r="F1190" s="5">
        <v>43831</v>
      </c>
      <c r="G1190">
        <v>-682</v>
      </c>
      <c r="H1190" t="s">
        <v>58</v>
      </c>
    </row>
    <row r="1191" spans="1:8" x14ac:dyDescent="0.3">
      <c r="A1191">
        <v>107</v>
      </c>
      <c r="B1191" s="5">
        <v>43878</v>
      </c>
      <c r="C1191" t="s">
        <v>12</v>
      </c>
      <c r="D1191">
        <v>546</v>
      </c>
      <c r="E1191">
        <v>-690</v>
      </c>
      <c r="F1191" s="5">
        <v>43862</v>
      </c>
      <c r="G1191">
        <v>-546</v>
      </c>
      <c r="H1191" t="s">
        <v>58</v>
      </c>
    </row>
    <row r="1192" spans="1:8" x14ac:dyDescent="0.3">
      <c r="A1192">
        <v>108</v>
      </c>
      <c r="B1192" s="5">
        <v>43860</v>
      </c>
      <c r="C1192" t="s">
        <v>10</v>
      </c>
      <c r="D1192">
        <v>530</v>
      </c>
      <c r="E1192">
        <v>530</v>
      </c>
      <c r="F1192" s="5">
        <v>43831</v>
      </c>
      <c r="G1192">
        <v>530</v>
      </c>
      <c r="H1192" t="s">
        <v>57</v>
      </c>
    </row>
    <row r="1193" spans="1:8" x14ac:dyDescent="0.3">
      <c r="A1193">
        <v>108</v>
      </c>
      <c r="B1193" s="5">
        <v>43873</v>
      </c>
      <c r="C1193" t="s">
        <v>11</v>
      </c>
      <c r="D1193">
        <v>529</v>
      </c>
      <c r="E1193">
        <v>1</v>
      </c>
      <c r="F1193" s="5">
        <v>43862</v>
      </c>
      <c r="G1193">
        <v>-529</v>
      </c>
      <c r="H1193" t="s">
        <v>57</v>
      </c>
    </row>
    <row r="1194" spans="1:8" x14ac:dyDescent="0.3">
      <c r="A1194">
        <v>108</v>
      </c>
      <c r="B1194" s="5">
        <v>43888</v>
      </c>
      <c r="C1194" t="s">
        <v>10</v>
      </c>
      <c r="D1194">
        <v>737</v>
      </c>
      <c r="E1194">
        <v>738</v>
      </c>
      <c r="F1194" s="5">
        <v>43862</v>
      </c>
      <c r="G1194">
        <v>737</v>
      </c>
      <c r="H1194" t="s">
        <v>57</v>
      </c>
    </row>
    <row r="1195" spans="1:8" x14ac:dyDescent="0.3">
      <c r="A1195">
        <v>108</v>
      </c>
      <c r="B1195" s="5">
        <v>43916</v>
      </c>
      <c r="C1195" t="s">
        <v>10</v>
      </c>
      <c r="D1195">
        <v>808</v>
      </c>
      <c r="E1195">
        <v>1546</v>
      </c>
      <c r="F1195" s="5">
        <v>43891</v>
      </c>
      <c r="G1195">
        <v>808</v>
      </c>
      <c r="H1195" t="s">
        <v>57</v>
      </c>
    </row>
    <row r="1196" spans="1:8" x14ac:dyDescent="0.3">
      <c r="A1196">
        <v>108</v>
      </c>
      <c r="B1196" s="5">
        <v>43926</v>
      </c>
      <c r="C1196" t="s">
        <v>10</v>
      </c>
      <c r="D1196">
        <v>737</v>
      </c>
      <c r="E1196">
        <v>2283</v>
      </c>
      <c r="F1196" s="5">
        <v>43922</v>
      </c>
      <c r="G1196">
        <v>737</v>
      </c>
      <c r="H1196" t="s">
        <v>57</v>
      </c>
    </row>
    <row r="1197" spans="1:8" x14ac:dyDescent="0.3">
      <c r="A1197">
        <v>108</v>
      </c>
      <c r="B1197" s="5">
        <v>43926</v>
      </c>
      <c r="C1197" t="s">
        <v>11</v>
      </c>
      <c r="D1197">
        <v>335</v>
      </c>
      <c r="E1197">
        <v>1948</v>
      </c>
      <c r="F1197" s="5">
        <v>43922</v>
      </c>
      <c r="G1197">
        <v>-335</v>
      </c>
      <c r="H1197" t="s">
        <v>57</v>
      </c>
    </row>
    <row r="1198" spans="1:8" x14ac:dyDescent="0.3">
      <c r="A1198">
        <v>108</v>
      </c>
      <c r="B1198" s="5">
        <v>43929</v>
      </c>
      <c r="C1198" t="s">
        <v>11</v>
      </c>
      <c r="D1198">
        <v>163</v>
      </c>
      <c r="E1198">
        <v>1785</v>
      </c>
      <c r="F1198" s="5">
        <v>43922</v>
      </c>
      <c r="G1198">
        <v>-163</v>
      </c>
      <c r="H1198" t="s">
        <v>57</v>
      </c>
    </row>
    <row r="1199" spans="1:8" x14ac:dyDescent="0.3">
      <c r="A1199">
        <v>108</v>
      </c>
      <c r="B1199" s="5">
        <v>43939</v>
      </c>
      <c r="C1199" t="s">
        <v>12</v>
      </c>
      <c r="D1199">
        <v>279</v>
      </c>
      <c r="E1199">
        <v>1506</v>
      </c>
      <c r="F1199" s="5">
        <v>43922</v>
      </c>
      <c r="G1199">
        <v>-279</v>
      </c>
      <c r="H1199" t="s">
        <v>57</v>
      </c>
    </row>
    <row r="1200" spans="1:8" x14ac:dyDescent="0.3">
      <c r="A1200">
        <v>108</v>
      </c>
      <c r="B1200" s="5">
        <v>43939</v>
      </c>
      <c r="C1200" t="s">
        <v>10</v>
      </c>
      <c r="D1200">
        <v>990</v>
      </c>
      <c r="E1200">
        <v>2496</v>
      </c>
      <c r="F1200" s="5">
        <v>43922</v>
      </c>
      <c r="G1200">
        <v>990</v>
      </c>
      <c r="H1200" t="s">
        <v>57</v>
      </c>
    </row>
    <row r="1201" spans="1:8" x14ac:dyDescent="0.3">
      <c r="A1201">
        <v>108</v>
      </c>
      <c r="B1201" s="5">
        <v>43946</v>
      </c>
      <c r="C1201" t="s">
        <v>10</v>
      </c>
      <c r="D1201">
        <v>184</v>
      </c>
      <c r="E1201">
        <v>2680</v>
      </c>
      <c r="F1201" s="5">
        <v>43922</v>
      </c>
      <c r="G1201">
        <v>184</v>
      </c>
      <c r="H1201" t="s">
        <v>57</v>
      </c>
    </row>
    <row r="1202" spans="1:8" x14ac:dyDescent="0.3">
      <c r="A1202">
        <v>109</v>
      </c>
      <c r="B1202" s="5">
        <v>43831</v>
      </c>
      <c r="C1202" t="s">
        <v>10</v>
      </c>
      <c r="D1202">
        <v>429</v>
      </c>
      <c r="E1202">
        <v>429</v>
      </c>
      <c r="F1202" s="5">
        <v>43831</v>
      </c>
      <c r="G1202">
        <v>429</v>
      </c>
      <c r="H1202" t="s">
        <v>57</v>
      </c>
    </row>
    <row r="1203" spans="1:8" x14ac:dyDescent="0.3">
      <c r="A1203">
        <v>109</v>
      </c>
      <c r="B1203" s="5">
        <v>43864</v>
      </c>
      <c r="C1203" t="s">
        <v>10</v>
      </c>
      <c r="D1203">
        <v>767</v>
      </c>
      <c r="E1203">
        <v>1196</v>
      </c>
      <c r="F1203" s="5">
        <v>43862</v>
      </c>
      <c r="G1203">
        <v>767</v>
      </c>
      <c r="H1203" t="s">
        <v>57</v>
      </c>
    </row>
    <row r="1204" spans="1:8" x14ac:dyDescent="0.3">
      <c r="A1204">
        <v>109</v>
      </c>
      <c r="B1204" s="5">
        <v>43866</v>
      </c>
      <c r="C1204" t="s">
        <v>10</v>
      </c>
      <c r="D1204">
        <v>717</v>
      </c>
      <c r="E1204">
        <v>1913</v>
      </c>
      <c r="F1204" s="5">
        <v>43862</v>
      </c>
      <c r="G1204">
        <v>717</v>
      </c>
      <c r="H1204" t="s">
        <v>57</v>
      </c>
    </row>
    <row r="1205" spans="1:8" x14ac:dyDescent="0.3">
      <c r="A1205">
        <v>109</v>
      </c>
      <c r="B1205" s="5">
        <v>43869</v>
      </c>
      <c r="C1205" t="s">
        <v>10</v>
      </c>
      <c r="D1205">
        <v>578</v>
      </c>
      <c r="E1205">
        <v>2491</v>
      </c>
      <c r="F1205" s="5">
        <v>43862</v>
      </c>
      <c r="G1205">
        <v>578</v>
      </c>
      <c r="H1205" t="s">
        <v>57</v>
      </c>
    </row>
    <row r="1206" spans="1:8" x14ac:dyDescent="0.3">
      <c r="A1206">
        <v>110</v>
      </c>
      <c r="B1206" s="5">
        <v>43831</v>
      </c>
      <c r="C1206" t="s">
        <v>10</v>
      </c>
      <c r="D1206">
        <v>888</v>
      </c>
      <c r="E1206">
        <v>888</v>
      </c>
      <c r="F1206" s="5">
        <v>43831</v>
      </c>
      <c r="G1206">
        <v>888</v>
      </c>
      <c r="H1206" t="s">
        <v>57</v>
      </c>
    </row>
    <row r="1207" spans="1:8" x14ac:dyDescent="0.3">
      <c r="A1207">
        <v>110</v>
      </c>
      <c r="B1207" s="5">
        <v>43836</v>
      </c>
      <c r="C1207" t="s">
        <v>12</v>
      </c>
      <c r="D1207">
        <v>697</v>
      </c>
      <c r="E1207">
        <v>191</v>
      </c>
      <c r="F1207" s="5">
        <v>43831</v>
      </c>
      <c r="G1207">
        <v>-697</v>
      </c>
      <c r="H1207" t="s">
        <v>57</v>
      </c>
    </row>
    <row r="1208" spans="1:8" x14ac:dyDescent="0.3">
      <c r="A1208">
        <v>110</v>
      </c>
      <c r="B1208" s="5">
        <v>43837</v>
      </c>
      <c r="C1208" t="s">
        <v>12</v>
      </c>
      <c r="D1208">
        <v>905</v>
      </c>
      <c r="E1208">
        <v>-714</v>
      </c>
      <c r="F1208" s="5">
        <v>43831</v>
      </c>
      <c r="G1208">
        <v>-905</v>
      </c>
      <c r="H1208" t="s">
        <v>58</v>
      </c>
    </row>
    <row r="1209" spans="1:8" x14ac:dyDescent="0.3">
      <c r="A1209">
        <v>110</v>
      </c>
      <c r="B1209" s="5">
        <v>43839</v>
      </c>
      <c r="C1209" t="s">
        <v>10</v>
      </c>
      <c r="D1209">
        <v>241</v>
      </c>
      <c r="E1209">
        <v>-473</v>
      </c>
      <c r="F1209" s="5">
        <v>43831</v>
      </c>
      <c r="G1209">
        <v>241</v>
      </c>
      <c r="H1209" t="s">
        <v>58</v>
      </c>
    </row>
    <row r="1210" spans="1:8" x14ac:dyDescent="0.3">
      <c r="A1210">
        <v>110</v>
      </c>
      <c r="B1210" s="5">
        <v>43843</v>
      </c>
      <c r="C1210" t="s">
        <v>12</v>
      </c>
      <c r="D1210">
        <v>944</v>
      </c>
      <c r="E1210">
        <v>-1417</v>
      </c>
      <c r="F1210" s="5">
        <v>43831</v>
      </c>
      <c r="G1210">
        <v>-944</v>
      </c>
      <c r="H1210" t="s">
        <v>58</v>
      </c>
    </row>
    <row r="1211" spans="1:8" x14ac:dyDescent="0.3">
      <c r="A1211">
        <v>110</v>
      </c>
      <c r="B1211" s="5">
        <v>43844</v>
      </c>
      <c r="C1211" t="s">
        <v>10</v>
      </c>
      <c r="D1211">
        <v>485</v>
      </c>
      <c r="E1211">
        <v>-932</v>
      </c>
      <c r="F1211" s="5">
        <v>43831</v>
      </c>
      <c r="G1211">
        <v>485</v>
      </c>
      <c r="H1211" t="s">
        <v>58</v>
      </c>
    </row>
    <row r="1212" spans="1:8" x14ac:dyDescent="0.3">
      <c r="A1212">
        <v>110</v>
      </c>
      <c r="B1212" s="5">
        <v>43844</v>
      </c>
      <c r="C1212" t="s">
        <v>10</v>
      </c>
      <c r="D1212">
        <v>545</v>
      </c>
      <c r="E1212">
        <v>-387</v>
      </c>
      <c r="F1212" s="5">
        <v>43831</v>
      </c>
      <c r="G1212">
        <v>545</v>
      </c>
      <c r="H1212" t="s">
        <v>58</v>
      </c>
    </row>
    <row r="1213" spans="1:8" x14ac:dyDescent="0.3">
      <c r="A1213">
        <v>110</v>
      </c>
      <c r="B1213" s="5">
        <v>43848</v>
      </c>
      <c r="C1213" t="s">
        <v>10</v>
      </c>
      <c r="D1213">
        <v>709</v>
      </c>
      <c r="E1213">
        <v>322</v>
      </c>
      <c r="F1213" s="5">
        <v>43831</v>
      </c>
      <c r="G1213">
        <v>709</v>
      </c>
      <c r="H1213" t="s">
        <v>57</v>
      </c>
    </row>
    <row r="1214" spans="1:8" x14ac:dyDescent="0.3">
      <c r="A1214">
        <v>110</v>
      </c>
      <c r="B1214" s="5">
        <v>43848</v>
      </c>
      <c r="C1214" t="s">
        <v>10</v>
      </c>
      <c r="D1214">
        <v>480</v>
      </c>
      <c r="E1214">
        <v>802</v>
      </c>
      <c r="F1214" s="5">
        <v>43831</v>
      </c>
      <c r="G1214">
        <v>480</v>
      </c>
      <c r="H1214" t="s">
        <v>57</v>
      </c>
    </row>
    <row r="1215" spans="1:8" x14ac:dyDescent="0.3">
      <c r="A1215">
        <v>110</v>
      </c>
      <c r="B1215" s="5">
        <v>43849</v>
      </c>
      <c r="C1215" t="s">
        <v>11</v>
      </c>
      <c r="D1215">
        <v>85</v>
      </c>
      <c r="E1215">
        <v>717</v>
      </c>
      <c r="F1215" s="5">
        <v>43831</v>
      </c>
      <c r="G1215">
        <v>-85</v>
      </c>
      <c r="H1215" t="s">
        <v>57</v>
      </c>
    </row>
    <row r="1216" spans="1:8" x14ac:dyDescent="0.3">
      <c r="A1216">
        <v>110</v>
      </c>
      <c r="B1216" s="5">
        <v>43849</v>
      </c>
      <c r="C1216" t="s">
        <v>11</v>
      </c>
      <c r="D1216">
        <v>150</v>
      </c>
      <c r="E1216">
        <v>567</v>
      </c>
      <c r="F1216" s="5">
        <v>43831</v>
      </c>
      <c r="G1216">
        <v>-150</v>
      </c>
      <c r="H1216" t="s">
        <v>57</v>
      </c>
    </row>
    <row r="1217" spans="1:8" x14ac:dyDescent="0.3">
      <c r="A1217">
        <v>110</v>
      </c>
      <c r="B1217" s="5">
        <v>43851</v>
      </c>
      <c r="C1217" t="s">
        <v>10</v>
      </c>
      <c r="D1217">
        <v>705</v>
      </c>
      <c r="E1217">
        <v>1272</v>
      </c>
      <c r="F1217" s="5">
        <v>43831</v>
      </c>
      <c r="G1217">
        <v>705</v>
      </c>
      <c r="H1217" t="s">
        <v>57</v>
      </c>
    </row>
    <row r="1218" spans="1:8" x14ac:dyDescent="0.3">
      <c r="A1218">
        <v>110</v>
      </c>
      <c r="B1218" s="5">
        <v>43856</v>
      </c>
      <c r="C1218" t="s">
        <v>11</v>
      </c>
      <c r="D1218">
        <v>14</v>
      </c>
      <c r="E1218">
        <v>1258</v>
      </c>
      <c r="F1218" s="5">
        <v>43831</v>
      </c>
      <c r="G1218">
        <v>-14</v>
      </c>
      <c r="H1218" t="s">
        <v>57</v>
      </c>
    </row>
    <row r="1219" spans="1:8" x14ac:dyDescent="0.3">
      <c r="A1219">
        <v>110</v>
      </c>
      <c r="B1219" s="5">
        <v>43867</v>
      </c>
      <c r="C1219" t="s">
        <v>10</v>
      </c>
      <c r="D1219">
        <v>914</v>
      </c>
      <c r="E1219">
        <v>2172</v>
      </c>
      <c r="F1219" s="5">
        <v>43862</v>
      </c>
      <c r="G1219">
        <v>914</v>
      </c>
      <c r="H1219" t="s">
        <v>57</v>
      </c>
    </row>
    <row r="1220" spans="1:8" x14ac:dyDescent="0.3">
      <c r="A1220">
        <v>110</v>
      </c>
      <c r="B1220" s="5">
        <v>43872</v>
      </c>
      <c r="C1220" t="s">
        <v>12</v>
      </c>
      <c r="D1220">
        <v>974</v>
      </c>
      <c r="E1220">
        <v>1198</v>
      </c>
      <c r="F1220" s="5">
        <v>43862</v>
      </c>
      <c r="G1220">
        <v>-974</v>
      </c>
      <c r="H1220" t="s">
        <v>57</v>
      </c>
    </row>
    <row r="1221" spans="1:8" x14ac:dyDescent="0.3">
      <c r="A1221">
        <v>110</v>
      </c>
      <c r="B1221" s="5">
        <v>43893</v>
      </c>
      <c r="C1221" t="s">
        <v>10</v>
      </c>
      <c r="D1221">
        <v>417</v>
      </c>
      <c r="E1221">
        <v>1615</v>
      </c>
      <c r="F1221" s="5">
        <v>43891</v>
      </c>
      <c r="G1221">
        <v>417</v>
      </c>
      <c r="H1221" t="s">
        <v>57</v>
      </c>
    </row>
    <row r="1222" spans="1:8" x14ac:dyDescent="0.3">
      <c r="A1222">
        <v>110</v>
      </c>
      <c r="B1222" s="5">
        <v>43895</v>
      </c>
      <c r="C1222" t="s">
        <v>12</v>
      </c>
      <c r="D1222">
        <v>373</v>
      </c>
      <c r="E1222">
        <v>1242</v>
      </c>
      <c r="F1222" s="5">
        <v>43891</v>
      </c>
      <c r="G1222">
        <v>-373</v>
      </c>
      <c r="H1222" t="s">
        <v>57</v>
      </c>
    </row>
    <row r="1223" spans="1:8" x14ac:dyDescent="0.3">
      <c r="A1223">
        <v>110</v>
      </c>
      <c r="B1223" s="5">
        <v>43900</v>
      </c>
      <c r="C1223" t="s">
        <v>12</v>
      </c>
      <c r="D1223">
        <v>202</v>
      </c>
      <c r="E1223">
        <v>1040</v>
      </c>
      <c r="F1223" s="5">
        <v>43891</v>
      </c>
      <c r="G1223">
        <v>-202</v>
      </c>
      <c r="H1223" t="s">
        <v>57</v>
      </c>
    </row>
    <row r="1224" spans="1:8" x14ac:dyDescent="0.3">
      <c r="A1224">
        <v>110</v>
      </c>
      <c r="B1224" s="5">
        <v>43907</v>
      </c>
      <c r="C1224" t="s">
        <v>10</v>
      </c>
      <c r="D1224">
        <v>943</v>
      </c>
      <c r="E1224">
        <v>1983</v>
      </c>
      <c r="F1224" s="5">
        <v>43891</v>
      </c>
      <c r="G1224">
        <v>943</v>
      </c>
      <c r="H1224" t="s">
        <v>57</v>
      </c>
    </row>
    <row r="1225" spans="1:8" x14ac:dyDescent="0.3">
      <c r="A1225">
        <v>110</v>
      </c>
      <c r="B1225" s="5">
        <v>43919</v>
      </c>
      <c r="C1225" t="s">
        <v>10</v>
      </c>
      <c r="D1225">
        <v>250</v>
      </c>
      <c r="E1225">
        <v>2233</v>
      </c>
      <c r="F1225" s="5">
        <v>43891</v>
      </c>
      <c r="G1225">
        <v>250</v>
      </c>
      <c r="H1225" t="s">
        <v>57</v>
      </c>
    </row>
    <row r="1226" spans="1:8" x14ac:dyDescent="0.3">
      <c r="A1226">
        <v>111</v>
      </c>
      <c r="B1226" s="5">
        <v>43858</v>
      </c>
      <c r="C1226" t="s">
        <v>10</v>
      </c>
      <c r="D1226">
        <v>101</v>
      </c>
      <c r="E1226">
        <v>101</v>
      </c>
      <c r="F1226" s="5">
        <v>43831</v>
      </c>
      <c r="G1226">
        <v>101</v>
      </c>
      <c r="H1226" t="s">
        <v>57</v>
      </c>
    </row>
    <row r="1227" spans="1:8" x14ac:dyDescent="0.3">
      <c r="A1227">
        <v>111</v>
      </c>
      <c r="B1227" s="5">
        <v>43862</v>
      </c>
      <c r="C1227" t="s">
        <v>10</v>
      </c>
      <c r="D1227">
        <v>362</v>
      </c>
      <c r="E1227">
        <v>463</v>
      </c>
      <c r="F1227" s="5">
        <v>43862</v>
      </c>
      <c r="G1227">
        <v>362</v>
      </c>
      <c r="H1227" t="s">
        <v>57</v>
      </c>
    </row>
    <row r="1228" spans="1:8" x14ac:dyDescent="0.3">
      <c r="A1228">
        <v>111</v>
      </c>
      <c r="B1228" s="5">
        <v>43915</v>
      </c>
      <c r="C1228" t="s">
        <v>12</v>
      </c>
      <c r="D1228">
        <v>364</v>
      </c>
      <c r="E1228">
        <v>99</v>
      </c>
      <c r="F1228" s="5">
        <v>43891</v>
      </c>
      <c r="G1228">
        <v>-364</v>
      </c>
      <c r="H1228" t="s">
        <v>57</v>
      </c>
    </row>
    <row r="1229" spans="1:8" x14ac:dyDescent="0.3">
      <c r="A1229">
        <v>112</v>
      </c>
      <c r="B1229" s="5">
        <v>43838</v>
      </c>
      <c r="C1229" t="s">
        <v>10</v>
      </c>
      <c r="D1229">
        <v>945</v>
      </c>
      <c r="E1229">
        <v>945</v>
      </c>
      <c r="F1229" s="5">
        <v>43831</v>
      </c>
      <c r="G1229">
        <v>945</v>
      </c>
      <c r="H1229" t="s">
        <v>57</v>
      </c>
    </row>
    <row r="1230" spans="1:8" x14ac:dyDescent="0.3">
      <c r="A1230">
        <v>112</v>
      </c>
      <c r="B1230" s="5">
        <v>43870</v>
      </c>
      <c r="C1230" t="s">
        <v>10</v>
      </c>
      <c r="D1230">
        <v>707</v>
      </c>
      <c r="E1230">
        <v>1652</v>
      </c>
      <c r="F1230" s="5">
        <v>43862</v>
      </c>
      <c r="G1230">
        <v>707</v>
      </c>
      <c r="H1230" t="s">
        <v>57</v>
      </c>
    </row>
    <row r="1231" spans="1:8" x14ac:dyDescent="0.3">
      <c r="A1231">
        <v>112</v>
      </c>
      <c r="B1231" s="5">
        <v>43882</v>
      </c>
      <c r="C1231" t="s">
        <v>10</v>
      </c>
      <c r="D1231">
        <v>317</v>
      </c>
      <c r="E1231">
        <v>1969</v>
      </c>
      <c r="F1231" s="5">
        <v>43862</v>
      </c>
      <c r="G1231">
        <v>317</v>
      </c>
      <c r="H1231" t="s">
        <v>57</v>
      </c>
    </row>
    <row r="1232" spans="1:8" x14ac:dyDescent="0.3">
      <c r="A1232">
        <v>112</v>
      </c>
      <c r="B1232" s="5">
        <v>43890</v>
      </c>
      <c r="C1232" t="s">
        <v>12</v>
      </c>
      <c r="D1232">
        <v>122</v>
      </c>
      <c r="E1232">
        <v>1847</v>
      </c>
      <c r="F1232" s="5">
        <v>43862</v>
      </c>
      <c r="G1232">
        <v>-122</v>
      </c>
      <c r="H1232" t="s">
        <v>57</v>
      </c>
    </row>
    <row r="1233" spans="1:8" x14ac:dyDescent="0.3">
      <c r="A1233">
        <v>112</v>
      </c>
      <c r="B1233" s="5">
        <v>43890</v>
      </c>
      <c r="C1233" t="s">
        <v>12</v>
      </c>
      <c r="D1233">
        <v>954</v>
      </c>
      <c r="E1233">
        <v>893</v>
      </c>
      <c r="F1233" s="5">
        <v>43862</v>
      </c>
      <c r="G1233">
        <v>-954</v>
      </c>
      <c r="H1233" t="s">
        <v>57</v>
      </c>
    </row>
    <row r="1234" spans="1:8" x14ac:dyDescent="0.3">
      <c r="A1234">
        <v>112</v>
      </c>
      <c r="B1234" s="5">
        <v>43894</v>
      </c>
      <c r="C1234" t="s">
        <v>11</v>
      </c>
      <c r="D1234">
        <v>523</v>
      </c>
      <c r="E1234">
        <v>370</v>
      </c>
      <c r="F1234" s="5">
        <v>43891</v>
      </c>
      <c r="G1234">
        <v>-523</v>
      </c>
      <c r="H1234" t="s">
        <v>57</v>
      </c>
    </row>
    <row r="1235" spans="1:8" x14ac:dyDescent="0.3">
      <c r="A1235">
        <v>112</v>
      </c>
      <c r="B1235" s="5">
        <v>43908</v>
      </c>
      <c r="C1235" t="s">
        <v>11</v>
      </c>
      <c r="D1235">
        <v>322</v>
      </c>
      <c r="E1235">
        <v>48</v>
      </c>
      <c r="F1235" s="5">
        <v>43891</v>
      </c>
      <c r="G1235">
        <v>-322</v>
      </c>
      <c r="H1235" t="s">
        <v>57</v>
      </c>
    </row>
    <row r="1236" spans="1:8" x14ac:dyDescent="0.3">
      <c r="A1236">
        <v>112</v>
      </c>
      <c r="B1236" s="5">
        <v>43914</v>
      </c>
      <c r="C1236" t="s">
        <v>12</v>
      </c>
      <c r="D1236">
        <v>164</v>
      </c>
      <c r="E1236">
        <v>-116</v>
      </c>
      <c r="F1236" s="5">
        <v>43891</v>
      </c>
      <c r="G1236">
        <v>-164</v>
      </c>
      <c r="H1236" t="s">
        <v>58</v>
      </c>
    </row>
    <row r="1237" spans="1:8" x14ac:dyDescent="0.3">
      <c r="A1237">
        <v>113</v>
      </c>
      <c r="B1237" s="5">
        <v>43851</v>
      </c>
      <c r="C1237" t="s">
        <v>10</v>
      </c>
      <c r="D1237">
        <v>14</v>
      </c>
      <c r="E1237">
        <v>14</v>
      </c>
      <c r="F1237" s="5">
        <v>43831</v>
      </c>
      <c r="G1237">
        <v>14</v>
      </c>
      <c r="H1237" t="s">
        <v>57</v>
      </c>
    </row>
    <row r="1238" spans="1:8" x14ac:dyDescent="0.3">
      <c r="A1238">
        <v>113</v>
      </c>
      <c r="B1238" s="5">
        <v>43853</v>
      </c>
      <c r="C1238" t="s">
        <v>11</v>
      </c>
      <c r="D1238">
        <v>525</v>
      </c>
      <c r="E1238">
        <v>-511</v>
      </c>
      <c r="F1238" s="5">
        <v>43831</v>
      </c>
      <c r="G1238">
        <v>-525</v>
      </c>
      <c r="H1238" t="s">
        <v>58</v>
      </c>
    </row>
    <row r="1239" spans="1:8" x14ac:dyDescent="0.3">
      <c r="A1239">
        <v>113</v>
      </c>
      <c r="B1239" s="5">
        <v>43865</v>
      </c>
      <c r="C1239" t="s">
        <v>10</v>
      </c>
      <c r="D1239">
        <v>17</v>
      </c>
      <c r="E1239">
        <v>-494</v>
      </c>
      <c r="F1239" s="5">
        <v>43862</v>
      </c>
      <c r="G1239">
        <v>17</v>
      </c>
      <c r="H1239" t="s">
        <v>58</v>
      </c>
    </row>
    <row r="1240" spans="1:8" x14ac:dyDescent="0.3">
      <c r="A1240">
        <v>113</v>
      </c>
      <c r="B1240" s="5">
        <v>43867</v>
      </c>
      <c r="C1240" t="s">
        <v>12</v>
      </c>
      <c r="D1240">
        <v>245</v>
      </c>
      <c r="E1240">
        <v>-739</v>
      </c>
      <c r="F1240" s="5">
        <v>43862</v>
      </c>
      <c r="G1240">
        <v>-245</v>
      </c>
      <c r="H1240" t="s">
        <v>58</v>
      </c>
    </row>
    <row r="1241" spans="1:8" x14ac:dyDescent="0.3">
      <c r="A1241">
        <v>113</v>
      </c>
      <c r="B1241" s="5">
        <v>43882</v>
      </c>
      <c r="C1241" t="s">
        <v>10</v>
      </c>
      <c r="D1241">
        <v>753</v>
      </c>
      <c r="E1241">
        <v>14</v>
      </c>
      <c r="F1241" s="5">
        <v>43862</v>
      </c>
      <c r="G1241">
        <v>753</v>
      </c>
      <c r="H1241" t="s">
        <v>57</v>
      </c>
    </row>
    <row r="1242" spans="1:8" x14ac:dyDescent="0.3">
      <c r="A1242">
        <v>113</v>
      </c>
      <c r="B1242" s="5">
        <v>43884</v>
      </c>
      <c r="C1242" t="s">
        <v>10</v>
      </c>
      <c r="D1242">
        <v>48</v>
      </c>
      <c r="E1242">
        <v>62</v>
      </c>
      <c r="F1242" s="5">
        <v>43862</v>
      </c>
      <c r="G1242">
        <v>48</v>
      </c>
      <c r="H1242" t="s">
        <v>57</v>
      </c>
    </row>
    <row r="1243" spans="1:8" x14ac:dyDescent="0.3">
      <c r="A1243">
        <v>113</v>
      </c>
      <c r="B1243" s="5">
        <v>43900</v>
      </c>
      <c r="C1243" t="s">
        <v>12</v>
      </c>
      <c r="D1243">
        <v>544</v>
      </c>
      <c r="E1243">
        <v>-482</v>
      </c>
      <c r="F1243" s="5">
        <v>43891</v>
      </c>
      <c r="G1243">
        <v>-544</v>
      </c>
      <c r="H1243" t="s">
        <v>58</v>
      </c>
    </row>
    <row r="1244" spans="1:8" x14ac:dyDescent="0.3">
      <c r="A1244">
        <v>113</v>
      </c>
      <c r="B1244" s="5">
        <v>43901</v>
      </c>
      <c r="C1244" t="s">
        <v>11</v>
      </c>
      <c r="D1244">
        <v>21</v>
      </c>
      <c r="E1244">
        <v>-503</v>
      </c>
      <c r="F1244" s="5">
        <v>43891</v>
      </c>
      <c r="G1244">
        <v>-21</v>
      </c>
      <c r="H1244" t="s">
        <v>58</v>
      </c>
    </row>
    <row r="1245" spans="1:8" x14ac:dyDescent="0.3">
      <c r="A1245">
        <v>113</v>
      </c>
      <c r="B1245" s="5">
        <v>43903</v>
      </c>
      <c r="C1245" t="s">
        <v>12</v>
      </c>
      <c r="D1245">
        <v>468</v>
      </c>
      <c r="E1245">
        <v>-971</v>
      </c>
      <c r="F1245" s="5">
        <v>43891</v>
      </c>
      <c r="G1245">
        <v>-468</v>
      </c>
      <c r="H1245" t="s">
        <v>58</v>
      </c>
    </row>
    <row r="1246" spans="1:8" x14ac:dyDescent="0.3">
      <c r="A1246">
        <v>113</v>
      </c>
      <c r="B1246" s="5">
        <v>43913</v>
      </c>
      <c r="C1246" t="s">
        <v>10</v>
      </c>
      <c r="D1246">
        <v>203</v>
      </c>
      <c r="E1246">
        <v>-768</v>
      </c>
      <c r="F1246" s="5">
        <v>43891</v>
      </c>
      <c r="G1246">
        <v>203</v>
      </c>
      <c r="H1246" t="s">
        <v>58</v>
      </c>
    </row>
    <row r="1247" spans="1:8" x14ac:dyDescent="0.3">
      <c r="A1247">
        <v>113</v>
      </c>
      <c r="B1247" s="5">
        <v>43916</v>
      </c>
      <c r="C1247" t="s">
        <v>10</v>
      </c>
      <c r="D1247">
        <v>780</v>
      </c>
      <c r="E1247">
        <v>12</v>
      </c>
      <c r="F1247" s="5">
        <v>43891</v>
      </c>
      <c r="G1247">
        <v>780</v>
      </c>
      <c r="H1247" t="s">
        <v>57</v>
      </c>
    </row>
    <row r="1248" spans="1:8" x14ac:dyDescent="0.3">
      <c r="A1248">
        <v>113</v>
      </c>
      <c r="B1248" s="5">
        <v>43923</v>
      </c>
      <c r="C1248" t="s">
        <v>12</v>
      </c>
      <c r="D1248">
        <v>255</v>
      </c>
      <c r="E1248">
        <v>-243</v>
      </c>
      <c r="F1248" s="5">
        <v>43922</v>
      </c>
      <c r="G1248">
        <v>-255</v>
      </c>
      <c r="H1248" t="s">
        <v>58</v>
      </c>
    </row>
    <row r="1249" spans="1:8" x14ac:dyDescent="0.3">
      <c r="A1249">
        <v>113</v>
      </c>
      <c r="B1249" s="5">
        <v>43924</v>
      </c>
      <c r="C1249" t="s">
        <v>12</v>
      </c>
      <c r="D1249">
        <v>211</v>
      </c>
      <c r="E1249">
        <v>-454</v>
      </c>
      <c r="F1249" s="5">
        <v>43922</v>
      </c>
      <c r="G1249">
        <v>-211</v>
      </c>
      <c r="H1249" t="s">
        <v>58</v>
      </c>
    </row>
    <row r="1250" spans="1:8" x14ac:dyDescent="0.3">
      <c r="A1250">
        <v>113</v>
      </c>
      <c r="B1250" s="5">
        <v>43930</v>
      </c>
      <c r="C1250" t="s">
        <v>11</v>
      </c>
      <c r="D1250">
        <v>686</v>
      </c>
      <c r="E1250">
        <v>-1140</v>
      </c>
      <c r="F1250" s="5">
        <v>43922</v>
      </c>
      <c r="G1250">
        <v>-686</v>
      </c>
      <c r="H1250" t="s">
        <v>58</v>
      </c>
    </row>
    <row r="1251" spans="1:8" x14ac:dyDescent="0.3">
      <c r="A1251">
        <v>114</v>
      </c>
      <c r="B1251" s="5">
        <v>43849</v>
      </c>
      <c r="C1251" t="s">
        <v>10</v>
      </c>
      <c r="D1251">
        <v>743</v>
      </c>
      <c r="E1251">
        <v>743</v>
      </c>
      <c r="F1251" s="5">
        <v>43831</v>
      </c>
      <c r="G1251">
        <v>743</v>
      </c>
      <c r="H1251" t="s">
        <v>57</v>
      </c>
    </row>
    <row r="1252" spans="1:8" x14ac:dyDescent="0.3">
      <c r="A1252">
        <v>114</v>
      </c>
      <c r="B1252" s="5">
        <v>43918</v>
      </c>
      <c r="C1252" t="s">
        <v>11</v>
      </c>
      <c r="D1252">
        <v>574</v>
      </c>
      <c r="E1252">
        <v>169</v>
      </c>
      <c r="F1252" s="5">
        <v>43891</v>
      </c>
      <c r="G1252">
        <v>-574</v>
      </c>
      <c r="H1252" t="s">
        <v>57</v>
      </c>
    </row>
    <row r="1253" spans="1:8" x14ac:dyDescent="0.3">
      <c r="A1253">
        <v>114</v>
      </c>
      <c r="B1253" s="5">
        <v>43927</v>
      </c>
      <c r="C1253" t="s">
        <v>10</v>
      </c>
      <c r="D1253">
        <v>974</v>
      </c>
      <c r="E1253">
        <v>1143</v>
      </c>
      <c r="F1253" s="5">
        <v>43922</v>
      </c>
      <c r="G1253">
        <v>974</v>
      </c>
      <c r="H1253" t="s">
        <v>57</v>
      </c>
    </row>
    <row r="1254" spans="1:8" x14ac:dyDescent="0.3">
      <c r="A1254">
        <v>115</v>
      </c>
      <c r="B1254" s="5">
        <v>43859</v>
      </c>
      <c r="C1254" t="s">
        <v>10</v>
      </c>
      <c r="D1254">
        <v>144</v>
      </c>
      <c r="E1254">
        <v>144</v>
      </c>
      <c r="F1254" s="5">
        <v>43831</v>
      </c>
      <c r="G1254">
        <v>144</v>
      </c>
      <c r="H1254" t="s">
        <v>57</v>
      </c>
    </row>
    <row r="1255" spans="1:8" x14ac:dyDescent="0.3">
      <c r="A1255">
        <v>115</v>
      </c>
      <c r="B1255" s="5">
        <v>43862</v>
      </c>
      <c r="C1255" t="s">
        <v>11</v>
      </c>
      <c r="D1255">
        <v>400</v>
      </c>
      <c r="E1255">
        <v>-256</v>
      </c>
      <c r="F1255" s="5">
        <v>43862</v>
      </c>
      <c r="G1255">
        <v>-400</v>
      </c>
      <c r="H1255" t="s">
        <v>58</v>
      </c>
    </row>
    <row r="1256" spans="1:8" x14ac:dyDescent="0.3">
      <c r="A1256">
        <v>115</v>
      </c>
      <c r="B1256" s="5">
        <v>43869</v>
      </c>
      <c r="C1256" t="s">
        <v>12</v>
      </c>
      <c r="D1256">
        <v>196</v>
      </c>
      <c r="E1256">
        <v>-452</v>
      </c>
      <c r="F1256" s="5">
        <v>43862</v>
      </c>
      <c r="G1256">
        <v>-196</v>
      </c>
      <c r="H1256" t="s">
        <v>58</v>
      </c>
    </row>
    <row r="1257" spans="1:8" x14ac:dyDescent="0.3">
      <c r="A1257">
        <v>115</v>
      </c>
      <c r="B1257" s="5">
        <v>43886</v>
      </c>
      <c r="C1257" t="s">
        <v>11</v>
      </c>
      <c r="D1257">
        <v>393</v>
      </c>
      <c r="E1257">
        <v>-845</v>
      </c>
      <c r="F1257" s="5">
        <v>43862</v>
      </c>
      <c r="G1257">
        <v>-393</v>
      </c>
      <c r="H1257" t="s">
        <v>58</v>
      </c>
    </row>
    <row r="1258" spans="1:8" x14ac:dyDescent="0.3">
      <c r="A1258">
        <v>115</v>
      </c>
      <c r="B1258" s="5">
        <v>43893</v>
      </c>
      <c r="C1258" t="s">
        <v>10</v>
      </c>
      <c r="D1258">
        <v>747</v>
      </c>
      <c r="E1258">
        <v>-98</v>
      </c>
      <c r="F1258" s="5">
        <v>43891</v>
      </c>
      <c r="G1258">
        <v>747</v>
      </c>
      <c r="H1258" t="s">
        <v>58</v>
      </c>
    </row>
    <row r="1259" spans="1:8" x14ac:dyDescent="0.3">
      <c r="A1259">
        <v>115</v>
      </c>
      <c r="B1259" s="5">
        <v>43897</v>
      </c>
      <c r="C1259" t="s">
        <v>10</v>
      </c>
      <c r="D1259">
        <v>672</v>
      </c>
      <c r="E1259">
        <v>574</v>
      </c>
      <c r="F1259" s="5">
        <v>43891</v>
      </c>
      <c r="G1259">
        <v>672</v>
      </c>
      <c r="H1259" t="s">
        <v>57</v>
      </c>
    </row>
    <row r="1260" spans="1:8" x14ac:dyDescent="0.3">
      <c r="A1260">
        <v>115</v>
      </c>
      <c r="B1260" s="5">
        <v>43918</v>
      </c>
      <c r="C1260" t="s">
        <v>11</v>
      </c>
      <c r="D1260">
        <v>51</v>
      </c>
      <c r="E1260">
        <v>523</v>
      </c>
      <c r="F1260" s="5">
        <v>43891</v>
      </c>
      <c r="G1260">
        <v>-51</v>
      </c>
      <c r="H1260" t="s">
        <v>57</v>
      </c>
    </row>
    <row r="1261" spans="1:8" x14ac:dyDescent="0.3">
      <c r="A1261">
        <v>115</v>
      </c>
      <c r="B1261" s="5">
        <v>43920</v>
      </c>
      <c r="C1261" t="s">
        <v>10</v>
      </c>
      <c r="D1261">
        <v>361</v>
      </c>
      <c r="E1261">
        <v>884</v>
      </c>
      <c r="F1261" s="5">
        <v>43891</v>
      </c>
      <c r="G1261">
        <v>361</v>
      </c>
      <c r="H1261" t="s">
        <v>57</v>
      </c>
    </row>
    <row r="1262" spans="1:8" x14ac:dyDescent="0.3">
      <c r="A1262">
        <v>115</v>
      </c>
      <c r="B1262" s="5">
        <v>43927</v>
      </c>
      <c r="C1262" t="s">
        <v>12</v>
      </c>
      <c r="D1262">
        <v>945</v>
      </c>
      <c r="E1262">
        <v>-61</v>
      </c>
      <c r="F1262" s="5">
        <v>43922</v>
      </c>
      <c r="G1262">
        <v>-945</v>
      </c>
      <c r="H1262" t="s">
        <v>58</v>
      </c>
    </row>
    <row r="1263" spans="1:8" x14ac:dyDescent="0.3">
      <c r="A1263">
        <v>115</v>
      </c>
      <c r="B1263" s="5">
        <v>43927</v>
      </c>
      <c r="C1263" t="s">
        <v>10</v>
      </c>
      <c r="D1263">
        <v>20</v>
      </c>
      <c r="E1263">
        <v>-41</v>
      </c>
      <c r="F1263" s="5">
        <v>43922</v>
      </c>
      <c r="G1263">
        <v>20</v>
      </c>
      <c r="H1263" t="s">
        <v>58</v>
      </c>
    </row>
    <row r="1264" spans="1:8" x14ac:dyDescent="0.3">
      <c r="A1264">
        <v>116</v>
      </c>
      <c r="B1264" s="5">
        <v>43858</v>
      </c>
      <c r="C1264" t="s">
        <v>10</v>
      </c>
      <c r="D1264">
        <v>167</v>
      </c>
      <c r="E1264">
        <v>167</v>
      </c>
      <c r="F1264" s="5">
        <v>43831</v>
      </c>
      <c r="G1264">
        <v>167</v>
      </c>
      <c r="H1264" t="s">
        <v>57</v>
      </c>
    </row>
    <row r="1265" spans="1:8" x14ac:dyDescent="0.3">
      <c r="A1265">
        <v>116</v>
      </c>
      <c r="B1265" s="5">
        <v>43872</v>
      </c>
      <c r="C1265" t="s">
        <v>10</v>
      </c>
      <c r="D1265">
        <v>344</v>
      </c>
      <c r="E1265">
        <v>511</v>
      </c>
      <c r="F1265" s="5">
        <v>43862</v>
      </c>
      <c r="G1265">
        <v>344</v>
      </c>
      <c r="H1265" t="s">
        <v>57</v>
      </c>
    </row>
    <row r="1266" spans="1:8" x14ac:dyDescent="0.3">
      <c r="A1266">
        <v>116</v>
      </c>
      <c r="B1266" s="5">
        <v>43884</v>
      </c>
      <c r="C1266" t="s">
        <v>11</v>
      </c>
      <c r="D1266">
        <v>458</v>
      </c>
      <c r="E1266">
        <v>53</v>
      </c>
      <c r="F1266" s="5">
        <v>43862</v>
      </c>
      <c r="G1266">
        <v>-458</v>
      </c>
      <c r="H1266" t="s">
        <v>57</v>
      </c>
    </row>
    <row r="1267" spans="1:8" x14ac:dyDescent="0.3">
      <c r="A1267">
        <v>116</v>
      </c>
      <c r="B1267" s="5">
        <v>43910</v>
      </c>
      <c r="C1267" t="s">
        <v>10</v>
      </c>
      <c r="D1267">
        <v>490</v>
      </c>
      <c r="E1267">
        <v>543</v>
      </c>
      <c r="F1267" s="5">
        <v>43891</v>
      </c>
      <c r="G1267">
        <v>490</v>
      </c>
      <c r="H1267" t="s">
        <v>57</v>
      </c>
    </row>
    <row r="1268" spans="1:8" x14ac:dyDescent="0.3">
      <c r="A1268">
        <v>116</v>
      </c>
      <c r="B1268" s="5">
        <v>43938</v>
      </c>
      <c r="C1268" t="s">
        <v>11</v>
      </c>
      <c r="D1268">
        <v>213</v>
      </c>
      <c r="E1268">
        <v>330</v>
      </c>
      <c r="F1268" s="5">
        <v>43922</v>
      </c>
      <c r="G1268">
        <v>-213</v>
      </c>
      <c r="H1268" t="s">
        <v>57</v>
      </c>
    </row>
    <row r="1269" spans="1:8" x14ac:dyDescent="0.3">
      <c r="A1269">
        <v>117</v>
      </c>
      <c r="B1269" s="5">
        <v>43845</v>
      </c>
      <c r="C1269" t="s">
        <v>10</v>
      </c>
      <c r="D1269">
        <v>5</v>
      </c>
      <c r="E1269">
        <v>5</v>
      </c>
      <c r="F1269" s="5">
        <v>43831</v>
      </c>
      <c r="G1269">
        <v>5</v>
      </c>
      <c r="H1269" t="s">
        <v>57</v>
      </c>
    </row>
    <row r="1270" spans="1:8" x14ac:dyDescent="0.3">
      <c r="A1270">
        <v>117</v>
      </c>
      <c r="B1270" s="5">
        <v>43858</v>
      </c>
      <c r="C1270" t="s">
        <v>12</v>
      </c>
      <c r="D1270">
        <v>30</v>
      </c>
      <c r="E1270">
        <v>-25</v>
      </c>
      <c r="F1270" s="5">
        <v>43831</v>
      </c>
      <c r="G1270">
        <v>-30</v>
      </c>
      <c r="H1270" t="s">
        <v>58</v>
      </c>
    </row>
    <row r="1271" spans="1:8" x14ac:dyDescent="0.3">
      <c r="A1271">
        <v>117</v>
      </c>
      <c r="B1271" s="5">
        <v>43873</v>
      </c>
      <c r="C1271" t="s">
        <v>10</v>
      </c>
      <c r="D1271">
        <v>727</v>
      </c>
      <c r="E1271">
        <v>702</v>
      </c>
      <c r="F1271" s="5">
        <v>43862</v>
      </c>
      <c r="G1271">
        <v>727</v>
      </c>
      <c r="H1271" t="s">
        <v>57</v>
      </c>
    </row>
    <row r="1272" spans="1:8" x14ac:dyDescent="0.3">
      <c r="A1272">
        <v>117</v>
      </c>
      <c r="B1272" s="5">
        <v>43875</v>
      </c>
      <c r="C1272" t="s">
        <v>12</v>
      </c>
      <c r="D1272">
        <v>439</v>
      </c>
      <c r="E1272">
        <v>263</v>
      </c>
      <c r="F1272" s="5">
        <v>43862</v>
      </c>
      <c r="G1272">
        <v>-439</v>
      </c>
      <c r="H1272" t="s">
        <v>57</v>
      </c>
    </row>
    <row r="1273" spans="1:8" x14ac:dyDescent="0.3">
      <c r="A1273">
        <v>117</v>
      </c>
      <c r="B1273" s="5">
        <v>43886</v>
      </c>
      <c r="C1273" t="s">
        <v>11</v>
      </c>
      <c r="D1273">
        <v>479</v>
      </c>
      <c r="E1273">
        <v>-216</v>
      </c>
      <c r="F1273" s="5">
        <v>43862</v>
      </c>
      <c r="G1273">
        <v>-479</v>
      </c>
      <c r="H1273" t="s">
        <v>58</v>
      </c>
    </row>
    <row r="1274" spans="1:8" x14ac:dyDescent="0.3">
      <c r="A1274">
        <v>117</v>
      </c>
      <c r="B1274" s="5">
        <v>43903</v>
      </c>
      <c r="C1274" t="s">
        <v>10</v>
      </c>
      <c r="D1274">
        <v>430</v>
      </c>
      <c r="E1274">
        <v>214</v>
      </c>
      <c r="F1274" s="5">
        <v>43891</v>
      </c>
      <c r="G1274">
        <v>430</v>
      </c>
      <c r="H1274" t="s">
        <v>57</v>
      </c>
    </row>
    <row r="1275" spans="1:8" x14ac:dyDescent="0.3">
      <c r="A1275">
        <v>117</v>
      </c>
      <c r="B1275" s="5">
        <v>43910</v>
      </c>
      <c r="C1275" t="s">
        <v>12</v>
      </c>
      <c r="D1275">
        <v>920</v>
      </c>
      <c r="E1275">
        <v>-706</v>
      </c>
      <c r="F1275" s="5">
        <v>43891</v>
      </c>
      <c r="G1275">
        <v>-920</v>
      </c>
      <c r="H1275" t="s">
        <v>58</v>
      </c>
    </row>
    <row r="1276" spans="1:8" x14ac:dyDescent="0.3">
      <c r="A1276">
        <v>118</v>
      </c>
      <c r="B1276" s="5">
        <v>43833</v>
      </c>
      <c r="C1276" t="s">
        <v>10</v>
      </c>
      <c r="D1276">
        <v>683</v>
      </c>
      <c r="E1276">
        <v>683</v>
      </c>
      <c r="F1276" s="5">
        <v>43831</v>
      </c>
      <c r="G1276">
        <v>683</v>
      </c>
      <c r="H1276" t="s">
        <v>57</v>
      </c>
    </row>
    <row r="1277" spans="1:8" x14ac:dyDescent="0.3">
      <c r="A1277">
        <v>118</v>
      </c>
      <c r="B1277" s="5">
        <v>43834</v>
      </c>
      <c r="C1277" t="s">
        <v>11</v>
      </c>
      <c r="D1277">
        <v>389</v>
      </c>
      <c r="E1277">
        <v>294</v>
      </c>
      <c r="F1277" s="5">
        <v>43831</v>
      </c>
      <c r="G1277">
        <v>-389</v>
      </c>
      <c r="H1277" t="s">
        <v>57</v>
      </c>
    </row>
    <row r="1278" spans="1:8" x14ac:dyDescent="0.3">
      <c r="A1278">
        <v>118</v>
      </c>
      <c r="B1278" s="5">
        <v>43854</v>
      </c>
      <c r="C1278" t="s">
        <v>11</v>
      </c>
      <c r="D1278">
        <v>977</v>
      </c>
      <c r="E1278">
        <v>-683</v>
      </c>
      <c r="F1278" s="5">
        <v>43831</v>
      </c>
      <c r="G1278">
        <v>-977</v>
      </c>
      <c r="H1278" t="s">
        <v>58</v>
      </c>
    </row>
    <row r="1279" spans="1:8" x14ac:dyDescent="0.3">
      <c r="A1279">
        <v>118</v>
      </c>
      <c r="B1279" s="5">
        <v>43863</v>
      </c>
      <c r="C1279" t="s">
        <v>12</v>
      </c>
      <c r="D1279">
        <v>3</v>
      </c>
      <c r="E1279">
        <v>-686</v>
      </c>
      <c r="F1279" s="5">
        <v>43862</v>
      </c>
      <c r="G1279">
        <v>-3</v>
      </c>
      <c r="H1279" t="s">
        <v>58</v>
      </c>
    </row>
    <row r="1280" spans="1:8" x14ac:dyDescent="0.3">
      <c r="A1280">
        <v>118</v>
      </c>
      <c r="B1280" s="5">
        <v>43863</v>
      </c>
      <c r="C1280" t="s">
        <v>10</v>
      </c>
      <c r="D1280">
        <v>173</v>
      </c>
      <c r="E1280">
        <v>-513</v>
      </c>
      <c r="F1280" s="5">
        <v>43862</v>
      </c>
      <c r="G1280">
        <v>173</v>
      </c>
      <c r="H1280" t="s">
        <v>58</v>
      </c>
    </row>
    <row r="1281" spans="1:8" x14ac:dyDescent="0.3">
      <c r="A1281">
        <v>118</v>
      </c>
      <c r="B1281" s="5">
        <v>43901</v>
      </c>
      <c r="C1281" t="s">
        <v>11</v>
      </c>
      <c r="D1281">
        <v>795</v>
      </c>
      <c r="E1281">
        <v>-1308</v>
      </c>
      <c r="F1281" s="5">
        <v>43891</v>
      </c>
      <c r="G1281">
        <v>-795</v>
      </c>
      <c r="H1281" t="s">
        <v>58</v>
      </c>
    </row>
    <row r="1282" spans="1:8" x14ac:dyDescent="0.3">
      <c r="A1282">
        <v>118</v>
      </c>
      <c r="B1282" s="5">
        <v>43905</v>
      </c>
      <c r="C1282" t="s">
        <v>12</v>
      </c>
      <c r="D1282">
        <v>342</v>
      </c>
      <c r="E1282">
        <v>-1650</v>
      </c>
      <c r="F1282" s="5">
        <v>43891</v>
      </c>
      <c r="G1282">
        <v>-342</v>
      </c>
      <c r="H1282" t="s">
        <v>58</v>
      </c>
    </row>
    <row r="1283" spans="1:8" x14ac:dyDescent="0.3">
      <c r="A1283">
        <v>118</v>
      </c>
      <c r="B1283" s="5">
        <v>43920</v>
      </c>
      <c r="C1283" t="s">
        <v>10</v>
      </c>
      <c r="D1283">
        <v>223</v>
      </c>
      <c r="E1283">
        <v>-1427</v>
      </c>
      <c r="F1283" s="5">
        <v>43891</v>
      </c>
      <c r="G1283">
        <v>223</v>
      </c>
      <c r="H1283" t="s">
        <v>58</v>
      </c>
    </row>
    <row r="1284" spans="1:8" x14ac:dyDescent="0.3">
      <c r="A1284">
        <v>119</v>
      </c>
      <c r="B1284" s="5">
        <v>43847</v>
      </c>
      <c r="C1284" t="s">
        <v>10</v>
      </c>
      <c r="D1284">
        <v>62</v>
      </c>
      <c r="E1284">
        <v>62</v>
      </c>
      <c r="F1284" s="5">
        <v>43831</v>
      </c>
      <c r="G1284">
        <v>62</v>
      </c>
      <c r="H1284" t="s">
        <v>57</v>
      </c>
    </row>
    <row r="1285" spans="1:8" x14ac:dyDescent="0.3">
      <c r="A1285">
        <v>119</v>
      </c>
      <c r="B1285" s="5">
        <v>43899</v>
      </c>
      <c r="C1285" t="s">
        <v>12</v>
      </c>
      <c r="D1285">
        <v>969</v>
      </c>
      <c r="E1285">
        <v>-907</v>
      </c>
      <c r="F1285" s="5">
        <v>43891</v>
      </c>
      <c r="G1285">
        <v>-969</v>
      </c>
      <c r="H1285" t="s">
        <v>58</v>
      </c>
    </row>
    <row r="1286" spans="1:8" x14ac:dyDescent="0.3">
      <c r="A1286">
        <v>119</v>
      </c>
      <c r="B1286" s="5">
        <v>43931</v>
      </c>
      <c r="C1286" t="s">
        <v>10</v>
      </c>
      <c r="D1286">
        <v>417</v>
      </c>
      <c r="E1286">
        <v>-490</v>
      </c>
      <c r="F1286" s="5">
        <v>43922</v>
      </c>
      <c r="G1286">
        <v>417</v>
      </c>
      <c r="H1286" t="s">
        <v>58</v>
      </c>
    </row>
    <row r="1287" spans="1:8" x14ac:dyDescent="0.3">
      <c r="A1287">
        <v>120</v>
      </c>
      <c r="B1287" s="5">
        <v>43853</v>
      </c>
      <c r="C1287" t="s">
        <v>10</v>
      </c>
      <c r="D1287">
        <v>824</v>
      </c>
      <c r="E1287">
        <v>824</v>
      </c>
      <c r="F1287" s="5">
        <v>43831</v>
      </c>
      <c r="G1287">
        <v>824</v>
      </c>
      <c r="H1287" t="s">
        <v>57</v>
      </c>
    </row>
    <row r="1288" spans="1:8" x14ac:dyDescent="0.3">
      <c r="A1288">
        <v>120</v>
      </c>
      <c r="B1288" s="5">
        <v>43870</v>
      </c>
      <c r="C1288" t="s">
        <v>12</v>
      </c>
      <c r="D1288">
        <v>374</v>
      </c>
      <c r="E1288">
        <v>450</v>
      </c>
      <c r="F1288" s="5">
        <v>43862</v>
      </c>
      <c r="G1288">
        <v>-374</v>
      </c>
      <c r="H1288" t="s">
        <v>57</v>
      </c>
    </row>
    <row r="1289" spans="1:8" x14ac:dyDescent="0.3">
      <c r="A1289">
        <v>120</v>
      </c>
      <c r="B1289" s="5">
        <v>43871</v>
      </c>
      <c r="C1289" t="s">
        <v>10</v>
      </c>
      <c r="D1289">
        <v>313</v>
      </c>
      <c r="E1289">
        <v>763</v>
      </c>
      <c r="F1289" s="5">
        <v>43862</v>
      </c>
      <c r="G1289">
        <v>313</v>
      </c>
      <c r="H1289" t="s">
        <v>57</v>
      </c>
    </row>
    <row r="1290" spans="1:8" x14ac:dyDescent="0.3">
      <c r="A1290">
        <v>120</v>
      </c>
      <c r="B1290" s="5">
        <v>43872</v>
      </c>
      <c r="C1290" t="s">
        <v>10</v>
      </c>
      <c r="D1290">
        <v>664</v>
      </c>
      <c r="E1290">
        <v>1427</v>
      </c>
      <c r="F1290" s="5">
        <v>43862</v>
      </c>
      <c r="G1290">
        <v>664</v>
      </c>
      <c r="H1290" t="s">
        <v>57</v>
      </c>
    </row>
    <row r="1291" spans="1:8" x14ac:dyDescent="0.3">
      <c r="A1291">
        <v>120</v>
      </c>
      <c r="B1291" s="5">
        <v>43874</v>
      </c>
      <c r="C1291" t="s">
        <v>10</v>
      </c>
      <c r="D1291">
        <v>693</v>
      </c>
      <c r="E1291">
        <v>2120</v>
      </c>
      <c r="F1291" s="5">
        <v>43862</v>
      </c>
      <c r="G1291">
        <v>693</v>
      </c>
      <c r="H1291" t="s">
        <v>57</v>
      </c>
    </row>
    <row r="1292" spans="1:8" x14ac:dyDescent="0.3">
      <c r="A1292">
        <v>120</v>
      </c>
      <c r="B1292" s="5">
        <v>43878</v>
      </c>
      <c r="C1292" t="s">
        <v>11</v>
      </c>
      <c r="D1292">
        <v>654</v>
      </c>
      <c r="E1292">
        <v>1466</v>
      </c>
      <c r="F1292" s="5">
        <v>43862</v>
      </c>
      <c r="G1292">
        <v>-654</v>
      </c>
      <c r="H1292" t="s">
        <v>57</v>
      </c>
    </row>
    <row r="1293" spans="1:8" x14ac:dyDescent="0.3">
      <c r="A1293">
        <v>120</v>
      </c>
      <c r="B1293" s="5">
        <v>43881</v>
      </c>
      <c r="C1293" t="s">
        <v>10</v>
      </c>
      <c r="D1293">
        <v>402</v>
      </c>
      <c r="E1293">
        <v>1868</v>
      </c>
      <c r="F1293" s="5">
        <v>43862</v>
      </c>
      <c r="G1293">
        <v>402</v>
      </c>
      <c r="H1293" t="s">
        <v>57</v>
      </c>
    </row>
    <row r="1294" spans="1:8" x14ac:dyDescent="0.3">
      <c r="A1294">
        <v>120</v>
      </c>
      <c r="B1294" s="5">
        <v>43882</v>
      </c>
      <c r="C1294" t="s">
        <v>10</v>
      </c>
      <c r="D1294">
        <v>970</v>
      </c>
      <c r="E1294">
        <v>2838</v>
      </c>
      <c r="F1294" s="5">
        <v>43862</v>
      </c>
      <c r="G1294">
        <v>970</v>
      </c>
      <c r="H1294" t="s">
        <v>57</v>
      </c>
    </row>
    <row r="1295" spans="1:8" x14ac:dyDescent="0.3">
      <c r="A1295">
        <v>120</v>
      </c>
      <c r="B1295" s="5">
        <v>43883</v>
      </c>
      <c r="C1295" t="s">
        <v>11</v>
      </c>
      <c r="D1295">
        <v>343</v>
      </c>
      <c r="E1295">
        <v>2495</v>
      </c>
      <c r="F1295" s="5">
        <v>43862</v>
      </c>
      <c r="G1295">
        <v>-343</v>
      </c>
      <c r="H1295" t="s">
        <v>57</v>
      </c>
    </row>
    <row r="1296" spans="1:8" x14ac:dyDescent="0.3">
      <c r="A1296">
        <v>120</v>
      </c>
      <c r="B1296" s="5">
        <v>43889</v>
      </c>
      <c r="C1296" t="s">
        <v>12</v>
      </c>
      <c r="D1296">
        <v>582</v>
      </c>
      <c r="E1296">
        <v>1913</v>
      </c>
      <c r="F1296" s="5">
        <v>43862</v>
      </c>
      <c r="G1296">
        <v>-582</v>
      </c>
      <c r="H1296" t="s">
        <v>57</v>
      </c>
    </row>
    <row r="1297" spans="1:8" x14ac:dyDescent="0.3">
      <c r="A1297">
        <v>120</v>
      </c>
      <c r="B1297" s="5">
        <v>43891</v>
      </c>
      <c r="C1297" t="s">
        <v>11</v>
      </c>
      <c r="D1297">
        <v>879</v>
      </c>
      <c r="E1297">
        <v>1034</v>
      </c>
      <c r="F1297" s="5">
        <v>43891</v>
      </c>
      <c r="G1297">
        <v>-879</v>
      </c>
      <c r="H1297" t="s">
        <v>57</v>
      </c>
    </row>
    <row r="1298" spans="1:8" x14ac:dyDescent="0.3">
      <c r="A1298">
        <v>120</v>
      </c>
      <c r="B1298" s="5">
        <v>43893</v>
      </c>
      <c r="C1298" t="s">
        <v>12</v>
      </c>
      <c r="D1298">
        <v>418</v>
      </c>
      <c r="E1298">
        <v>616</v>
      </c>
      <c r="F1298" s="5">
        <v>43891</v>
      </c>
      <c r="G1298">
        <v>-418</v>
      </c>
      <c r="H1298" t="s">
        <v>57</v>
      </c>
    </row>
    <row r="1299" spans="1:8" x14ac:dyDescent="0.3">
      <c r="A1299">
        <v>120</v>
      </c>
      <c r="B1299" s="5">
        <v>43901</v>
      </c>
      <c r="C1299" t="s">
        <v>11</v>
      </c>
      <c r="D1299">
        <v>685</v>
      </c>
      <c r="E1299">
        <v>-69</v>
      </c>
      <c r="F1299" s="5">
        <v>43891</v>
      </c>
      <c r="G1299">
        <v>-685</v>
      </c>
      <c r="H1299" t="s">
        <v>58</v>
      </c>
    </row>
    <row r="1300" spans="1:8" x14ac:dyDescent="0.3">
      <c r="A1300">
        <v>120</v>
      </c>
      <c r="B1300" s="5">
        <v>43910</v>
      </c>
      <c r="C1300" t="s">
        <v>11</v>
      </c>
      <c r="D1300">
        <v>145</v>
      </c>
      <c r="E1300">
        <v>-214</v>
      </c>
      <c r="F1300" s="5">
        <v>43891</v>
      </c>
      <c r="G1300">
        <v>-145</v>
      </c>
      <c r="H1300" t="s">
        <v>58</v>
      </c>
    </row>
    <row r="1301" spans="1:8" x14ac:dyDescent="0.3">
      <c r="A1301">
        <v>120</v>
      </c>
      <c r="B1301" s="5">
        <v>43910</v>
      </c>
      <c r="C1301" t="s">
        <v>12</v>
      </c>
      <c r="D1301">
        <v>686</v>
      </c>
      <c r="E1301">
        <v>-900</v>
      </c>
      <c r="F1301" s="5">
        <v>43891</v>
      </c>
      <c r="G1301">
        <v>-686</v>
      </c>
      <c r="H1301" t="s">
        <v>58</v>
      </c>
    </row>
    <row r="1302" spans="1:8" x14ac:dyDescent="0.3">
      <c r="A1302">
        <v>120</v>
      </c>
      <c r="B1302" s="5">
        <v>43927</v>
      </c>
      <c r="C1302" t="s">
        <v>12</v>
      </c>
      <c r="D1302">
        <v>794</v>
      </c>
      <c r="E1302">
        <v>-1694</v>
      </c>
      <c r="F1302" s="5">
        <v>43922</v>
      </c>
      <c r="G1302">
        <v>-794</v>
      </c>
      <c r="H1302" t="s">
        <v>58</v>
      </c>
    </row>
    <row r="1303" spans="1:8" x14ac:dyDescent="0.3">
      <c r="A1303">
        <v>120</v>
      </c>
      <c r="B1303" s="5">
        <v>43942</v>
      </c>
      <c r="C1303" t="s">
        <v>10</v>
      </c>
      <c r="D1303">
        <v>229</v>
      </c>
      <c r="E1303">
        <v>-1465</v>
      </c>
      <c r="F1303" s="5">
        <v>43922</v>
      </c>
      <c r="G1303">
        <v>229</v>
      </c>
      <c r="H1303" t="s">
        <v>58</v>
      </c>
    </row>
    <row r="1304" spans="1:8" x14ac:dyDescent="0.3">
      <c r="A1304">
        <v>121</v>
      </c>
      <c r="B1304" s="5">
        <v>43831</v>
      </c>
      <c r="C1304" t="s">
        <v>10</v>
      </c>
      <c r="D1304">
        <v>335</v>
      </c>
      <c r="E1304">
        <v>335</v>
      </c>
      <c r="F1304" s="5">
        <v>43831</v>
      </c>
      <c r="G1304">
        <v>335</v>
      </c>
      <c r="H1304" t="s">
        <v>57</v>
      </c>
    </row>
    <row r="1305" spans="1:8" x14ac:dyDescent="0.3">
      <c r="A1305">
        <v>121</v>
      </c>
      <c r="B1305" s="5">
        <v>43850</v>
      </c>
      <c r="C1305" t="s">
        <v>10</v>
      </c>
      <c r="D1305">
        <v>19</v>
      </c>
      <c r="E1305">
        <v>354</v>
      </c>
      <c r="F1305" s="5">
        <v>43831</v>
      </c>
      <c r="G1305">
        <v>19</v>
      </c>
      <c r="H1305" t="s">
        <v>57</v>
      </c>
    </row>
    <row r="1306" spans="1:8" x14ac:dyDescent="0.3">
      <c r="A1306">
        <v>121</v>
      </c>
      <c r="B1306" s="5">
        <v>43852</v>
      </c>
      <c r="C1306" t="s">
        <v>10</v>
      </c>
      <c r="D1306">
        <v>864</v>
      </c>
      <c r="E1306">
        <v>1218</v>
      </c>
      <c r="F1306" s="5">
        <v>43831</v>
      </c>
      <c r="G1306">
        <v>864</v>
      </c>
      <c r="H1306" t="s">
        <v>57</v>
      </c>
    </row>
    <row r="1307" spans="1:8" x14ac:dyDescent="0.3">
      <c r="A1307">
        <v>121</v>
      </c>
      <c r="B1307" s="5">
        <v>43858</v>
      </c>
      <c r="C1307" t="s">
        <v>10</v>
      </c>
      <c r="D1307">
        <v>774</v>
      </c>
      <c r="E1307">
        <v>1992</v>
      </c>
      <c r="F1307" s="5">
        <v>43831</v>
      </c>
      <c r="G1307">
        <v>774</v>
      </c>
      <c r="H1307" t="s">
        <v>57</v>
      </c>
    </row>
    <row r="1308" spans="1:8" x14ac:dyDescent="0.3">
      <c r="A1308">
        <v>121</v>
      </c>
      <c r="B1308" s="5">
        <v>43865</v>
      </c>
      <c r="C1308" t="s">
        <v>10</v>
      </c>
      <c r="D1308">
        <v>328</v>
      </c>
      <c r="E1308">
        <v>2320</v>
      </c>
      <c r="F1308" s="5">
        <v>43862</v>
      </c>
      <c r="G1308">
        <v>328</v>
      </c>
      <c r="H1308" t="s">
        <v>57</v>
      </c>
    </row>
    <row r="1309" spans="1:8" x14ac:dyDescent="0.3">
      <c r="A1309">
        <v>121</v>
      </c>
      <c r="B1309" s="5">
        <v>43876</v>
      </c>
      <c r="C1309" t="s">
        <v>11</v>
      </c>
      <c r="D1309">
        <v>711</v>
      </c>
      <c r="E1309">
        <v>1609</v>
      </c>
      <c r="F1309" s="5">
        <v>43862</v>
      </c>
      <c r="G1309">
        <v>-711</v>
      </c>
      <c r="H1309" t="s">
        <v>57</v>
      </c>
    </row>
    <row r="1310" spans="1:8" x14ac:dyDescent="0.3">
      <c r="A1310">
        <v>121</v>
      </c>
      <c r="B1310" s="5">
        <v>43881</v>
      </c>
      <c r="C1310" t="s">
        <v>11</v>
      </c>
      <c r="D1310">
        <v>543</v>
      </c>
      <c r="E1310">
        <v>1066</v>
      </c>
      <c r="F1310" s="5">
        <v>43862</v>
      </c>
      <c r="G1310">
        <v>-543</v>
      </c>
      <c r="H1310" t="s">
        <v>57</v>
      </c>
    </row>
    <row r="1311" spans="1:8" x14ac:dyDescent="0.3">
      <c r="A1311">
        <v>121</v>
      </c>
      <c r="B1311" s="5">
        <v>43890</v>
      </c>
      <c r="C1311" t="s">
        <v>10</v>
      </c>
      <c r="D1311">
        <v>230</v>
      </c>
      <c r="E1311">
        <v>1296</v>
      </c>
      <c r="F1311" s="5">
        <v>43862</v>
      </c>
      <c r="G1311">
        <v>230</v>
      </c>
      <c r="H1311" t="s">
        <v>57</v>
      </c>
    </row>
    <row r="1312" spans="1:8" x14ac:dyDescent="0.3">
      <c r="A1312">
        <v>121</v>
      </c>
      <c r="B1312" s="5">
        <v>43896</v>
      </c>
      <c r="C1312" t="s">
        <v>12</v>
      </c>
      <c r="D1312">
        <v>869</v>
      </c>
      <c r="E1312">
        <v>427</v>
      </c>
      <c r="F1312" s="5">
        <v>43891</v>
      </c>
      <c r="G1312">
        <v>-869</v>
      </c>
      <c r="H1312" t="s">
        <v>57</v>
      </c>
    </row>
    <row r="1313" spans="1:8" x14ac:dyDescent="0.3">
      <c r="A1313">
        <v>121</v>
      </c>
      <c r="B1313" s="5">
        <v>43901</v>
      </c>
      <c r="C1313" t="s">
        <v>10</v>
      </c>
      <c r="D1313">
        <v>26</v>
      </c>
      <c r="E1313">
        <v>453</v>
      </c>
      <c r="F1313" s="5">
        <v>43891</v>
      </c>
      <c r="G1313">
        <v>26</v>
      </c>
      <c r="H1313" t="s">
        <v>57</v>
      </c>
    </row>
    <row r="1314" spans="1:8" x14ac:dyDescent="0.3">
      <c r="A1314">
        <v>121</v>
      </c>
      <c r="B1314" s="5">
        <v>43905</v>
      </c>
      <c r="C1314" t="s">
        <v>11</v>
      </c>
      <c r="D1314">
        <v>878</v>
      </c>
      <c r="E1314">
        <v>-425</v>
      </c>
      <c r="F1314" s="5">
        <v>43891</v>
      </c>
      <c r="G1314">
        <v>-878</v>
      </c>
      <c r="H1314" t="s">
        <v>58</v>
      </c>
    </row>
    <row r="1315" spans="1:8" x14ac:dyDescent="0.3">
      <c r="A1315">
        <v>122</v>
      </c>
      <c r="B1315" s="5">
        <v>43859</v>
      </c>
      <c r="C1315" t="s">
        <v>10</v>
      </c>
      <c r="D1315">
        <v>397</v>
      </c>
      <c r="E1315">
        <v>397</v>
      </c>
      <c r="F1315" s="5">
        <v>43831</v>
      </c>
      <c r="G1315">
        <v>397</v>
      </c>
      <c r="H1315" t="s">
        <v>57</v>
      </c>
    </row>
    <row r="1316" spans="1:8" x14ac:dyDescent="0.3">
      <c r="A1316">
        <v>122</v>
      </c>
      <c r="B1316" s="5">
        <v>43859</v>
      </c>
      <c r="C1316" t="s">
        <v>11</v>
      </c>
      <c r="D1316">
        <v>83</v>
      </c>
      <c r="E1316">
        <v>314</v>
      </c>
      <c r="F1316" s="5">
        <v>43831</v>
      </c>
      <c r="G1316">
        <v>-83</v>
      </c>
      <c r="H1316" t="s">
        <v>57</v>
      </c>
    </row>
    <row r="1317" spans="1:8" x14ac:dyDescent="0.3">
      <c r="A1317">
        <v>122</v>
      </c>
      <c r="B1317" s="5">
        <v>43866</v>
      </c>
      <c r="C1317" t="s">
        <v>11</v>
      </c>
      <c r="D1317">
        <v>150</v>
      </c>
      <c r="E1317">
        <v>164</v>
      </c>
      <c r="F1317" s="5">
        <v>43862</v>
      </c>
      <c r="G1317">
        <v>-150</v>
      </c>
      <c r="H1317" t="s">
        <v>57</v>
      </c>
    </row>
    <row r="1318" spans="1:8" x14ac:dyDescent="0.3">
      <c r="A1318">
        <v>122</v>
      </c>
      <c r="B1318" s="5">
        <v>43874</v>
      </c>
      <c r="C1318" t="s">
        <v>10</v>
      </c>
      <c r="D1318">
        <v>88</v>
      </c>
      <c r="E1318">
        <v>252</v>
      </c>
      <c r="F1318" s="5">
        <v>43862</v>
      </c>
      <c r="G1318">
        <v>88</v>
      </c>
      <c r="H1318" t="s">
        <v>57</v>
      </c>
    </row>
    <row r="1319" spans="1:8" x14ac:dyDescent="0.3">
      <c r="A1319">
        <v>122</v>
      </c>
      <c r="B1319" s="5">
        <v>43908</v>
      </c>
      <c r="C1319" t="s">
        <v>10</v>
      </c>
      <c r="D1319">
        <v>290</v>
      </c>
      <c r="E1319">
        <v>542</v>
      </c>
      <c r="F1319" s="5">
        <v>43891</v>
      </c>
      <c r="G1319">
        <v>290</v>
      </c>
      <c r="H1319" t="s">
        <v>57</v>
      </c>
    </row>
    <row r="1320" spans="1:8" x14ac:dyDescent="0.3">
      <c r="A1320">
        <v>122</v>
      </c>
      <c r="B1320" s="5">
        <v>43917</v>
      </c>
      <c r="C1320" t="s">
        <v>10</v>
      </c>
      <c r="D1320">
        <v>725</v>
      </c>
      <c r="E1320">
        <v>1267</v>
      </c>
      <c r="F1320" s="5">
        <v>43891</v>
      </c>
      <c r="G1320">
        <v>725</v>
      </c>
      <c r="H1320" t="s">
        <v>57</v>
      </c>
    </row>
    <row r="1321" spans="1:8" x14ac:dyDescent="0.3">
      <c r="A1321">
        <v>122</v>
      </c>
      <c r="B1321" s="5">
        <v>43918</v>
      </c>
      <c r="C1321" t="s">
        <v>10</v>
      </c>
      <c r="D1321">
        <v>80</v>
      </c>
      <c r="E1321">
        <v>1347</v>
      </c>
      <c r="F1321" s="5">
        <v>43891</v>
      </c>
      <c r="G1321">
        <v>80</v>
      </c>
      <c r="H1321" t="s">
        <v>57</v>
      </c>
    </row>
    <row r="1322" spans="1:8" x14ac:dyDescent="0.3">
      <c r="A1322">
        <v>122</v>
      </c>
      <c r="B1322" s="5">
        <v>43928</v>
      </c>
      <c r="C1322" t="s">
        <v>12</v>
      </c>
      <c r="D1322">
        <v>135</v>
      </c>
      <c r="E1322">
        <v>1212</v>
      </c>
      <c r="F1322" s="5">
        <v>43922</v>
      </c>
      <c r="G1322">
        <v>-135</v>
      </c>
      <c r="H1322" t="s">
        <v>57</v>
      </c>
    </row>
    <row r="1323" spans="1:8" x14ac:dyDescent="0.3">
      <c r="A1323">
        <v>122</v>
      </c>
      <c r="B1323" s="5">
        <v>43930</v>
      </c>
      <c r="C1323" t="s">
        <v>10</v>
      </c>
      <c r="D1323">
        <v>992</v>
      </c>
      <c r="E1323">
        <v>2204</v>
      </c>
      <c r="F1323" s="5">
        <v>43922</v>
      </c>
      <c r="G1323">
        <v>992</v>
      </c>
      <c r="H1323" t="s">
        <v>57</v>
      </c>
    </row>
    <row r="1324" spans="1:8" x14ac:dyDescent="0.3">
      <c r="A1324">
        <v>122</v>
      </c>
      <c r="B1324" s="5">
        <v>43932</v>
      </c>
      <c r="C1324" t="s">
        <v>12</v>
      </c>
      <c r="D1324">
        <v>678</v>
      </c>
      <c r="E1324">
        <v>1526</v>
      </c>
      <c r="F1324" s="5">
        <v>43922</v>
      </c>
      <c r="G1324">
        <v>-678</v>
      </c>
      <c r="H1324" t="s">
        <v>57</v>
      </c>
    </row>
    <row r="1325" spans="1:8" x14ac:dyDescent="0.3">
      <c r="A1325">
        <v>122</v>
      </c>
      <c r="B1325" s="5">
        <v>43933</v>
      </c>
      <c r="C1325" t="s">
        <v>10</v>
      </c>
      <c r="D1325">
        <v>7</v>
      </c>
      <c r="E1325">
        <v>1533</v>
      </c>
      <c r="F1325" s="5">
        <v>43922</v>
      </c>
      <c r="G1325">
        <v>7</v>
      </c>
      <c r="H1325" t="s">
        <v>57</v>
      </c>
    </row>
    <row r="1326" spans="1:8" x14ac:dyDescent="0.3">
      <c r="A1326">
        <v>122</v>
      </c>
      <c r="B1326" s="5">
        <v>43941</v>
      </c>
      <c r="C1326" t="s">
        <v>10</v>
      </c>
      <c r="D1326">
        <v>51</v>
      </c>
      <c r="E1326">
        <v>1584</v>
      </c>
      <c r="F1326" s="5">
        <v>43922</v>
      </c>
      <c r="G1326">
        <v>51</v>
      </c>
      <c r="H1326" t="s">
        <v>57</v>
      </c>
    </row>
    <row r="1327" spans="1:8" x14ac:dyDescent="0.3">
      <c r="A1327">
        <v>122</v>
      </c>
      <c r="B1327" s="5">
        <v>43944</v>
      </c>
      <c r="C1327" t="s">
        <v>12</v>
      </c>
      <c r="D1327">
        <v>283</v>
      </c>
      <c r="E1327">
        <v>1301</v>
      </c>
      <c r="F1327" s="5">
        <v>43922</v>
      </c>
      <c r="G1327">
        <v>-283</v>
      </c>
      <c r="H1327" t="s">
        <v>57</v>
      </c>
    </row>
    <row r="1328" spans="1:8" x14ac:dyDescent="0.3">
      <c r="A1328">
        <v>122</v>
      </c>
      <c r="B1328" s="5">
        <v>43945</v>
      </c>
      <c r="C1328" t="s">
        <v>11</v>
      </c>
      <c r="D1328">
        <v>235</v>
      </c>
      <c r="E1328">
        <v>1066</v>
      </c>
      <c r="F1328" s="5">
        <v>43922</v>
      </c>
      <c r="G1328">
        <v>-235</v>
      </c>
      <c r="H1328" t="s">
        <v>57</v>
      </c>
    </row>
    <row r="1329" spans="1:8" x14ac:dyDescent="0.3">
      <c r="A1329">
        <v>123</v>
      </c>
      <c r="B1329" s="5">
        <v>43846</v>
      </c>
      <c r="C1329" t="s">
        <v>10</v>
      </c>
      <c r="D1329">
        <v>423</v>
      </c>
      <c r="E1329">
        <v>423</v>
      </c>
      <c r="F1329" s="5">
        <v>43831</v>
      </c>
      <c r="G1329">
        <v>423</v>
      </c>
      <c r="H1329" t="s">
        <v>57</v>
      </c>
    </row>
    <row r="1330" spans="1:8" x14ac:dyDescent="0.3">
      <c r="A1330">
        <v>123</v>
      </c>
      <c r="B1330" s="5">
        <v>43855</v>
      </c>
      <c r="C1330" t="s">
        <v>12</v>
      </c>
      <c r="D1330">
        <v>310</v>
      </c>
      <c r="E1330">
        <v>113</v>
      </c>
      <c r="F1330" s="5">
        <v>43831</v>
      </c>
      <c r="G1330">
        <v>-310</v>
      </c>
      <c r="H1330" t="s">
        <v>57</v>
      </c>
    </row>
    <row r="1331" spans="1:8" x14ac:dyDescent="0.3">
      <c r="A1331">
        <v>123</v>
      </c>
      <c r="B1331" s="5">
        <v>43856</v>
      </c>
      <c r="C1331" t="s">
        <v>11</v>
      </c>
      <c r="D1331">
        <v>830</v>
      </c>
      <c r="E1331">
        <v>-717</v>
      </c>
      <c r="F1331" s="5">
        <v>43831</v>
      </c>
      <c r="G1331">
        <v>-830</v>
      </c>
      <c r="H1331" t="s">
        <v>58</v>
      </c>
    </row>
    <row r="1332" spans="1:8" x14ac:dyDescent="0.3">
      <c r="A1332">
        <v>123</v>
      </c>
      <c r="B1332" s="5">
        <v>43870</v>
      </c>
      <c r="C1332" t="s">
        <v>11</v>
      </c>
      <c r="D1332">
        <v>600</v>
      </c>
      <c r="E1332">
        <v>-1317</v>
      </c>
      <c r="F1332" s="5">
        <v>43862</v>
      </c>
      <c r="G1332">
        <v>-600</v>
      </c>
      <c r="H1332" t="s">
        <v>58</v>
      </c>
    </row>
    <row r="1333" spans="1:8" x14ac:dyDescent="0.3">
      <c r="A1333">
        <v>123</v>
      </c>
      <c r="B1333" s="5">
        <v>43880</v>
      </c>
      <c r="C1333" t="s">
        <v>12</v>
      </c>
      <c r="D1333">
        <v>960</v>
      </c>
      <c r="E1333">
        <v>-2277</v>
      </c>
      <c r="F1333" s="5">
        <v>43862</v>
      </c>
      <c r="G1333">
        <v>-960</v>
      </c>
      <c r="H1333" t="s">
        <v>58</v>
      </c>
    </row>
    <row r="1334" spans="1:8" x14ac:dyDescent="0.3">
      <c r="A1334">
        <v>123</v>
      </c>
      <c r="B1334" s="5">
        <v>43897</v>
      </c>
      <c r="C1334" t="s">
        <v>11</v>
      </c>
      <c r="D1334">
        <v>386</v>
      </c>
      <c r="E1334">
        <v>-2663</v>
      </c>
      <c r="F1334" s="5">
        <v>43891</v>
      </c>
      <c r="G1334">
        <v>-386</v>
      </c>
      <c r="H1334" t="s">
        <v>58</v>
      </c>
    </row>
    <row r="1335" spans="1:8" x14ac:dyDescent="0.3">
      <c r="A1335">
        <v>123</v>
      </c>
      <c r="B1335" s="5">
        <v>43918</v>
      </c>
      <c r="C1335" t="s">
        <v>10</v>
      </c>
      <c r="D1335">
        <v>352</v>
      </c>
      <c r="E1335">
        <v>-2311</v>
      </c>
      <c r="F1335" s="5">
        <v>43891</v>
      </c>
      <c r="G1335">
        <v>352</v>
      </c>
      <c r="H1335" t="s">
        <v>58</v>
      </c>
    </row>
    <row r="1336" spans="1:8" x14ac:dyDescent="0.3">
      <c r="A1336">
        <v>123</v>
      </c>
      <c r="B1336" s="5">
        <v>43919</v>
      </c>
      <c r="C1336" t="s">
        <v>10</v>
      </c>
      <c r="D1336">
        <v>727</v>
      </c>
      <c r="E1336">
        <v>-1584</v>
      </c>
      <c r="F1336" s="5">
        <v>43891</v>
      </c>
      <c r="G1336">
        <v>727</v>
      </c>
      <c r="H1336" t="s">
        <v>58</v>
      </c>
    </row>
    <row r="1337" spans="1:8" x14ac:dyDescent="0.3">
      <c r="A1337">
        <v>123</v>
      </c>
      <c r="B1337" s="5">
        <v>43924</v>
      </c>
      <c r="C1337" t="s">
        <v>10</v>
      </c>
      <c r="D1337">
        <v>540</v>
      </c>
      <c r="E1337">
        <v>-1044</v>
      </c>
      <c r="F1337" s="5">
        <v>43922</v>
      </c>
      <c r="G1337">
        <v>540</v>
      </c>
      <c r="H1337" t="s">
        <v>58</v>
      </c>
    </row>
    <row r="1338" spans="1:8" x14ac:dyDescent="0.3">
      <c r="A1338">
        <v>123</v>
      </c>
      <c r="B1338" s="5">
        <v>43925</v>
      </c>
      <c r="C1338" t="s">
        <v>12</v>
      </c>
      <c r="D1338">
        <v>362</v>
      </c>
      <c r="E1338">
        <v>-1406</v>
      </c>
      <c r="F1338" s="5">
        <v>43922</v>
      </c>
      <c r="G1338">
        <v>-362</v>
      </c>
      <c r="H1338" t="s">
        <v>58</v>
      </c>
    </row>
    <row r="1339" spans="1:8" x14ac:dyDescent="0.3">
      <c r="A1339">
        <v>123</v>
      </c>
      <c r="B1339" s="5">
        <v>43926</v>
      </c>
      <c r="C1339" t="s">
        <v>10</v>
      </c>
      <c r="D1339">
        <v>688</v>
      </c>
      <c r="E1339">
        <v>-718</v>
      </c>
      <c r="F1339" s="5">
        <v>43922</v>
      </c>
      <c r="G1339">
        <v>688</v>
      </c>
      <c r="H1339" t="s">
        <v>58</v>
      </c>
    </row>
    <row r="1340" spans="1:8" x14ac:dyDescent="0.3">
      <c r="A1340">
        <v>123</v>
      </c>
      <c r="B1340" s="5">
        <v>43927</v>
      </c>
      <c r="C1340" t="s">
        <v>11</v>
      </c>
      <c r="D1340">
        <v>947</v>
      </c>
      <c r="E1340">
        <v>-1665</v>
      </c>
      <c r="F1340" s="5">
        <v>43922</v>
      </c>
      <c r="G1340">
        <v>-947</v>
      </c>
      <c r="H1340" t="s">
        <v>58</v>
      </c>
    </row>
    <row r="1341" spans="1:8" x14ac:dyDescent="0.3">
      <c r="A1341">
        <v>123</v>
      </c>
      <c r="B1341" s="5">
        <v>43928</v>
      </c>
      <c r="C1341" t="s">
        <v>11</v>
      </c>
      <c r="D1341">
        <v>463</v>
      </c>
      <c r="E1341">
        <v>-2128</v>
      </c>
      <c r="F1341" s="5">
        <v>43922</v>
      </c>
      <c r="G1341">
        <v>-463</v>
      </c>
      <c r="H1341" t="s">
        <v>58</v>
      </c>
    </row>
    <row r="1342" spans="1:8" x14ac:dyDescent="0.3">
      <c r="A1342">
        <v>124</v>
      </c>
      <c r="B1342" s="5">
        <v>43831</v>
      </c>
      <c r="C1342" t="s">
        <v>10</v>
      </c>
      <c r="D1342">
        <v>159</v>
      </c>
      <c r="E1342">
        <v>159</v>
      </c>
      <c r="F1342" s="5">
        <v>43831</v>
      </c>
      <c r="G1342">
        <v>159</v>
      </c>
      <c r="H1342" t="s">
        <v>57</v>
      </c>
    </row>
    <row r="1343" spans="1:8" x14ac:dyDescent="0.3">
      <c r="A1343">
        <v>124</v>
      </c>
      <c r="B1343" s="5">
        <v>43841</v>
      </c>
      <c r="C1343" t="s">
        <v>12</v>
      </c>
      <c r="D1343">
        <v>37</v>
      </c>
      <c r="E1343">
        <v>122</v>
      </c>
      <c r="F1343" s="5">
        <v>43831</v>
      </c>
      <c r="G1343">
        <v>-37</v>
      </c>
      <c r="H1343" t="s">
        <v>57</v>
      </c>
    </row>
    <row r="1344" spans="1:8" x14ac:dyDescent="0.3">
      <c r="A1344">
        <v>124</v>
      </c>
      <c r="B1344" s="5">
        <v>43844</v>
      </c>
      <c r="C1344" t="s">
        <v>10</v>
      </c>
      <c r="D1344">
        <v>564</v>
      </c>
      <c r="E1344">
        <v>686</v>
      </c>
      <c r="F1344" s="5">
        <v>43831</v>
      </c>
      <c r="G1344">
        <v>564</v>
      </c>
      <c r="H1344" t="s">
        <v>57</v>
      </c>
    </row>
    <row r="1345" spans="1:8" x14ac:dyDescent="0.3">
      <c r="A1345">
        <v>124</v>
      </c>
      <c r="B1345" s="5">
        <v>43844</v>
      </c>
      <c r="C1345" t="s">
        <v>10</v>
      </c>
      <c r="D1345">
        <v>579</v>
      </c>
      <c r="E1345">
        <v>1265</v>
      </c>
      <c r="F1345" s="5">
        <v>43831</v>
      </c>
      <c r="G1345">
        <v>579</v>
      </c>
      <c r="H1345" t="s">
        <v>57</v>
      </c>
    </row>
    <row r="1346" spans="1:8" x14ac:dyDescent="0.3">
      <c r="A1346">
        <v>124</v>
      </c>
      <c r="B1346" s="5">
        <v>43846</v>
      </c>
      <c r="C1346" t="s">
        <v>12</v>
      </c>
      <c r="D1346">
        <v>249</v>
      </c>
      <c r="E1346">
        <v>1016</v>
      </c>
      <c r="F1346" s="5">
        <v>43831</v>
      </c>
      <c r="G1346">
        <v>-249</v>
      </c>
      <c r="H1346" t="s">
        <v>57</v>
      </c>
    </row>
    <row r="1347" spans="1:8" x14ac:dyDescent="0.3">
      <c r="A1347">
        <v>124</v>
      </c>
      <c r="B1347" s="5">
        <v>43849</v>
      </c>
      <c r="C1347" t="s">
        <v>12</v>
      </c>
      <c r="D1347">
        <v>285</v>
      </c>
      <c r="E1347">
        <v>731</v>
      </c>
      <c r="F1347" s="5">
        <v>43831</v>
      </c>
      <c r="G1347">
        <v>-285</v>
      </c>
      <c r="H1347" t="s">
        <v>57</v>
      </c>
    </row>
    <row r="1348" spans="1:8" x14ac:dyDescent="0.3">
      <c r="A1348">
        <v>124</v>
      </c>
      <c r="B1348" s="5">
        <v>43864</v>
      </c>
      <c r="C1348" t="s">
        <v>12</v>
      </c>
      <c r="D1348">
        <v>427</v>
      </c>
      <c r="E1348">
        <v>304</v>
      </c>
      <c r="F1348" s="5">
        <v>43862</v>
      </c>
      <c r="G1348">
        <v>-427</v>
      </c>
      <c r="H1348" t="s">
        <v>57</v>
      </c>
    </row>
    <row r="1349" spans="1:8" x14ac:dyDescent="0.3">
      <c r="A1349">
        <v>124</v>
      </c>
      <c r="B1349" s="5">
        <v>43868</v>
      </c>
      <c r="C1349" t="s">
        <v>10</v>
      </c>
      <c r="D1349">
        <v>710</v>
      </c>
      <c r="E1349">
        <v>1014</v>
      </c>
      <c r="F1349" s="5">
        <v>43862</v>
      </c>
      <c r="G1349">
        <v>710</v>
      </c>
      <c r="H1349" t="s">
        <v>57</v>
      </c>
    </row>
    <row r="1350" spans="1:8" x14ac:dyDescent="0.3">
      <c r="A1350">
        <v>124</v>
      </c>
      <c r="B1350" s="5">
        <v>43870</v>
      </c>
      <c r="C1350" t="s">
        <v>10</v>
      </c>
      <c r="D1350">
        <v>162</v>
      </c>
      <c r="E1350">
        <v>1176</v>
      </c>
      <c r="F1350" s="5">
        <v>43862</v>
      </c>
      <c r="G1350">
        <v>162</v>
      </c>
      <c r="H1350" t="s">
        <v>57</v>
      </c>
    </row>
    <row r="1351" spans="1:8" x14ac:dyDescent="0.3">
      <c r="A1351">
        <v>124</v>
      </c>
      <c r="B1351" s="5">
        <v>43872</v>
      </c>
      <c r="C1351" t="s">
        <v>10</v>
      </c>
      <c r="D1351">
        <v>273</v>
      </c>
      <c r="E1351">
        <v>1449</v>
      </c>
      <c r="F1351" s="5">
        <v>43862</v>
      </c>
      <c r="G1351">
        <v>273</v>
      </c>
      <c r="H1351" t="s">
        <v>57</v>
      </c>
    </row>
    <row r="1352" spans="1:8" x14ac:dyDescent="0.3">
      <c r="A1352">
        <v>124</v>
      </c>
      <c r="B1352" s="5">
        <v>43887</v>
      </c>
      <c r="C1352" t="s">
        <v>10</v>
      </c>
      <c r="D1352">
        <v>429</v>
      </c>
      <c r="E1352">
        <v>1878</v>
      </c>
      <c r="F1352" s="5">
        <v>43862</v>
      </c>
      <c r="G1352">
        <v>429</v>
      </c>
      <c r="H1352" t="s">
        <v>57</v>
      </c>
    </row>
    <row r="1353" spans="1:8" x14ac:dyDescent="0.3">
      <c r="A1353">
        <v>124</v>
      </c>
      <c r="B1353" s="5">
        <v>43899</v>
      </c>
      <c r="C1353" t="s">
        <v>11</v>
      </c>
      <c r="D1353">
        <v>249</v>
      </c>
      <c r="E1353">
        <v>1629</v>
      </c>
      <c r="F1353" s="5">
        <v>43891</v>
      </c>
      <c r="G1353">
        <v>-249</v>
      </c>
      <c r="H1353" t="s">
        <v>57</v>
      </c>
    </row>
    <row r="1354" spans="1:8" x14ac:dyDescent="0.3">
      <c r="A1354">
        <v>124</v>
      </c>
      <c r="B1354" s="5">
        <v>43902</v>
      </c>
      <c r="C1354" t="s">
        <v>12</v>
      </c>
      <c r="D1354">
        <v>697</v>
      </c>
      <c r="E1354">
        <v>932</v>
      </c>
      <c r="F1354" s="5">
        <v>43891</v>
      </c>
      <c r="G1354">
        <v>-697</v>
      </c>
      <c r="H1354" t="s">
        <v>57</v>
      </c>
    </row>
    <row r="1355" spans="1:8" x14ac:dyDescent="0.3">
      <c r="A1355">
        <v>124</v>
      </c>
      <c r="B1355" s="5">
        <v>43905</v>
      </c>
      <c r="C1355" t="s">
        <v>10</v>
      </c>
      <c r="D1355">
        <v>326</v>
      </c>
      <c r="E1355">
        <v>1258</v>
      </c>
      <c r="F1355" s="5">
        <v>43891</v>
      </c>
      <c r="G1355">
        <v>326</v>
      </c>
      <c r="H1355" t="s">
        <v>57</v>
      </c>
    </row>
    <row r="1356" spans="1:8" x14ac:dyDescent="0.3">
      <c r="A1356">
        <v>124</v>
      </c>
      <c r="B1356" s="5">
        <v>43906</v>
      </c>
      <c r="C1356" t="s">
        <v>10</v>
      </c>
      <c r="D1356">
        <v>874</v>
      </c>
      <c r="E1356">
        <v>2132</v>
      </c>
      <c r="F1356" s="5">
        <v>43891</v>
      </c>
      <c r="G1356">
        <v>874</v>
      </c>
      <c r="H1356" t="s">
        <v>57</v>
      </c>
    </row>
    <row r="1357" spans="1:8" x14ac:dyDescent="0.3">
      <c r="A1357">
        <v>124</v>
      </c>
      <c r="B1357" s="5">
        <v>43912</v>
      </c>
      <c r="C1357" t="s">
        <v>12</v>
      </c>
      <c r="D1357">
        <v>705</v>
      </c>
      <c r="E1357">
        <v>1427</v>
      </c>
      <c r="F1357" s="5">
        <v>43891</v>
      </c>
      <c r="G1357">
        <v>-705</v>
      </c>
      <c r="H1357" t="s">
        <v>57</v>
      </c>
    </row>
    <row r="1358" spans="1:8" x14ac:dyDescent="0.3">
      <c r="A1358">
        <v>124</v>
      </c>
      <c r="B1358" s="5">
        <v>43912</v>
      </c>
      <c r="C1358" t="s">
        <v>11</v>
      </c>
      <c r="D1358">
        <v>172</v>
      </c>
      <c r="E1358">
        <v>1255</v>
      </c>
      <c r="F1358" s="5">
        <v>43891</v>
      </c>
      <c r="G1358">
        <v>-172</v>
      </c>
      <c r="H1358" t="s">
        <v>57</v>
      </c>
    </row>
    <row r="1359" spans="1:8" x14ac:dyDescent="0.3">
      <c r="A1359">
        <v>124</v>
      </c>
      <c r="B1359" s="5">
        <v>43918</v>
      </c>
      <c r="C1359" t="s">
        <v>10</v>
      </c>
      <c r="D1359">
        <v>46</v>
      </c>
      <c r="E1359">
        <v>1301</v>
      </c>
      <c r="F1359" s="5">
        <v>43891</v>
      </c>
      <c r="G1359">
        <v>46</v>
      </c>
      <c r="H1359" t="s">
        <v>57</v>
      </c>
    </row>
    <row r="1360" spans="1:8" x14ac:dyDescent="0.3">
      <c r="A1360">
        <v>125</v>
      </c>
      <c r="B1360" s="5">
        <v>43834</v>
      </c>
      <c r="C1360" t="s">
        <v>10</v>
      </c>
      <c r="D1360">
        <v>637</v>
      </c>
      <c r="E1360">
        <v>637</v>
      </c>
      <c r="F1360" s="5">
        <v>43831</v>
      </c>
      <c r="G1360">
        <v>637</v>
      </c>
      <c r="H1360" t="s">
        <v>57</v>
      </c>
    </row>
    <row r="1361" spans="1:8" x14ac:dyDescent="0.3">
      <c r="A1361">
        <v>125</v>
      </c>
      <c r="B1361" s="5">
        <v>43849</v>
      </c>
      <c r="C1361" t="s">
        <v>12</v>
      </c>
      <c r="D1361">
        <v>506</v>
      </c>
      <c r="E1361">
        <v>131</v>
      </c>
      <c r="F1361" s="5">
        <v>43831</v>
      </c>
      <c r="G1361">
        <v>-506</v>
      </c>
      <c r="H1361" t="s">
        <v>57</v>
      </c>
    </row>
    <row r="1362" spans="1:8" x14ac:dyDescent="0.3">
      <c r="A1362">
        <v>125</v>
      </c>
      <c r="B1362" s="5">
        <v>43858</v>
      </c>
      <c r="C1362" t="s">
        <v>12</v>
      </c>
      <c r="D1362">
        <v>922</v>
      </c>
      <c r="E1362">
        <v>-791</v>
      </c>
      <c r="F1362" s="5">
        <v>43831</v>
      </c>
      <c r="G1362">
        <v>-922</v>
      </c>
      <c r="H1362" t="s">
        <v>58</v>
      </c>
    </row>
    <row r="1363" spans="1:8" x14ac:dyDescent="0.3">
      <c r="A1363">
        <v>125</v>
      </c>
      <c r="B1363" s="5">
        <v>43876</v>
      </c>
      <c r="C1363" t="s">
        <v>11</v>
      </c>
      <c r="D1363">
        <v>939</v>
      </c>
      <c r="E1363">
        <v>-1730</v>
      </c>
      <c r="F1363" s="5">
        <v>43862</v>
      </c>
      <c r="G1363">
        <v>-939</v>
      </c>
      <c r="H1363" t="s">
        <v>58</v>
      </c>
    </row>
    <row r="1364" spans="1:8" x14ac:dyDescent="0.3">
      <c r="A1364">
        <v>125</v>
      </c>
      <c r="B1364" s="5">
        <v>43877</v>
      </c>
      <c r="C1364" t="s">
        <v>10</v>
      </c>
      <c r="D1364">
        <v>867</v>
      </c>
      <c r="E1364">
        <v>-863</v>
      </c>
      <c r="F1364" s="5">
        <v>43862</v>
      </c>
      <c r="G1364">
        <v>867</v>
      </c>
      <c r="H1364" t="s">
        <v>58</v>
      </c>
    </row>
    <row r="1365" spans="1:8" x14ac:dyDescent="0.3">
      <c r="A1365">
        <v>125</v>
      </c>
      <c r="B1365" s="5">
        <v>43878</v>
      </c>
      <c r="C1365" t="s">
        <v>11</v>
      </c>
      <c r="D1365">
        <v>982</v>
      </c>
      <c r="E1365">
        <v>-1845</v>
      </c>
      <c r="F1365" s="5">
        <v>43862</v>
      </c>
      <c r="G1365">
        <v>-982</v>
      </c>
      <c r="H1365" t="s">
        <v>58</v>
      </c>
    </row>
    <row r="1366" spans="1:8" x14ac:dyDescent="0.3">
      <c r="A1366">
        <v>125</v>
      </c>
      <c r="B1366" s="5">
        <v>43887</v>
      </c>
      <c r="C1366" t="s">
        <v>11</v>
      </c>
      <c r="D1366">
        <v>285</v>
      </c>
      <c r="E1366">
        <v>-2130</v>
      </c>
      <c r="F1366" s="5">
        <v>43862</v>
      </c>
      <c r="G1366">
        <v>-285</v>
      </c>
      <c r="H1366" t="s">
        <v>58</v>
      </c>
    </row>
    <row r="1367" spans="1:8" x14ac:dyDescent="0.3">
      <c r="A1367">
        <v>125</v>
      </c>
      <c r="B1367" s="5">
        <v>43890</v>
      </c>
      <c r="C1367" t="s">
        <v>11</v>
      </c>
      <c r="D1367">
        <v>349</v>
      </c>
      <c r="E1367">
        <v>-2479</v>
      </c>
      <c r="F1367" s="5">
        <v>43862</v>
      </c>
      <c r="G1367">
        <v>-349</v>
      </c>
      <c r="H1367" t="s">
        <v>58</v>
      </c>
    </row>
    <row r="1368" spans="1:8" x14ac:dyDescent="0.3">
      <c r="A1368">
        <v>125</v>
      </c>
      <c r="B1368" s="5">
        <v>43908</v>
      </c>
      <c r="C1368" t="s">
        <v>12</v>
      </c>
      <c r="D1368">
        <v>65</v>
      </c>
      <c r="E1368">
        <v>-2544</v>
      </c>
      <c r="F1368" s="5">
        <v>43891</v>
      </c>
      <c r="G1368">
        <v>-65</v>
      </c>
      <c r="H1368" t="s">
        <v>58</v>
      </c>
    </row>
    <row r="1369" spans="1:8" x14ac:dyDescent="0.3">
      <c r="A1369">
        <v>125</v>
      </c>
      <c r="B1369" s="5">
        <v>43909</v>
      </c>
      <c r="C1369" t="s">
        <v>10</v>
      </c>
      <c r="D1369">
        <v>410</v>
      </c>
      <c r="E1369">
        <v>-2134</v>
      </c>
      <c r="F1369" s="5">
        <v>43891</v>
      </c>
      <c r="G1369">
        <v>410</v>
      </c>
      <c r="H1369" t="s">
        <v>58</v>
      </c>
    </row>
    <row r="1370" spans="1:8" x14ac:dyDescent="0.3">
      <c r="A1370">
        <v>125</v>
      </c>
      <c r="B1370" s="5">
        <v>43913</v>
      </c>
      <c r="C1370" t="s">
        <v>10</v>
      </c>
      <c r="D1370">
        <v>86</v>
      </c>
      <c r="E1370">
        <v>-2048</v>
      </c>
      <c r="F1370" s="5">
        <v>43891</v>
      </c>
      <c r="G1370">
        <v>86</v>
      </c>
      <c r="H1370" t="s">
        <v>58</v>
      </c>
    </row>
    <row r="1371" spans="1:8" x14ac:dyDescent="0.3">
      <c r="A1371">
        <v>125</v>
      </c>
      <c r="B1371" s="5">
        <v>43920</v>
      </c>
      <c r="C1371" t="s">
        <v>10</v>
      </c>
      <c r="D1371">
        <v>558</v>
      </c>
      <c r="E1371">
        <v>-1490</v>
      </c>
      <c r="F1371" s="5">
        <v>43891</v>
      </c>
      <c r="G1371">
        <v>558</v>
      </c>
      <c r="H1371" t="s">
        <v>58</v>
      </c>
    </row>
    <row r="1372" spans="1:8" x14ac:dyDescent="0.3">
      <c r="A1372">
        <v>125</v>
      </c>
      <c r="B1372" s="5">
        <v>43920</v>
      </c>
      <c r="C1372" t="s">
        <v>11</v>
      </c>
      <c r="D1372">
        <v>946</v>
      </c>
      <c r="E1372">
        <v>-2436</v>
      </c>
      <c r="F1372" s="5">
        <v>43891</v>
      </c>
      <c r="G1372">
        <v>-946</v>
      </c>
      <c r="H1372" t="s">
        <v>58</v>
      </c>
    </row>
    <row r="1373" spans="1:8" x14ac:dyDescent="0.3">
      <c r="A1373">
        <v>126</v>
      </c>
      <c r="B1373" s="5">
        <v>43851</v>
      </c>
      <c r="C1373" t="s">
        <v>10</v>
      </c>
      <c r="D1373">
        <v>120</v>
      </c>
      <c r="E1373">
        <v>120</v>
      </c>
      <c r="F1373" s="5">
        <v>43831</v>
      </c>
      <c r="G1373">
        <v>120</v>
      </c>
      <c r="H1373" t="s">
        <v>57</v>
      </c>
    </row>
    <row r="1374" spans="1:8" x14ac:dyDescent="0.3">
      <c r="A1374">
        <v>126</v>
      </c>
      <c r="B1374" s="5">
        <v>43851</v>
      </c>
      <c r="C1374" t="s">
        <v>12</v>
      </c>
      <c r="D1374">
        <v>906</v>
      </c>
      <c r="E1374">
        <v>-786</v>
      </c>
      <c r="F1374" s="5">
        <v>43831</v>
      </c>
      <c r="G1374">
        <v>-906</v>
      </c>
      <c r="H1374" t="s">
        <v>58</v>
      </c>
    </row>
    <row r="1375" spans="1:8" x14ac:dyDescent="0.3">
      <c r="A1375">
        <v>126</v>
      </c>
      <c r="B1375" s="5">
        <v>43865</v>
      </c>
      <c r="C1375" t="s">
        <v>10</v>
      </c>
      <c r="D1375">
        <v>394</v>
      </c>
      <c r="E1375">
        <v>-392</v>
      </c>
      <c r="F1375" s="5">
        <v>43862</v>
      </c>
      <c r="G1375">
        <v>394</v>
      </c>
      <c r="H1375" t="s">
        <v>58</v>
      </c>
    </row>
    <row r="1376" spans="1:8" x14ac:dyDescent="0.3">
      <c r="A1376">
        <v>126</v>
      </c>
      <c r="B1376" s="5">
        <v>43868</v>
      </c>
      <c r="C1376" t="s">
        <v>11</v>
      </c>
      <c r="D1376">
        <v>875</v>
      </c>
      <c r="E1376">
        <v>-1267</v>
      </c>
      <c r="F1376" s="5">
        <v>43862</v>
      </c>
      <c r="G1376">
        <v>-875</v>
      </c>
      <c r="H1376" t="s">
        <v>58</v>
      </c>
    </row>
    <row r="1377" spans="1:8" x14ac:dyDescent="0.3">
      <c r="A1377">
        <v>126</v>
      </c>
      <c r="B1377" s="5">
        <v>43871</v>
      </c>
      <c r="C1377" t="s">
        <v>10</v>
      </c>
      <c r="D1377">
        <v>970</v>
      </c>
      <c r="E1377">
        <v>-297</v>
      </c>
      <c r="F1377" s="5">
        <v>43862</v>
      </c>
      <c r="G1377">
        <v>970</v>
      </c>
      <c r="H1377" t="s">
        <v>58</v>
      </c>
    </row>
    <row r="1378" spans="1:8" x14ac:dyDescent="0.3">
      <c r="A1378">
        <v>126</v>
      </c>
      <c r="B1378" s="5">
        <v>43872</v>
      </c>
      <c r="C1378" t="s">
        <v>12</v>
      </c>
      <c r="D1378">
        <v>806</v>
      </c>
      <c r="E1378">
        <v>-1103</v>
      </c>
      <c r="F1378" s="5">
        <v>43862</v>
      </c>
      <c r="G1378">
        <v>-806</v>
      </c>
      <c r="H1378" t="s">
        <v>58</v>
      </c>
    </row>
    <row r="1379" spans="1:8" x14ac:dyDescent="0.3">
      <c r="A1379">
        <v>126</v>
      </c>
      <c r="B1379" s="5">
        <v>43874</v>
      </c>
      <c r="C1379" t="s">
        <v>11</v>
      </c>
      <c r="D1379">
        <v>167</v>
      </c>
      <c r="E1379">
        <v>-1270</v>
      </c>
      <c r="F1379" s="5">
        <v>43862</v>
      </c>
      <c r="G1379">
        <v>-167</v>
      </c>
      <c r="H1379" t="s">
        <v>58</v>
      </c>
    </row>
    <row r="1380" spans="1:8" x14ac:dyDescent="0.3">
      <c r="A1380">
        <v>126</v>
      </c>
      <c r="B1380" s="5">
        <v>43883</v>
      </c>
      <c r="C1380" t="s">
        <v>10</v>
      </c>
      <c r="D1380">
        <v>280</v>
      </c>
      <c r="E1380">
        <v>-990</v>
      </c>
      <c r="F1380" s="5">
        <v>43862</v>
      </c>
      <c r="G1380">
        <v>280</v>
      </c>
      <c r="H1380" t="s">
        <v>58</v>
      </c>
    </row>
    <row r="1381" spans="1:8" x14ac:dyDescent="0.3">
      <c r="A1381">
        <v>126</v>
      </c>
      <c r="B1381" s="5">
        <v>43884</v>
      </c>
      <c r="C1381" t="s">
        <v>11</v>
      </c>
      <c r="D1381">
        <v>744</v>
      </c>
      <c r="E1381">
        <v>-1734</v>
      </c>
      <c r="F1381" s="5">
        <v>43862</v>
      </c>
      <c r="G1381">
        <v>-744</v>
      </c>
      <c r="H1381" t="s">
        <v>58</v>
      </c>
    </row>
    <row r="1382" spans="1:8" x14ac:dyDescent="0.3">
      <c r="A1382">
        <v>126</v>
      </c>
      <c r="B1382" s="5">
        <v>43886</v>
      </c>
      <c r="C1382" t="s">
        <v>10</v>
      </c>
      <c r="D1382">
        <v>651</v>
      </c>
      <c r="E1382">
        <v>-1083</v>
      </c>
      <c r="F1382" s="5">
        <v>43862</v>
      </c>
      <c r="G1382">
        <v>651</v>
      </c>
      <c r="H1382" t="s">
        <v>58</v>
      </c>
    </row>
    <row r="1383" spans="1:8" x14ac:dyDescent="0.3">
      <c r="A1383">
        <v>126</v>
      </c>
      <c r="B1383" s="5">
        <v>43888</v>
      </c>
      <c r="C1383" t="s">
        <v>10</v>
      </c>
      <c r="D1383">
        <v>367</v>
      </c>
      <c r="E1383">
        <v>-716</v>
      </c>
      <c r="F1383" s="5">
        <v>43862</v>
      </c>
      <c r="G1383">
        <v>367</v>
      </c>
      <c r="H1383" t="s">
        <v>58</v>
      </c>
    </row>
    <row r="1384" spans="1:8" x14ac:dyDescent="0.3">
      <c r="A1384">
        <v>126</v>
      </c>
      <c r="B1384" s="5">
        <v>43893</v>
      </c>
      <c r="C1384" t="s">
        <v>10</v>
      </c>
      <c r="D1384">
        <v>270</v>
      </c>
      <c r="E1384">
        <v>-446</v>
      </c>
      <c r="F1384" s="5">
        <v>43891</v>
      </c>
      <c r="G1384">
        <v>270</v>
      </c>
      <c r="H1384" t="s">
        <v>58</v>
      </c>
    </row>
    <row r="1385" spans="1:8" x14ac:dyDescent="0.3">
      <c r="A1385">
        <v>126</v>
      </c>
      <c r="B1385" s="5">
        <v>43893</v>
      </c>
      <c r="C1385" t="s">
        <v>12</v>
      </c>
      <c r="D1385">
        <v>873</v>
      </c>
      <c r="E1385">
        <v>-1319</v>
      </c>
      <c r="F1385" s="5">
        <v>43891</v>
      </c>
      <c r="G1385">
        <v>-873</v>
      </c>
      <c r="H1385" t="s">
        <v>58</v>
      </c>
    </row>
    <row r="1386" spans="1:8" x14ac:dyDescent="0.3">
      <c r="A1386">
        <v>126</v>
      </c>
      <c r="B1386" s="5">
        <v>43914</v>
      </c>
      <c r="C1386" t="s">
        <v>12</v>
      </c>
      <c r="D1386">
        <v>946</v>
      </c>
      <c r="E1386">
        <v>-2265</v>
      </c>
      <c r="F1386" s="5">
        <v>43891</v>
      </c>
      <c r="G1386">
        <v>-946</v>
      </c>
      <c r="H1386" t="s">
        <v>58</v>
      </c>
    </row>
    <row r="1387" spans="1:8" x14ac:dyDescent="0.3">
      <c r="A1387">
        <v>126</v>
      </c>
      <c r="B1387" s="5">
        <v>43918</v>
      </c>
      <c r="C1387" t="s">
        <v>12</v>
      </c>
      <c r="D1387">
        <v>557</v>
      </c>
      <c r="E1387">
        <v>-2822</v>
      </c>
      <c r="F1387" s="5">
        <v>43891</v>
      </c>
      <c r="G1387">
        <v>-557</v>
      </c>
      <c r="H1387" t="s">
        <v>58</v>
      </c>
    </row>
    <row r="1388" spans="1:8" x14ac:dyDescent="0.3">
      <c r="A1388">
        <v>127</v>
      </c>
      <c r="B1388" s="5">
        <v>43847</v>
      </c>
      <c r="C1388" t="s">
        <v>10</v>
      </c>
      <c r="D1388">
        <v>217</v>
      </c>
      <c r="E1388">
        <v>217</v>
      </c>
      <c r="F1388" s="5">
        <v>43831</v>
      </c>
      <c r="G1388">
        <v>217</v>
      </c>
      <c r="H1388" t="s">
        <v>57</v>
      </c>
    </row>
    <row r="1389" spans="1:8" x14ac:dyDescent="0.3">
      <c r="A1389">
        <v>127</v>
      </c>
      <c r="B1389" s="5">
        <v>43862</v>
      </c>
      <c r="C1389" t="s">
        <v>10</v>
      </c>
      <c r="D1389">
        <v>486</v>
      </c>
      <c r="E1389">
        <v>703</v>
      </c>
      <c r="F1389" s="5">
        <v>43862</v>
      </c>
      <c r="G1389">
        <v>486</v>
      </c>
      <c r="H1389" t="s">
        <v>57</v>
      </c>
    </row>
    <row r="1390" spans="1:8" x14ac:dyDescent="0.3">
      <c r="A1390">
        <v>127</v>
      </c>
      <c r="B1390" s="5">
        <v>43922</v>
      </c>
      <c r="C1390" t="s">
        <v>10</v>
      </c>
      <c r="D1390">
        <v>969</v>
      </c>
      <c r="E1390">
        <v>1672</v>
      </c>
      <c r="F1390" s="5">
        <v>43922</v>
      </c>
      <c r="G1390">
        <v>969</v>
      </c>
      <c r="H1390" t="s">
        <v>57</v>
      </c>
    </row>
    <row r="1391" spans="1:8" x14ac:dyDescent="0.3">
      <c r="A1391">
        <v>128</v>
      </c>
      <c r="B1391" s="5">
        <v>43856</v>
      </c>
      <c r="C1391" t="s">
        <v>10</v>
      </c>
      <c r="D1391">
        <v>410</v>
      </c>
      <c r="E1391">
        <v>410</v>
      </c>
      <c r="F1391" s="5">
        <v>43831</v>
      </c>
      <c r="G1391">
        <v>410</v>
      </c>
      <c r="H1391" t="s">
        <v>57</v>
      </c>
    </row>
    <row r="1392" spans="1:8" x14ac:dyDescent="0.3">
      <c r="A1392">
        <v>128</v>
      </c>
      <c r="B1392" s="5">
        <v>43865</v>
      </c>
      <c r="C1392" t="s">
        <v>10</v>
      </c>
      <c r="D1392">
        <v>472</v>
      </c>
      <c r="E1392">
        <v>882</v>
      </c>
      <c r="F1392" s="5">
        <v>43862</v>
      </c>
      <c r="G1392">
        <v>472</v>
      </c>
      <c r="H1392" t="s">
        <v>57</v>
      </c>
    </row>
    <row r="1393" spans="1:8" x14ac:dyDescent="0.3">
      <c r="A1393">
        <v>128</v>
      </c>
      <c r="B1393" s="5">
        <v>43872</v>
      </c>
      <c r="C1393" t="s">
        <v>11</v>
      </c>
      <c r="D1393">
        <v>246</v>
      </c>
      <c r="E1393">
        <v>636</v>
      </c>
      <c r="F1393" s="5">
        <v>43862</v>
      </c>
      <c r="G1393">
        <v>-246</v>
      </c>
      <c r="H1393" t="s">
        <v>57</v>
      </c>
    </row>
    <row r="1394" spans="1:8" x14ac:dyDescent="0.3">
      <c r="A1394">
        <v>128</v>
      </c>
      <c r="B1394" s="5">
        <v>43890</v>
      </c>
      <c r="C1394" t="s">
        <v>12</v>
      </c>
      <c r="D1394">
        <v>492</v>
      </c>
      <c r="E1394">
        <v>144</v>
      </c>
      <c r="F1394" s="5">
        <v>43862</v>
      </c>
      <c r="G1394">
        <v>-492</v>
      </c>
      <c r="H1394" t="s">
        <v>57</v>
      </c>
    </row>
    <row r="1395" spans="1:8" x14ac:dyDescent="0.3">
      <c r="A1395">
        <v>128</v>
      </c>
      <c r="B1395" s="5">
        <v>43897</v>
      </c>
      <c r="C1395" t="s">
        <v>11</v>
      </c>
      <c r="D1395">
        <v>319</v>
      </c>
      <c r="E1395">
        <v>-175</v>
      </c>
      <c r="F1395" s="5">
        <v>43891</v>
      </c>
      <c r="G1395">
        <v>-319</v>
      </c>
      <c r="H1395" t="s">
        <v>58</v>
      </c>
    </row>
    <row r="1396" spans="1:8" x14ac:dyDescent="0.3">
      <c r="A1396">
        <v>128</v>
      </c>
      <c r="B1396" s="5">
        <v>43911</v>
      </c>
      <c r="C1396" t="s">
        <v>11</v>
      </c>
      <c r="D1396">
        <v>601</v>
      </c>
      <c r="E1396">
        <v>-776</v>
      </c>
      <c r="F1396" s="5">
        <v>43891</v>
      </c>
      <c r="G1396">
        <v>-601</v>
      </c>
      <c r="H1396" t="s">
        <v>58</v>
      </c>
    </row>
    <row r="1397" spans="1:8" x14ac:dyDescent="0.3">
      <c r="A1397">
        <v>128</v>
      </c>
      <c r="B1397" s="5">
        <v>43927</v>
      </c>
      <c r="C1397" t="s">
        <v>11</v>
      </c>
      <c r="D1397">
        <v>321</v>
      </c>
      <c r="E1397">
        <v>-1097</v>
      </c>
      <c r="F1397" s="5">
        <v>43922</v>
      </c>
      <c r="G1397">
        <v>-321</v>
      </c>
      <c r="H1397" t="s">
        <v>58</v>
      </c>
    </row>
    <row r="1398" spans="1:8" x14ac:dyDescent="0.3">
      <c r="A1398">
        <v>128</v>
      </c>
      <c r="B1398" s="5">
        <v>43937</v>
      </c>
      <c r="C1398" t="s">
        <v>10</v>
      </c>
      <c r="D1398">
        <v>895</v>
      </c>
      <c r="E1398">
        <v>-202</v>
      </c>
      <c r="F1398" s="5">
        <v>43922</v>
      </c>
      <c r="G1398">
        <v>895</v>
      </c>
      <c r="H1398" t="s">
        <v>58</v>
      </c>
    </row>
    <row r="1399" spans="1:8" x14ac:dyDescent="0.3">
      <c r="A1399">
        <v>129</v>
      </c>
      <c r="B1399" s="5">
        <v>43842</v>
      </c>
      <c r="C1399" t="s">
        <v>10</v>
      </c>
      <c r="D1399">
        <v>568</v>
      </c>
      <c r="E1399">
        <v>568</v>
      </c>
      <c r="F1399" s="5">
        <v>43831</v>
      </c>
      <c r="G1399">
        <v>568</v>
      </c>
      <c r="H1399" t="s">
        <v>57</v>
      </c>
    </row>
    <row r="1400" spans="1:8" x14ac:dyDescent="0.3">
      <c r="A1400">
        <v>129</v>
      </c>
      <c r="B1400" s="5">
        <v>43857</v>
      </c>
      <c r="C1400" t="s">
        <v>12</v>
      </c>
      <c r="D1400">
        <v>508</v>
      </c>
      <c r="E1400">
        <v>60</v>
      </c>
      <c r="F1400" s="5">
        <v>43831</v>
      </c>
      <c r="G1400">
        <v>-508</v>
      </c>
      <c r="H1400" t="s">
        <v>57</v>
      </c>
    </row>
    <row r="1401" spans="1:8" x14ac:dyDescent="0.3">
      <c r="A1401">
        <v>129</v>
      </c>
      <c r="B1401" s="5">
        <v>43861</v>
      </c>
      <c r="C1401" t="s">
        <v>10</v>
      </c>
      <c r="D1401">
        <v>406</v>
      </c>
      <c r="E1401">
        <v>466</v>
      </c>
      <c r="F1401" s="5">
        <v>43831</v>
      </c>
      <c r="G1401">
        <v>406</v>
      </c>
      <c r="H1401" t="s">
        <v>57</v>
      </c>
    </row>
    <row r="1402" spans="1:8" x14ac:dyDescent="0.3">
      <c r="A1402">
        <v>129</v>
      </c>
      <c r="B1402" s="5">
        <v>43870</v>
      </c>
      <c r="C1402" t="s">
        <v>12</v>
      </c>
      <c r="D1402">
        <v>376</v>
      </c>
      <c r="E1402">
        <v>90</v>
      </c>
      <c r="F1402" s="5">
        <v>43862</v>
      </c>
      <c r="G1402">
        <v>-376</v>
      </c>
      <c r="H1402" t="s">
        <v>57</v>
      </c>
    </row>
    <row r="1403" spans="1:8" x14ac:dyDescent="0.3">
      <c r="A1403">
        <v>129</v>
      </c>
      <c r="B1403" s="5">
        <v>43872</v>
      </c>
      <c r="C1403" t="s">
        <v>12</v>
      </c>
      <c r="D1403">
        <v>359</v>
      </c>
      <c r="E1403">
        <v>-269</v>
      </c>
      <c r="F1403" s="5">
        <v>43862</v>
      </c>
      <c r="G1403">
        <v>-359</v>
      </c>
      <c r="H1403" t="s">
        <v>58</v>
      </c>
    </row>
    <row r="1404" spans="1:8" x14ac:dyDescent="0.3">
      <c r="A1404">
        <v>129</v>
      </c>
      <c r="B1404" s="5">
        <v>43873</v>
      </c>
      <c r="C1404" t="s">
        <v>12</v>
      </c>
      <c r="D1404">
        <v>23</v>
      </c>
      <c r="E1404">
        <v>-292</v>
      </c>
      <c r="F1404" s="5">
        <v>43862</v>
      </c>
      <c r="G1404">
        <v>-23</v>
      </c>
      <c r="H1404" t="s">
        <v>58</v>
      </c>
    </row>
    <row r="1405" spans="1:8" x14ac:dyDescent="0.3">
      <c r="A1405">
        <v>129</v>
      </c>
      <c r="B1405" s="5">
        <v>43876</v>
      </c>
      <c r="C1405" t="s">
        <v>10</v>
      </c>
      <c r="D1405">
        <v>482</v>
      </c>
      <c r="E1405">
        <v>190</v>
      </c>
      <c r="F1405" s="5">
        <v>43862</v>
      </c>
      <c r="G1405">
        <v>482</v>
      </c>
      <c r="H1405" t="s">
        <v>57</v>
      </c>
    </row>
    <row r="1406" spans="1:8" x14ac:dyDescent="0.3">
      <c r="A1406">
        <v>129</v>
      </c>
      <c r="B1406" s="5">
        <v>43885</v>
      </c>
      <c r="C1406" t="s">
        <v>11</v>
      </c>
      <c r="D1406">
        <v>986</v>
      </c>
      <c r="E1406">
        <v>-796</v>
      </c>
      <c r="F1406" s="5">
        <v>43862</v>
      </c>
      <c r="G1406">
        <v>-986</v>
      </c>
      <c r="H1406" t="s">
        <v>58</v>
      </c>
    </row>
    <row r="1407" spans="1:8" x14ac:dyDescent="0.3">
      <c r="A1407">
        <v>129</v>
      </c>
      <c r="B1407" s="5">
        <v>43896</v>
      </c>
      <c r="C1407" t="s">
        <v>11</v>
      </c>
      <c r="D1407">
        <v>154</v>
      </c>
      <c r="E1407">
        <v>-950</v>
      </c>
      <c r="F1407" s="5">
        <v>43891</v>
      </c>
      <c r="G1407">
        <v>-154</v>
      </c>
      <c r="H1407" t="s">
        <v>58</v>
      </c>
    </row>
    <row r="1408" spans="1:8" x14ac:dyDescent="0.3">
      <c r="A1408">
        <v>129</v>
      </c>
      <c r="B1408" s="5">
        <v>43907</v>
      </c>
      <c r="C1408" t="s">
        <v>10</v>
      </c>
      <c r="D1408">
        <v>669</v>
      </c>
      <c r="E1408">
        <v>-281</v>
      </c>
      <c r="F1408" s="5">
        <v>43891</v>
      </c>
      <c r="G1408">
        <v>669</v>
      </c>
      <c r="H1408" t="s">
        <v>58</v>
      </c>
    </row>
    <row r="1409" spans="1:8" x14ac:dyDescent="0.3">
      <c r="A1409">
        <v>129</v>
      </c>
      <c r="B1409" s="5">
        <v>43918</v>
      </c>
      <c r="C1409" t="s">
        <v>10</v>
      </c>
      <c r="D1409">
        <v>349</v>
      </c>
      <c r="E1409">
        <v>68</v>
      </c>
      <c r="F1409" s="5">
        <v>43891</v>
      </c>
      <c r="G1409">
        <v>349</v>
      </c>
      <c r="H1409" t="s">
        <v>57</v>
      </c>
    </row>
    <row r="1410" spans="1:8" x14ac:dyDescent="0.3">
      <c r="A1410">
        <v>129</v>
      </c>
      <c r="B1410" s="5">
        <v>43922</v>
      </c>
      <c r="C1410" t="s">
        <v>12</v>
      </c>
      <c r="D1410">
        <v>593</v>
      </c>
      <c r="E1410">
        <v>-525</v>
      </c>
      <c r="F1410" s="5">
        <v>43922</v>
      </c>
      <c r="G1410">
        <v>-593</v>
      </c>
      <c r="H1410" t="s">
        <v>58</v>
      </c>
    </row>
    <row r="1411" spans="1:8" x14ac:dyDescent="0.3">
      <c r="A1411">
        <v>129</v>
      </c>
      <c r="B1411" s="5">
        <v>43926</v>
      </c>
      <c r="C1411" t="s">
        <v>12</v>
      </c>
      <c r="D1411">
        <v>867</v>
      </c>
      <c r="E1411">
        <v>-1392</v>
      </c>
      <c r="F1411" s="5">
        <v>43922</v>
      </c>
      <c r="G1411">
        <v>-867</v>
      </c>
      <c r="H1411" t="s">
        <v>58</v>
      </c>
    </row>
    <row r="1412" spans="1:8" x14ac:dyDescent="0.3">
      <c r="A1412">
        <v>129</v>
      </c>
      <c r="B1412" s="5">
        <v>43928</v>
      </c>
      <c r="C1412" t="s">
        <v>11</v>
      </c>
      <c r="D1412">
        <v>615</v>
      </c>
      <c r="E1412">
        <v>-2007</v>
      </c>
      <c r="F1412" s="5">
        <v>43922</v>
      </c>
      <c r="G1412">
        <v>-615</v>
      </c>
      <c r="H1412" t="s">
        <v>58</v>
      </c>
    </row>
    <row r="1413" spans="1:8" x14ac:dyDescent="0.3">
      <c r="A1413">
        <v>130</v>
      </c>
      <c r="B1413" s="5">
        <v>43832</v>
      </c>
      <c r="C1413" t="s">
        <v>10</v>
      </c>
      <c r="D1413">
        <v>557</v>
      </c>
      <c r="E1413">
        <v>557</v>
      </c>
      <c r="F1413" s="5">
        <v>43831</v>
      </c>
      <c r="G1413">
        <v>557</v>
      </c>
      <c r="H1413" t="s">
        <v>57</v>
      </c>
    </row>
    <row r="1414" spans="1:8" x14ac:dyDescent="0.3">
      <c r="A1414">
        <v>130</v>
      </c>
      <c r="B1414" s="5">
        <v>43837</v>
      </c>
      <c r="C1414" t="s">
        <v>12</v>
      </c>
      <c r="D1414">
        <v>106</v>
      </c>
      <c r="E1414">
        <v>451</v>
      </c>
      <c r="F1414" s="5">
        <v>43831</v>
      </c>
      <c r="G1414">
        <v>-106</v>
      </c>
      <c r="H1414" t="s">
        <v>57</v>
      </c>
    </row>
    <row r="1415" spans="1:8" x14ac:dyDescent="0.3">
      <c r="A1415">
        <v>130</v>
      </c>
      <c r="B1415" s="5">
        <v>43841</v>
      </c>
      <c r="C1415" t="s">
        <v>12</v>
      </c>
      <c r="D1415">
        <v>895</v>
      </c>
      <c r="E1415">
        <v>-444</v>
      </c>
      <c r="F1415" s="5">
        <v>43831</v>
      </c>
      <c r="G1415">
        <v>-895</v>
      </c>
      <c r="H1415" t="s">
        <v>58</v>
      </c>
    </row>
    <row r="1416" spans="1:8" x14ac:dyDescent="0.3">
      <c r="A1416">
        <v>130</v>
      </c>
      <c r="B1416" s="5">
        <v>43849</v>
      </c>
      <c r="C1416" t="s">
        <v>10</v>
      </c>
      <c r="D1416">
        <v>196</v>
      </c>
      <c r="E1416">
        <v>-248</v>
      </c>
      <c r="F1416" s="5">
        <v>43831</v>
      </c>
      <c r="G1416">
        <v>196</v>
      </c>
      <c r="H1416" t="s">
        <v>58</v>
      </c>
    </row>
    <row r="1417" spans="1:8" x14ac:dyDescent="0.3">
      <c r="A1417">
        <v>130</v>
      </c>
      <c r="B1417" s="5">
        <v>43866</v>
      </c>
      <c r="C1417" t="s">
        <v>12</v>
      </c>
      <c r="D1417">
        <v>488</v>
      </c>
      <c r="E1417">
        <v>-736</v>
      </c>
      <c r="F1417" s="5">
        <v>43862</v>
      </c>
      <c r="G1417">
        <v>-488</v>
      </c>
      <c r="H1417" t="s">
        <v>58</v>
      </c>
    </row>
    <row r="1418" spans="1:8" x14ac:dyDescent="0.3">
      <c r="A1418">
        <v>130</v>
      </c>
      <c r="B1418" s="5">
        <v>43866</v>
      </c>
      <c r="C1418" t="s">
        <v>12</v>
      </c>
      <c r="D1418">
        <v>71</v>
      </c>
      <c r="E1418">
        <v>-807</v>
      </c>
      <c r="F1418" s="5">
        <v>43862</v>
      </c>
      <c r="G1418">
        <v>-71</v>
      </c>
      <c r="H1418" t="s">
        <v>58</v>
      </c>
    </row>
    <row r="1419" spans="1:8" x14ac:dyDescent="0.3">
      <c r="A1419">
        <v>130</v>
      </c>
      <c r="B1419" s="5">
        <v>43876</v>
      </c>
      <c r="C1419" t="s">
        <v>11</v>
      </c>
      <c r="D1419">
        <v>353</v>
      </c>
      <c r="E1419">
        <v>-1160</v>
      </c>
      <c r="F1419" s="5">
        <v>43862</v>
      </c>
      <c r="G1419">
        <v>-353</v>
      </c>
      <c r="H1419" t="s">
        <v>58</v>
      </c>
    </row>
    <row r="1420" spans="1:8" x14ac:dyDescent="0.3">
      <c r="A1420">
        <v>130</v>
      </c>
      <c r="B1420" s="5">
        <v>43891</v>
      </c>
      <c r="C1420" t="s">
        <v>11</v>
      </c>
      <c r="D1420">
        <v>971</v>
      </c>
      <c r="E1420">
        <v>-2131</v>
      </c>
      <c r="F1420" s="5">
        <v>43891</v>
      </c>
      <c r="G1420">
        <v>-971</v>
      </c>
      <c r="H1420" t="s">
        <v>58</v>
      </c>
    </row>
    <row r="1421" spans="1:8" x14ac:dyDescent="0.3">
      <c r="A1421">
        <v>130</v>
      </c>
      <c r="B1421" s="5">
        <v>43894</v>
      </c>
      <c r="C1421" t="s">
        <v>10</v>
      </c>
      <c r="D1421">
        <v>646</v>
      </c>
      <c r="E1421">
        <v>-1485</v>
      </c>
      <c r="F1421" s="5">
        <v>43891</v>
      </c>
      <c r="G1421">
        <v>646</v>
      </c>
      <c r="H1421" t="s">
        <v>58</v>
      </c>
    </row>
    <row r="1422" spans="1:8" x14ac:dyDescent="0.3">
      <c r="A1422">
        <v>130</v>
      </c>
      <c r="B1422" s="5">
        <v>43903</v>
      </c>
      <c r="C1422" t="s">
        <v>10</v>
      </c>
      <c r="D1422">
        <v>753</v>
      </c>
      <c r="E1422">
        <v>-732</v>
      </c>
      <c r="F1422" s="5">
        <v>43891</v>
      </c>
      <c r="G1422">
        <v>753</v>
      </c>
      <c r="H1422" t="s">
        <v>58</v>
      </c>
    </row>
    <row r="1423" spans="1:8" x14ac:dyDescent="0.3">
      <c r="A1423">
        <v>130</v>
      </c>
      <c r="B1423" s="5">
        <v>43917</v>
      </c>
      <c r="C1423" t="s">
        <v>10</v>
      </c>
      <c r="D1423">
        <v>864</v>
      </c>
      <c r="E1423">
        <v>132</v>
      </c>
      <c r="F1423" s="5">
        <v>43891</v>
      </c>
      <c r="G1423">
        <v>864</v>
      </c>
      <c r="H1423" t="s">
        <v>57</v>
      </c>
    </row>
    <row r="1424" spans="1:8" x14ac:dyDescent="0.3">
      <c r="A1424">
        <v>131</v>
      </c>
      <c r="B1424" s="5">
        <v>43840</v>
      </c>
      <c r="C1424" t="s">
        <v>11</v>
      </c>
      <c r="D1424">
        <v>846</v>
      </c>
      <c r="E1424">
        <v>-846</v>
      </c>
      <c r="F1424" s="5">
        <v>43831</v>
      </c>
      <c r="G1424">
        <v>-846</v>
      </c>
      <c r="H1424" t="s">
        <v>58</v>
      </c>
    </row>
    <row r="1425" spans="1:8" x14ac:dyDescent="0.3">
      <c r="A1425">
        <v>131</v>
      </c>
      <c r="B1425" s="5">
        <v>43840</v>
      </c>
      <c r="C1425" t="s">
        <v>10</v>
      </c>
      <c r="D1425">
        <v>932</v>
      </c>
      <c r="E1425">
        <v>86</v>
      </c>
      <c r="F1425" s="5">
        <v>43831</v>
      </c>
      <c r="G1425">
        <v>932</v>
      </c>
      <c r="H1425" t="s">
        <v>57</v>
      </c>
    </row>
    <row r="1426" spans="1:8" x14ac:dyDescent="0.3">
      <c r="A1426">
        <v>131</v>
      </c>
      <c r="B1426" s="5">
        <v>43844</v>
      </c>
      <c r="C1426" t="s">
        <v>10</v>
      </c>
      <c r="D1426">
        <v>803</v>
      </c>
      <c r="E1426">
        <v>889</v>
      </c>
      <c r="F1426" s="5">
        <v>43831</v>
      </c>
      <c r="G1426">
        <v>803</v>
      </c>
      <c r="H1426" t="s">
        <v>57</v>
      </c>
    </row>
    <row r="1427" spans="1:8" x14ac:dyDescent="0.3">
      <c r="A1427">
        <v>131</v>
      </c>
      <c r="B1427" s="5">
        <v>43850</v>
      </c>
      <c r="C1427" t="s">
        <v>12</v>
      </c>
      <c r="D1427">
        <v>892</v>
      </c>
      <c r="E1427">
        <v>-3</v>
      </c>
      <c r="F1427" s="5">
        <v>43831</v>
      </c>
      <c r="G1427">
        <v>-892</v>
      </c>
      <c r="H1427" t="s">
        <v>58</v>
      </c>
    </row>
    <row r="1428" spans="1:8" x14ac:dyDescent="0.3">
      <c r="A1428">
        <v>131</v>
      </c>
      <c r="B1428" s="5">
        <v>43851</v>
      </c>
      <c r="C1428" t="s">
        <v>10</v>
      </c>
      <c r="D1428">
        <v>868</v>
      </c>
      <c r="E1428">
        <v>865</v>
      </c>
      <c r="F1428" s="5">
        <v>43831</v>
      </c>
      <c r="G1428">
        <v>868</v>
      </c>
      <c r="H1428" t="s">
        <v>57</v>
      </c>
    </row>
    <row r="1429" spans="1:8" x14ac:dyDescent="0.3">
      <c r="A1429">
        <v>131</v>
      </c>
      <c r="B1429" s="5">
        <v>43859</v>
      </c>
      <c r="C1429" t="s">
        <v>10</v>
      </c>
      <c r="D1429">
        <v>465</v>
      </c>
      <c r="E1429">
        <v>1330</v>
      </c>
      <c r="F1429" s="5">
        <v>43831</v>
      </c>
      <c r="G1429">
        <v>465</v>
      </c>
      <c r="H1429" t="s">
        <v>57</v>
      </c>
    </row>
    <row r="1430" spans="1:8" x14ac:dyDescent="0.3">
      <c r="A1430">
        <v>131</v>
      </c>
      <c r="B1430" s="5">
        <v>43861</v>
      </c>
      <c r="C1430" t="s">
        <v>12</v>
      </c>
      <c r="D1430">
        <v>850</v>
      </c>
      <c r="E1430">
        <v>480</v>
      </c>
      <c r="F1430" s="5">
        <v>43831</v>
      </c>
      <c r="G1430">
        <v>-850</v>
      </c>
      <c r="H1430" t="s">
        <v>57</v>
      </c>
    </row>
    <row r="1431" spans="1:8" x14ac:dyDescent="0.3">
      <c r="A1431">
        <v>131</v>
      </c>
      <c r="B1431" s="5">
        <v>43863</v>
      </c>
      <c r="C1431" t="s">
        <v>11</v>
      </c>
      <c r="D1431">
        <v>62</v>
      </c>
      <c r="E1431">
        <v>418</v>
      </c>
      <c r="F1431" s="5">
        <v>43862</v>
      </c>
      <c r="G1431">
        <v>-62</v>
      </c>
      <c r="H1431" t="s">
        <v>57</v>
      </c>
    </row>
    <row r="1432" spans="1:8" x14ac:dyDescent="0.3">
      <c r="A1432">
        <v>131</v>
      </c>
      <c r="B1432" s="5">
        <v>43869</v>
      </c>
      <c r="C1432" t="s">
        <v>11</v>
      </c>
      <c r="D1432">
        <v>955</v>
      </c>
      <c r="E1432">
        <v>-537</v>
      </c>
      <c r="F1432" s="5">
        <v>43862</v>
      </c>
      <c r="G1432">
        <v>-955</v>
      </c>
      <c r="H1432" t="s">
        <v>58</v>
      </c>
    </row>
    <row r="1433" spans="1:8" x14ac:dyDescent="0.3">
      <c r="A1433">
        <v>131</v>
      </c>
      <c r="B1433" s="5">
        <v>43871</v>
      </c>
      <c r="C1433" t="s">
        <v>11</v>
      </c>
      <c r="D1433">
        <v>247</v>
      </c>
      <c r="E1433">
        <v>-784</v>
      </c>
      <c r="F1433" s="5">
        <v>43862</v>
      </c>
      <c r="G1433">
        <v>-247</v>
      </c>
      <c r="H1433" t="s">
        <v>58</v>
      </c>
    </row>
    <row r="1434" spans="1:8" x14ac:dyDescent="0.3">
      <c r="A1434">
        <v>131</v>
      </c>
      <c r="B1434" s="5">
        <v>43875</v>
      </c>
      <c r="C1434" t="s">
        <v>12</v>
      </c>
      <c r="D1434">
        <v>43</v>
      </c>
      <c r="E1434">
        <v>-827</v>
      </c>
      <c r="F1434" s="5">
        <v>43862</v>
      </c>
      <c r="G1434">
        <v>-43</v>
      </c>
      <c r="H1434" t="s">
        <v>58</v>
      </c>
    </row>
    <row r="1435" spans="1:8" x14ac:dyDescent="0.3">
      <c r="A1435">
        <v>131</v>
      </c>
      <c r="B1435" s="5">
        <v>43880</v>
      </c>
      <c r="C1435" t="s">
        <v>10</v>
      </c>
      <c r="D1435">
        <v>98</v>
      </c>
      <c r="E1435">
        <v>-729</v>
      </c>
      <c r="F1435" s="5">
        <v>43862</v>
      </c>
      <c r="G1435">
        <v>98</v>
      </c>
      <c r="H1435" t="s">
        <v>58</v>
      </c>
    </row>
    <row r="1436" spans="1:8" x14ac:dyDescent="0.3">
      <c r="A1436">
        <v>131</v>
      </c>
      <c r="B1436" s="5">
        <v>43886</v>
      </c>
      <c r="C1436" t="s">
        <v>11</v>
      </c>
      <c r="D1436">
        <v>973</v>
      </c>
      <c r="E1436">
        <v>-1702</v>
      </c>
      <c r="F1436" s="5">
        <v>43862</v>
      </c>
      <c r="G1436">
        <v>-973</v>
      </c>
      <c r="H1436" t="s">
        <v>58</v>
      </c>
    </row>
    <row r="1437" spans="1:8" x14ac:dyDescent="0.3">
      <c r="A1437">
        <v>131</v>
      </c>
      <c r="B1437" s="5">
        <v>43888</v>
      </c>
      <c r="C1437" t="s">
        <v>10</v>
      </c>
      <c r="D1437">
        <v>719</v>
      </c>
      <c r="E1437">
        <v>-983</v>
      </c>
      <c r="F1437" s="5">
        <v>43862</v>
      </c>
      <c r="G1437">
        <v>719</v>
      </c>
      <c r="H1437" t="s">
        <v>58</v>
      </c>
    </row>
    <row r="1438" spans="1:8" x14ac:dyDescent="0.3">
      <c r="A1438">
        <v>131</v>
      </c>
      <c r="B1438" s="5">
        <v>43904</v>
      </c>
      <c r="C1438" t="s">
        <v>10</v>
      </c>
      <c r="D1438">
        <v>181</v>
      </c>
      <c r="E1438">
        <v>-802</v>
      </c>
      <c r="F1438" s="5">
        <v>43891</v>
      </c>
      <c r="G1438">
        <v>181</v>
      </c>
      <c r="H1438" t="s">
        <v>58</v>
      </c>
    </row>
    <row r="1439" spans="1:8" x14ac:dyDescent="0.3">
      <c r="A1439">
        <v>131</v>
      </c>
      <c r="B1439" s="5">
        <v>43905</v>
      </c>
      <c r="C1439" t="s">
        <v>10</v>
      </c>
      <c r="D1439">
        <v>672</v>
      </c>
      <c r="E1439">
        <v>-130</v>
      </c>
      <c r="F1439" s="5">
        <v>43891</v>
      </c>
      <c r="G1439">
        <v>672</v>
      </c>
      <c r="H1439" t="s">
        <v>58</v>
      </c>
    </row>
    <row r="1440" spans="1:8" x14ac:dyDescent="0.3">
      <c r="A1440">
        <v>131</v>
      </c>
      <c r="B1440" s="5">
        <v>43906</v>
      </c>
      <c r="C1440" t="s">
        <v>12</v>
      </c>
      <c r="D1440">
        <v>707</v>
      </c>
      <c r="E1440">
        <v>-837</v>
      </c>
      <c r="F1440" s="5">
        <v>43891</v>
      </c>
      <c r="G1440">
        <v>-707</v>
      </c>
      <c r="H1440" t="s">
        <v>58</v>
      </c>
    </row>
    <row r="1441" spans="1:8" x14ac:dyDescent="0.3">
      <c r="A1441">
        <v>131</v>
      </c>
      <c r="B1441" s="5">
        <v>43911</v>
      </c>
      <c r="C1441" t="s">
        <v>10</v>
      </c>
      <c r="D1441">
        <v>263</v>
      </c>
      <c r="E1441">
        <v>-574</v>
      </c>
      <c r="F1441" s="5">
        <v>43891</v>
      </c>
      <c r="G1441">
        <v>263</v>
      </c>
      <c r="H1441" t="s">
        <v>58</v>
      </c>
    </row>
    <row r="1442" spans="1:8" x14ac:dyDescent="0.3">
      <c r="A1442">
        <v>131</v>
      </c>
      <c r="B1442" s="5">
        <v>43912</v>
      </c>
      <c r="C1442" t="s">
        <v>10</v>
      </c>
      <c r="D1442">
        <v>711</v>
      </c>
      <c r="E1442">
        <v>137</v>
      </c>
      <c r="F1442" s="5">
        <v>43891</v>
      </c>
      <c r="G1442">
        <v>711</v>
      </c>
      <c r="H1442" t="s">
        <v>57</v>
      </c>
    </row>
    <row r="1443" spans="1:8" x14ac:dyDescent="0.3">
      <c r="A1443">
        <v>131</v>
      </c>
      <c r="B1443" s="5">
        <v>43917</v>
      </c>
      <c r="C1443" t="s">
        <v>11</v>
      </c>
      <c r="D1443">
        <v>617</v>
      </c>
      <c r="E1443">
        <v>-480</v>
      </c>
      <c r="F1443" s="5">
        <v>43891</v>
      </c>
      <c r="G1443">
        <v>-617</v>
      </c>
      <c r="H1443" t="s">
        <v>58</v>
      </c>
    </row>
    <row r="1444" spans="1:8" x14ac:dyDescent="0.3">
      <c r="A1444">
        <v>131</v>
      </c>
      <c r="B1444" s="5">
        <v>43918</v>
      </c>
      <c r="C1444" t="s">
        <v>11</v>
      </c>
      <c r="D1444">
        <v>16</v>
      </c>
      <c r="E1444">
        <v>-496</v>
      </c>
      <c r="F1444" s="5">
        <v>43891</v>
      </c>
      <c r="G1444">
        <v>-16</v>
      </c>
      <c r="H1444" t="s">
        <v>58</v>
      </c>
    </row>
    <row r="1445" spans="1:8" x14ac:dyDescent="0.3">
      <c r="A1445">
        <v>131</v>
      </c>
      <c r="B1445" s="5">
        <v>43919</v>
      </c>
      <c r="C1445" t="s">
        <v>10</v>
      </c>
      <c r="D1445">
        <v>344</v>
      </c>
      <c r="E1445">
        <v>-152</v>
      </c>
      <c r="F1445" s="5">
        <v>43891</v>
      </c>
      <c r="G1445">
        <v>344</v>
      </c>
      <c r="H1445" t="s">
        <v>58</v>
      </c>
    </row>
    <row r="1446" spans="1:8" x14ac:dyDescent="0.3">
      <c r="A1446">
        <v>132</v>
      </c>
      <c r="B1446" s="5">
        <v>43840</v>
      </c>
      <c r="C1446" t="s">
        <v>10</v>
      </c>
      <c r="D1446">
        <v>14</v>
      </c>
      <c r="E1446">
        <v>14</v>
      </c>
      <c r="F1446" s="5">
        <v>43831</v>
      </c>
      <c r="G1446">
        <v>14</v>
      </c>
      <c r="H1446" t="s">
        <v>57</v>
      </c>
    </row>
    <row r="1447" spans="1:8" x14ac:dyDescent="0.3">
      <c r="A1447">
        <v>132</v>
      </c>
      <c r="B1447" s="5">
        <v>43850</v>
      </c>
      <c r="C1447" t="s">
        <v>11</v>
      </c>
      <c r="D1447">
        <v>427</v>
      </c>
      <c r="E1447">
        <v>-413</v>
      </c>
      <c r="F1447" s="5">
        <v>43831</v>
      </c>
      <c r="G1447">
        <v>-427</v>
      </c>
      <c r="H1447" t="s">
        <v>58</v>
      </c>
    </row>
    <row r="1448" spans="1:8" x14ac:dyDescent="0.3">
      <c r="A1448">
        <v>132</v>
      </c>
      <c r="B1448" s="5">
        <v>43860</v>
      </c>
      <c r="C1448" t="s">
        <v>12</v>
      </c>
      <c r="D1448">
        <v>841</v>
      </c>
      <c r="E1448">
        <v>-1254</v>
      </c>
      <c r="F1448" s="5">
        <v>43831</v>
      </c>
      <c r="G1448">
        <v>-841</v>
      </c>
      <c r="H1448" t="s">
        <v>58</v>
      </c>
    </row>
    <row r="1449" spans="1:8" x14ac:dyDescent="0.3">
      <c r="A1449">
        <v>132</v>
      </c>
      <c r="B1449" s="5">
        <v>43867</v>
      </c>
      <c r="C1449" t="s">
        <v>12</v>
      </c>
      <c r="D1449">
        <v>592</v>
      </c>
      <c r="E1449">
        <v>-1846</v>
      </c>
      <c r="F1449" s="5">
        <v>43862</v>
      </c>
      <c r="G1449">
        <v>-592</v>
      </c>
      <c r="H1449" t="s">
        <v>58</v>
      </c>
    </row>
    <row r="1450" spans="1:8" x14ac:dyDescent="0.3">
      <c r="A1450">
        <v>132</v>
      </c>
      <c r="B1450" s="5">
        <v>43868</v>
      </c>
      <c r="C1450" t="s">
        <v>11</v>
      </c>
      <c r="D1450">
        <v>998</v>
      </c>
      <c r="E1450">
        <v>-2844</v>
      </c>
      <c r="F1450" s="5">
        <v>43862</v>
      </c>
      <c r="G1450">
        <v>-998</v>
      </c>
      <c r="H1450" t="s">
        <v>58</v>
      </c>
    </row>
    <row r="1451" spans="1:8" x14ac:dyDescent="0.3">
      <c r="A1451">
        <v>132</v>
      </c>
      <c r="B1451" s="5">
        <v>43895</v>
      </c>
      <c r="C1451" t="s">
        <v>11</v>
      </c>
      <c r="D1451">
        <v>736</v>
      </c>
      <c r="E1451">
        <v>-3580</v>
      </c>
      <c r="F1451" s="5">
        <v>43891</v>
      </c>
      <c r="G1451">
        <v>-736</v>
      </c>
      <c r="H1451" t="s">
        <v>58</v>
      </c>
    </row>
    <row r="1452" spans="1:8" x14ac:dyDescent="0.3">
      <c r="A1452">
        <v>132</v>
      </c>
      <c r="B1452" s="5">
        <v>43910</v>
      </c>
      <c r="C1452" t="s">
        <v>12</v>
      </c>
      <c r="D1452">
        <v>377</v>
      </c>
      <c r="E1452">
        <v>-3957</v>
      </c>
      <c r="F1452" s="5">
        <v>43891</v>
      </c>
      <c r="G1452">
        <v>-377</v>
      </c>
      <c r="H1452" t="s">
        <v>58</v>
      </c>
    </row>
    <row r="1453" spans="1:8" x14ac:dyDescent="0.3">
      <c r="A1453">
        <v>132</v>
      </c>
      <c r="B1453" s="5">
        <v>43916</v>
      </c>
      <c r="C1453" t="s">
        <v>12</v>
      </c>
      <c r="D1453">
        <v>356</v>
      </c>
      <c r="E1453">
        <v>-4313</v>
      </c>
      <c r="F1453" s="5">
        <v>43891</v>
      </c>
      <c r="G1453">
        <v>-356</v>
      </c>
      <c r="H1453" t="s">
        <v>58</v>
      </c>
    </row>
    <row r="1454" spans="1:8" x14ac:dyDescent="0.3">
      <c r="A1454">
        <v>132</v>
      </c>
      <c r="B1454" s="5">
        <v>43920</v>
      </c>
      <c r="C1454" t="s">
        <v>11</v>
      </c>
      <c r="D1454">
        <v>943</v>
      </c>
      <c r="E1454">
        <v>-5256</v>
      </c>
      <c r="F1454" s="5">
        <v>43891</v>
      </c>
      <c r="G1454">
        <v>-943</v>
      </c>
      <c r="H1454" t="s">
        <v>58</v>
      </c>
    </row>
    <row r="1455" spans="1:8" x14ac:dyDescent="0.3">
      <c r="A1455">
        <v>132</v>
      </c>
      <c r="B1455" s="5">
        <v>43929</v>
      </c>
      <c r="C1455" t="s">
        <v>11</v>
      </c>
      <c r="D1455">
        <v>329</v>
      </c>
      <c r="E1455">
        <v>-5585</v>
      </c>
      <c r="F1455" s="5">
        <v>43922</v>
      </c>
      <c r="G1455">
        <v>-329</v>
      </c>
      <c r="H1455" t="s">
        <v>58</v>
      </c>
    </row>
    <row r="1456" spans="1:8" x14ac:dyDescent="0.3">
      <c r="A1456">
        <v>133</v>
      </c>
      <c r="B1456" s="5">
        <v>43840</v>
      </c>
      <c r="C1456" t="s">
        <v>10</v>
      </c>
      <c r="D1456">
        <v>279</v>
      </c>
      <c r="E1456">
        <v>279</v>
      </c>
      <c r="F1456" s="5">
        <v>43831</v>
      </c>
      <c r="G1456">
        <v>279</v>
      </c>
      <c r="H1456" t="s">
        <v>57</v>
      </c>
    </row>
    <row r="1457" spans="1:8" x14ac:dyDescent="0.3">
      <c r="A1457">
        <v>133</v>
      </c>
      <c r="B1457" s="5">
        <v>43853</v>
      </c>
      <c r="C1457" t="s">
        <v>12</v>
      </c>
      <c r="D1457">
        <v>635</v>
      </c>
      <c r="E1457">
        <v>-356</v>
      </c>
      <c r="F1457" s="5">
        <v>43831</v>
      </c>
      <c r="G1457">
        <v>-635</v>
      </c>
      <c r="H1457" t="s">
        <v>58</v>
      </c>
    </row>
    <row r="1458" spans="1:8" x14ac:dyDescent="0.3">
      <c r="A1458">
        <v>133</v>
      </c>
      <c r="B1458" s="5">
        <v>43887</v>
      </c>
      <c r="C1458" t="s">
        <v>11</v>
      </c>
      <c r="D1458">
        <v>12</v>
      </c>
      <c r="E1458">
        <v>-368</v>
      </c>
      <c r="F1458" s="5">
        <v>43862</v>
      </c>
      <c r="G1458">
        <v>-12</v>
      </c>
      <c r="H1458" t="s">
        <v>58</v>
      </c>
    </row>
    <row r="1459" spans="1:8" x14ac:dyDescent="0.3">
      <c r="A1459">
        <v>134</v>
      </c>
      <c r="B1459" s="5">
        <v>43838</v>
      </c>
      <c r="C1459" t="s">
        <v>10</v>
      </c>
      <c r="D1459">
        <v>358</v>
      </c>
      <c r="E1459">
        <v>358</v>
      </c>
      <c r="F1459" s="5">
        <v>43831</v>
      </c>
      <c r="G1459">
        <v>358</v>
      </c>
      <c r="H1459" t="s">
        <v>57</v>
      </c>
    </row>
    <row r="1460" spans="1:8" x14ac:dyDescent="0.3">
      <c r="A1460">
        <v>134</v>
      </c>
      <c r="B1460" s="5">
        <v>43841</v>
      </c>
      <c r="C1460" t="s">
        <v>10</v>
      </c>
      <c r="D1460">
        <v>650</v>
      </c>
      <c r="E1460">
        <v>1008</v>
      </c>
      <c r="F1460" s="5">
        <v>43831</v>
      </c>
      <c r="G1460">
        <v>650</v>
      </c>
      <c r="H1460" t="s">
        <v>57</v>
      </c>
    </row>
    <row r="1461" spans="1:8" x14ac:dyDescent="0.3">
      <c r="A1461">
        <v>134</v>
      </c>
      <c r="B1461" s="5">
        <v>43846</v>
      </c>
      <c r="C1461" t="s">
        <v>10</v>
      </c>
      <c r="D1461">
        <v>911</v>
      </c>
      <c r="E1461">
        <v>1919</v>
      </c>
      <c r="F1461" s="5">
        <v>43831</v>
      </c>
      <c r="G1461">
        <v>911</v>
      </c>
      <c r="H1461" t="s">
        <v>57</v>
      </c>
    </row>
    <row r="1462" spans="1:8" x14ac:dyDescent="0.3">
      <c r="A1462">
        <v>134</v>
      </c>
      <c r="B1462" s="5">
        <v>43855</v>
      </c>
      <c r="C1462" t="s">
        <v>10</v>
      </c>
      <c r="D1462">
        <v>980</v>
      </c>
      <c r="E1462">
        <v>2899</v>
      </c>
      <c r="F1462" s="5">
        <v>43831</v>
      </c>
      <c r="G1462">
        <v>980</v>
      </c>
      <c r="H1462" t="s">
        <v>57</v>
      </c>
    </row>
    <row r="1463" spans="1:8" x14ac:dyDescent="0.3">
      <c r="A1463">
        <v>134</v>
      </c>
      <c r="B1463" s="5">
        <v>43856</v>
      </c>
      <c r="C1463" t="s">
        <v>10</v>
      </c>
      <c r="D1463">
        <v>496</v>
      </c>
      <c r="E1463">
        <v>3395</v>
      </c>
      <c r="F1463" s="5">
        <v>43831</v>
      </c>
      <c r="G1463">
        <v>496</v>
      </c>
      <c r="H1463" t="s">
        <v>57</v>
      </c>
    </row>
    <row r="1464" spans="1:8" x14ac:dyDescent="0.3">
      <c r="A1464">
        <v>134</v>
      </c>
      <c r="B1464" s="5">
        <v>43856</v>
      </c>
      <c r="C1464" t="s">
        <v>11</v>
      </c>
      <c r="D1464">
        <v>201</v>
      </c>
      <c r="E1464">
        <v>3194</v>
      </c>
      <c r="F1464" s="5">
        <v>43831</v>
      </c>
      <c r="G1464">
        <v>-201</v>
      </c>
      <c r="H1464" t="s">
        <v>57</v>
      </c>
    </row>
    <row r="1465" spans="1:8" x14ac:dyDescent="0.3">
      <c r="A1465">
        <v>134</v>
      </c>
      <c r="B1465" s="5">
        <v>43866</v>
      </c>
      <c r="C1465" t="s">
        <v>12</v>
      </c>
      <c r="D1465">
        <v>136</v>
      </c>
      <c r="E1465">
        <v>3058</v>
      </c>
      <c r="F1465" s="5">
        <v>43862</v>
      </c>
      <c r="G1465">
        <v>-136</v>
      </c>
      <c r="H1465" t="s">
        <v>57</v>
      </c>
    </row>
    <row r="1466" spans="1:8" x14ac:dyDescent="0.3">
      <c r="A1466">
        <v>134</v>
      </c>
      <c r="B1466" s="5">
        <v>43868</v>
      </c>
      <c r="C1466" t="s">
        <v>10</v>
      </c>
      <c r="D1466">
        <v>135</v>
      </c>
      <c r="E1466">
        <v>3193</v>
      </c>
      <c r="F1466" s="5">
        <v>43862</v>
      </c>
      <c r="G1466">
        <v>135</v>
      </c>
      <c r="H1466" t="s">
        <v>57</v>
      </c>
    </row>
    <row r="1467" spans="1:8" x14ac:dyDescent="0.3">
      <c r="A1467">
        <v>134</v>
      </c>
      <c r="B1467" s="5">
        <v>43875</v>
      </c>
      <c r="C1467" t="s">
        <v>11</v>
      </c>
      <c r="D1467">
        <v>189</v>
      </c>
      <c r="E1467">
        <v>3004</v>
      </c>
      <c r="F1467" s="5">
        <v>43862</v>
      </c>
      <c r="G1467">
        <v>-189</v>
      </c>
      <c r="H1467" t="s">
        <v>57</v>
      </c>
    </row>
    <row r="1468" spans="1:8" x14ac:dyDescent="0.3">
      <c r="A1468">
        <v>134</v>
      </c>
      <c r="B1468" s="5">
        <v>43880</v>
      </c>
      <c r="C1468" t="s">
        <v>12</v>
      </c>
      <c r="D1468">
        <v>670</v>
      </c>
      <c r="E1468">
        <v>2334</v>
      </c>
      <c r="F1468" s="5">
        <v>43862</v>
      </c>
      <c r="G1468">
        <v>-670</v>
      </c>
      <c r="H1468" t="s">
        <v>57</v>
      </c>
    </row>
    <row r="1469" spans="1:8" x14ac:dyDescent="0.3">
      <c r="A1469">
        <v>134</v>
      </c>
      <c r="B1469" s="5">
        <v>43887</v>
      </c>
      <c r="C1469" t="s">
        <v>12</v>
      </c>
      <c r="D1469">
        <v>102</v>
      </c>
      <c r="E1469">
        <v>2232</v>
      </c>
      <c r="F1469" s="5">
        <v>43862</v>
      </c>
      <c r="G1469">
        <v>-102</v>
      </c>
      <c r="H1469" t="s">
        <v>57</v>
      </c>
    </row>
    <row r="1470" spans="1:8" x14ac:dyDescent="0.3">
      <c r="A1470">
        <v>134</v>
      </c>
      <c r="B1470" s="5">
        <v>43888</v>
      </c>
      <c r="C1470" t="s">
        <v>10</v>
      </c>
      <c r="D1470">
        <v>579</v>
      </c>
      <c r="E1470">
        <v>2811</v>
      </c>
      <c r="F1470" s="5">
        <v>43862</v>
      </c>
      <c r="G1470">
        <v>579</v>
      </c>
      <c r="H1470" t="s">
        <v>57</v>
      </c>
    </row>
    <row r="1471" spans="1:8" x14ac:dyDescent="0.3">
      <c r="A1471">
        <v>134</v>
      </c>
      <c r="B1471" s="5">
        <v>43890</v>
      </c>
      <c r="C1471" t="s">
        <v>11</v>
      </c>
      <c r="D1471">
        <v>63</v>
      </c>
      <c r="E1471">
        <v>2748</v>
      </c>
      <c r="F1471" s="5">
        <v>43862</v>
      </c>
      <c r="G1471">
        <v>-63</v>
      </c>
      <c r="H1471" t="s">
        <v>57</v>
      </c>
    </row>
    <row r="1472" spans="1:8" x14ac:dyDescent="0.3">
      <c r="A1472">
        <v>134</v>
      </c>
      <c r="B1472" s="5">
        <v>43899</v>
      </c>
      <c r="C1472" t="s">
        <v>11</v>
      </c>
      <c r="D1472">
        <v>339</v>
      </c>
      <c r="E1472">
        <v>2409</v>
      </c>
      <c r="F1472" s="5">
        <v>43891</v>
      </c>
      <c r="G1472">
        <v>-339</v>
      </c>
      <c r="H1472" t="s">
        <v>57</v>
      </c>
    </row>
    <row r="1473" spans="1:8" x14ac:dyDescent="0.3">
      <c r="A1473">
        <v>134</v>
      </c>
      <c r="B1473" s="5">
        <v>43906</v>
      </c>
      <c r="C1473" t="s">
        <v>12</v>
      </c>
      <c r="D1473">
        <v>841</v>
      </c>
      <c r="E1473">
        <v>1568</v>
      </c>
      <c r="F1473" s="5">
        <v>43891</v>
      </c>
      <c r="G1473">
        <v>-841</v>
      </c>
      <c r="H1473" t="s">
        <v>57</v>
      </c>
    </row>
    <row r="1474" spans="1:8" x14ac:dyDescent="0.3">
      <c r="A1474">
        <v>134</v>
      </c>
      <c r="B1474" s="5">
        <v>43910</v>
      </c>
      <c r="C1474" t="s">
        <v>10</v>
      </c>
      <c r="D1474">
        <v>328</v>
      </c>
      <c r="E1474">
        <v>1896</v>
      </c>
      <c r="F1474" s="5">
        <v>43891</v>
      </c>
      <c r="G1474">
        <v>328</v>
      </c>
      <c r="H1474" t="s">
        <v>57</v>
      </c>
    </row>
    <row r="1475" spans="1:8" x14ac:dyDescent="0.3">
      <c r="A1475">
        <v>134</v>
      </c>
      <c r="B1475" s="5">
        <v>43913</v>
      </c>
      <c r="C1475" t="s">
        <v>10</v>
      </c>
      <c r="D1475">
        <v>155</v>
      </c>
      <c r="E1475">
        <v>2051</v>
      </c>
      <c r="F1475" s="5">
        <v>43891</v>
      </c>
      <c r="G1475">
        <v>155</v>
      </c>
      <c r="H1475" t="s">
        <v>57</v>
      </c>
    </row>
    <row r="1476" spans="1:8" x14ac:dyDescent="0.3">
      <c r="A1476">
        <v>134</v>
      </c>
      <c r="B1476" s="5">
        <v>43917</v>
      </c>
      <c r="C1476" t="s">
        <v>12</v>
      </c>
      <c r="D1476">
        <v>283</v>
      </c>
      <c r="E1476">
        <v>1768</v>
      </c>
      <c r="F1476" s="5">
        <v>43891</v>
      </c>
      <c r="G1476">
        <v>-283</v>
      </c>
      <c r="H1476" t="s">
        <v>57</v>
      </c>
    </row>
    <row r="1477" spans="1:8" x14ac:dyDescent="0.3">
      <c r="A1477">
        <v>135</v>
      </c>
      <c r="B1477" s="5">
        <v>43839</v>
      </c>
      <c r="C1477" t="s">
        <v>10</v>
      </c>
      <c r="D1477">
        <v>949</v>
      </c>
      <c r="E1477">
        <v>949</v>
      </c>
      <c r="F1477" s="5">
        <v>43831</v>
      </c>
      <c r="G1477">
        <v>949</v>
      </c>
      <c r="H1477" t="s">
        <v>57</v>
      </c>
    </row>
    <row r="1478" spans="1:8" x14ac:dyDescent="0.3">
      <c r="A1478">
        <v>135</v>
      </c>
      <c r="B1478" s="5">
        <v>43852</v>
      </c>
      <c r="C1478" t="s">
        <v>12</v>
      </c>
      <c r="D1478">
        <v>14</v>
      </c>
      <c r="E1478">
        <v>935</v>
      </c>
      <c r="F1478" s="5">
        <v>43831</v>
      </c>
      <c r="G1478">
        <v>-14</v>
      </c>
      <c r="H1478" t="s">
        <v>57</v>
      </c>
    </row>
    <row r="1479" spans="1:8" x14ac:dyDescent="0.3">
      <c r="A1479">
        <v>135</v>
      </c>
      <c r="B1479" s="5">
        <v>43860</v>
      </c>
      <c r="C1479" t="s">
        <v>12</v>
      </c>
      <c r="D1479">
        <v>831</v>
      </c>
      <c r="E1479">
        <v>104</v>
      </c>
      <c r="F1479" s="5">
        <v>43831</v>
      </c>
      <c r="G1479">
        <v>-831</v>
      </c>
      <c r="H1479" t="s">
        <v>57</v>
      </c>
    </row>
    <row r="1480" spans="1:8" x14ac:dyDescent="0.3">
      <c r="A1480">
        <v>135</v>
      </c>
      <c r="B1480" s="5">
        <v>43872</v>
      </c>
      <c r="C1480" t="s">
        <v>10</v>
      </c>
      <c r="D1480">
        <v>491</v>
      </c>
      <c r="E1480">
        <v>595</v>
      </c>
      <c r="F1480" s="5">
        <v>43862</v>
      </c>
      <c r="G1480">
        <v>491</v>
      </c>
      <c r="H1480" t="s">
        <v>57</v>
      </c>
    </row>
    <row r="1481" spans="1:8" x14ac:dyDescent="0.3">
      <c r="A1481">
        <v>135</v>
      </c>
      <c r="B1481" s="5">
        <v>43875</v>
      </c>
      <c r="C1481" t="s">
        <v>10</v>
      </c>
      <c r="D1481">
        <v>470</v>
      </c>
      <c r="E1481">
        <v>1065</v>
      </c>
      <c r="F1481" s="5">
        <v>43862</v>
      </c>
      <c r="G1481">
        <v>470</v>
      </c>
      <c r="H1481" t="s">
        <v>57</v>
      </c>
    </row>
    <row r="1482" spans="1:8" x14ac:dyDescent="0.3">
      <c r="A1482">
        <v>135</v>
      </c>
      <c r="B1482" s="5">
        <v>43877</v>
      </c>
      <c r="C1482" t="s">
        <v>10</v>
      </c>
      <c r="D1482">
        <v>834</v>
      </c>
      <c r="E1482">
        <v>1899</v>
      </c>
      <c r="F1482" s="5">
        <v>43862</v>
      </c>
      <c r="G1482">
        <v>834</v>
      </c>
      <c r="H1482" t="s">
        <v>57</v>
      </c>
    </row>
    <row r="1483" spans="1:8" x14ac:dyDescent="0.3">
      <c r="A1483">
        <v>135</v>
      </c>
      <c r="B1483" s="5">
        <v>43882</v>
      </c>
      <c r="C1483" t="s">
        <v>11</v>
      </c>
      <c r="D1483">
        <v>78</v>
      </c>
      <c r="E1483">
        <v>1821</v>
      </c>
      <c r="F1483" s="5">
        <v>43862</v>
      </c>
      <c r="G1483">
        <v>-78</v>
      </c>
      <c r="H1483" t="s">
        <v>57</v>
      </c>
    </row>
    <row r="1484" spans="1:8" x14ac:dyDescent="0.3">
      <c r="A1484">
        <v>135</v>
      </c>
      <c r="B1484" s="5">
        <v>43883</v>
      </c>
      <c r="C1484" t="s">
        <v>12</v>
      </c>
      <c r="D1484">
        <v>375</v>
      </c>
      <c r="E1484">
        <v>1446</v>
      </c>
      <c r="F1484" s="5">
        <v>43862</v>
      </c>
      <c r="G1484">
        <v>-375</v>
      </c>
      <c r="H1484" t="s">
        <v>57</v>
      </c>
    </row>
    <row r="1485" spans="1:8" x14ac:dyDescent="0.3">
      <c r="A1485">
        <v>135</v>
      </c>
      <c r="B1485" s="5">
        <v>43888</v>
      </c>
      <c r="C1485" t="s">
        <v>11</v>
      </c>
      <c r="D1485">
        <v>469</v>
      </c>
      <c r="E1485">
        <v>977</v>
      </c>
      <c r="F1485" s="5">
        <v>43862</v>
      </c>
      <c r="G1485">
        <v>-469</v>
      </c>
      <c r="H1485" t="s">
        <v>57</v>
      </c>
    </row>
    <row r="1486" spans="1:8" x14ac:dyDescent="0.3">
      <c r="A1486">
        <v>135</v>
      </c>
      <c r="B1486" s="5">
        <v>43899</v>
      </c>
      <c r="C1486" t="s">
        <v>12</v>
      </c>
      <c r="D1486">
        <v>178</v>
      </c>
      <c r="E1486">
        <v>799</v>
      </c>
      <c r="F1486" s="5">
        <v>43891</v>
      </c>
      <c r="G1486">
        <v>-178</v>
      </c>
      <c r="H1486" t="s">
        <v>57</v>
      </c>
    </row>
    <row r="1487" spans="1:8" x14ac:dyDescent="0.3">
      <c r="A1487">
        <v>135</v>
      </c>
      <c r="B1487" s="5">
        <v>43913</v>
      </c>
      <c r="C1487" t="s">
        <v>10</v>
      </c>
      <c r="D1487">
        <v>202</v>
      </c>
      <c r="E1487">
        <v>1001</v>
      </c>
      <c r="F1487" s="5">
        <v>43891</v>
      </c>
      <c r="G1487">
        <v>202</v>
      </c>
      <c r="H1487" t="s">
        <v>57</v>
      </c>
    </row>
    <row r="1488" spans="1:8" x14ac:dyDescent="0.3">
      <c r="A1488">
        <v>136</v>
      </c>
      <c r="B1488" s="5">
        <v>43841</v>
      </c>
      <c r="C1488" t="s">
        <v>10</v>
      </c>
      <c r="D1488">
        <v>882</v>
      </c>
      <c r="E1488">
        <v>882</v>
      </c>
      <c r="F1488" s="5">
        <v>43831</v>
      </c>
      <c r="G1488">
        <v>882</v>
      </c>
      <c r="H1488" t="s">
        <v>57</v>
      </c>
    </row>
    <row r="1489" spans="1:8" x14ac:dyDescent="0.3">
      <c r="A1489">
        <v>136</v>
      </c>
      <c r="B1489" s="5">
        <v>43842</v>
      </c>
      <c r="C1489" t="s">
        <v>10</v>
      </c>
      <c r="D1489">
        <v>19</v>
      </c>
      <c r="E1489">
        <v>901</v>
      </c>
      <c r="F1489" s="5">
        <v>43831</v>
      </c>
      <c r="G1489">
        <v>19</v>
      </c>
      <c r="H1489" t="s">
        <v>57</v>
      </c>
    </row>
    <row r="1490" spans="1:8" x14ac:dyDescent="0.3">
      <c r="A1490">
        <v>136</v>
      </c>
      <c r="B1490" s="5">
        <v>43855</v>
      </c>
      <c r="C1490" t="s">
        <v>12</v>
      </c>
      <c r="D1490">
        <v>653</v>
      </c>
      <c r="E1490">
        <v>248</v>
      </c>
      <c r="F1490" s="5">
        <v>43831</v>
      </c>
      <c r="G1490">
        <v>-653</v>
      </c>
      <c r="H1490" t="s">
        <v>57</v>
      </c>
    </row>
    <row r="1491" spans="1:8" x14ac:dyDescent="0.3">
      <c r="A1491">
        <v>136</v>
      </c>
      <c r="B1491" s="5">
        <v>43858</v>
      </c>
      <c r="C1491" t="s">
        <v>10</v>
      </c>
      <c r="D1491">
        <v>455</v>
      </c>
      <c r="E1491">
        <v>703</v>
      </c>
      <c r="F1491" s="5">
        <v>43831</v>
      </c>
      <c r="G1491">
        <v>455</v>
      </c>
      <c r="H1491" t="s">
        <v>57</v>
      </c>
    </row>
    <row r="1492" spans="1:8" x14ac:dyDescent="0.3">
      <c r="A1492">
        <v>136</v>
      </c>
      <c r="B1492" s="5">
        <v>43859</v>
      </c>
      <c r="C1492" t="s">
        <v>12</v>
      </c>
      <c r="D1492">
        <v>224</v>
      </c>
      <c r="E1492">
        <v>479</v>
      </c>
      <c r="F1492" s="5">
        <v>43831</v>
      </c>
      <c r="G1492">
        <v>-224</v>
      </c>
      <c r="H1492" t="s">
        <v>57</v>
      </c>
    </row>
    <row r="1493" spans="1:8" x14ac:dyDescent="0.3">
      <c r="A1493">
        <v>136</v>
      </c>
      <c r="B1493" s="5">
        <v>43888</v>
      </c>
      <c r="C1493" t="s">
        <v>10</v>
      </c>
      <c r="D1493">
        <v>487</v>
      </c>
      <c r="E1493">
        <v>966</v>
      </c>
      <c r="F1493" s="5">
        <v>43862</v>
      </c>
      <c r="G1493">
        <v>487</v>
      </c>
      <c r="H1493" t="s">
        <v>57</v>
      </c>
    </row>
    <row r="1494" spans="1:8" x14ac:dyDescent="0.3">
      <c r="A1494">
        <v>136</v>
      </c>
      <c r="B1494" s="5">
        <v>43896</v>
      </c>
      <c r="C1494" t="s">
        <v>12</v>
      </c>
      <c r="D1494">
        <v>116</v>
      </c>
      <c r="E1494">
        <v>850</v>
      </c>
      <c r="F1494" s="5">
        <v>43891</v>
      </c>
      <c r="G1494">
        <v>-116</v>
      </c>
      <c r="H1494" t="s">
        <v>57</v>
      </c>
    </row>
    <row r="1495" spans="1:8" x14ac:dyDescent="0.3">
      <c r="A1495">
        <v>136</v>
      </c>
      <c r="B1495" s="5">
        <v>43901</v>
      </c>
      <c r="C1495" t="s">
        <v>10</v>
      </c>
      <c r="D1495">
        <v>53</v>
      </c>
      <c r="E1495">
        <v>903</v>
      </c>
      <c r="F1495" s="5">
        <v>43891</v>
      </c>
      <c r="G1495">
        <v>53</v>
      </c>
      <c r="H1495" t="s">
        <v>57</v>
      </c>
    </row>
    <row r="1496" spans="1:8" x14ac:dyDescent="0.3">
      <c r="A1496">
        <v>136</v>
      </c>
      <c r="B1496" s="5">
        <v>43914</v>
      </c>
      <c r="C1496" t="s">
        <v>12</v>
      </c>
      <c r="D1496">
        <v>623</v>
      </c>
      <c r="E1496">
        <v>280</v>
      </c>
      <c r="F1496" s="5">
        <v>43891</v>
      </c>
      <c r="G1496">
        <v>-623</v>
      </c>
      <c r="H1496" t="s">
        <v>57</v>
      </c>
    </row>
    <row r="1497" spans="1:8" x14ac:dyDescent="0.3">
      <c r="A1497">
        <v>136</v>
      </c>
      <c r="B1497" s="5">
        <v>43916</v>
      </c>
      <c r="C1497" t="s">
        <v>10</v>
      </c>
      <c r="D1497">
        <v>103</v>
      </c>
      <c r="E1497">
        <v>383</v>
      </c>
      <c r="F1497" s="5">
        <v>43891</v>
      </c>
      <c r="G1497">
        <v>103</v>
      </c>
      <c r="H1497" t="s">
        <v>57</v>
      </c>
    </row>
    <row r="1498" spans="1:8" x14ac:dyDescent="0.3">
      <c r="A1498">
        <v>136</v>
      </c>
      <c r="B1498" s="5">
        <v>43923</v>
      </c>
      <c r="C1498" t="s">
        <v>10</v>
      </c>
      <c r="D1498">
        <v>194</v>
      </c>
      <c r="E1498">
        <v>577</v>
      </c>
      <c r="F1498" s="5">
        <v>43922</v>
      </c>
      <c r="G1498">
        <v>194</v>
      </c>
      <c r="H1498" t="s">
        <v>57</v>
      </c>
    </row>
    <row r="1499" spans="1:8" x14ac:dyDescent="0.3">
      <c r="A1499">
        <v>136</v>
      </c>
      <c r="B1499" s="5">
        <v>43930</v>
      </c>
      <c r="C1499" t="s">
        <v>11</v>
      </c>
      <c r="D1499">
        <v>710</v>
      </c>
      <c r="E1499">
        <v>-133</v>
      </c>
      <c r="F1499" s="5">
        <v>43922</v>
      </c>
      <c r="G1499">
        <v>-710</v>
      </c>
      <c r="H1499" t="s">
        <v>58</v>
      </c>
    </row>
    <row r="1500" spans="1:8" x14ac:dyDescent="0.3">
      <c r="A1500">
        <v>137</v>
      </c>
      <c r="B1500" s="5">
        <v>43836</v>
      </c>
      <c r="C1500" t="s">
        <v>10</v>
      </c>
      <c r="D1500">
        <v>881</v>
      </c>
      <c r="E1500">
        <v>881</v>
      </c>
      <c r="F1500" s="5">
        <v>43831</v>
      </c>
      <c r="G1500">
        <v>881</v>
      </c>
      <c r="H1500" t="s">
        <v>57</v>
      </c>
    </row>
    <row r="1501" spans="1:8" x14ac:dyDescent="0.3">
      <c r="A1501">
        <v>137</v>
      </c>
      <c r="B1501" s="5">
        <v>43850</v>
      </c>
      <c r="C1501" t="s">
        <v>11</v>
      </c>
      <c r="D1501">
        <v>403</v>
      </c>
      <c r="E1501">
        <v>478</v>
      </c>
      <c r="F1501" s="5">
        <v>43831</v>
      </c>
      <c r="G1501">
        <v>-403</v>
      </c>
      <c r="H1501" t="s">
        <v>57</v>
      </c>
    </row>
    <row r="1502" spans="1:8" x14ac:dyDescent="0.3">
      <c r="A1502">
        <v>137</v>
      </c>
      <c r="B1502" s="5">
        <v>43853</v>
      </c>
      <c r="C1502" t="s">
        <v>11</v>
      </c>
      <c r="D1502">
        <v>82</v>
      </c>
      <c r="E1502">
        <v>396</v>
      </c>
      <c r="F1502" s="5">
        <v>43831</v>
      </c>
      <c r="G1502">
        <v>-82</v>
      </c>
      <c r="H1502" t="s">
        <v>57</v>
      </c>
    </row>
    <row r="1503" spans="1:8" x14ac:dyDescent="0.3">
      <c r="A1503">
        <v>137</v>
      </c>
      <c r="B1503" s="5">
        <v>43877</v>
      </c>
      <c r="C1503" t="s">
        <v>11</v>
      </c>
      <c r="D1503">
        <v>752</v>
      </c>
      <c r="E1503">
        <v>-356</v>
      </c>
      <c r="F1503" s="5">
        <v>43862</v>
      </c>
      <c r="G1503">
        <v>-752</v>
      </c>
      <c r="H1503" t="s">
        <v>58</v>
      </c>
    </row>
    <row r="1504" spans="1:8" x14ac:dyDescent="0.3">
      <c r="A1504">
        <v>138</v>
      </c>
      <c r="B1504" s="5">
        <v>43841</v>
      </c>
      <c r="C1504" t="s">
        <v>10</v>
      </c>
      <c r="D1504">
        <v>520</v>
      </c>
      <c r="E1504">
        <v>520</v>
      </c>
      <c r="F1504" s="5">
        <v>43831</v>
      </c>
      <c r="G1504">
        <v>520</v>
      </c>
      <c r="H1504" t="s">
        <v>57</v>
      </c>
    </row>
    <row r="1505" spans="1:8" x14ac:dyDescent="0.3">
      <c r="A1505">
        <v>138</v>
      </c>
      <c r="B1505" s="5">
        <v>43853</v>
      </c>
      <c r="C1505" t="s">
        <v>10</v>
      </c>
      <c r="D1505">
        <v>758</v>
      </c>
      <c r="E1505">
        <v>1278</v>
      </c>
      <c r="F1505" s="5">
        <v>43831</v>
      </c>
      <c r="G1505">
        <v>758</v>
      </c>
      <c r="H1505" t="s">
        <v>57</v>
      </c>
    </row>
    <row r="1506" spans="1:8" x14ac:dyDescent="0.3">
      <c r="A1506">
        <v>138</v>
      </c>
      <c r="B1506" s="5">
        <v>43861</v>
      </c>
      <c r="C1506" t="s">
        <v>10</v>
      </c>
      <c r="D1506">
        <v>38</v>
      </c>
      <c r="E1506">
        <v>1316</v>
      </c>
      <c r="F1506" s="5">
        <v>43831</v>
      </c>
      <c r="G1506">
        <v>38</v>
      </c>
      <c r="H1506" t="s">
        <v>57</v>
      </c>
    </row>
    <row r="1507" spans="1:8" x14ac:dyDescent="0.3">
      <c r="A1507">
        <v>138</v>
      </c>
      <c r="B1507" s="5">
        <v>43862</v>
      </c>
      <c r="C1507" t="s">
        <v>10</v>
      </c>
      <c r="D1507">
        <v>819</v>
      </c>
      <c r="E1507">
        <v>2135</v>
      </c>
      <c r="F1507" s="5">
        <v>43862</v>
      </c>
      <c r="G1507">
        <v>819</v>
      </c>
      <c r="H1507" t="s">
        <v>57</v>
      </c>
    </row>
    <row r="1508" spans="1:8" x14ac:dyDescent="0.3">
      <c r="A1508">
        <v>138</v>
      </c>
      <c r="B1508" s="5">
        <v>43864</v>
      </c>
      <c r="C1508" t="s">
        <v>12</v>
      </c>
      <c r="D1508">
        <v>954</v>
      </c>
      <c r="E1508">
        <v>1181</v>
      </c>
      <c r="F1508" s="5">
        <v>43862</v>
      </c>
      <c r="G1508">
        <v>-954</v>
      </c>
      <c r="H1508" t="s">
        <v>57</v>
      </c>
    </row>
    <row r="1509" spans="1:8" x14ac:dyDescent="0.3">
      <c r="A1509">
        <v>138</v>
      </c>
      <c r="B1509" s="5">
        <v>43866</v>
      </c>
      <c r="C1509" t="s">
        <v>11</v>
      </c>
      <c r="D1509">
        <v>485</v>
      </c>
      <c r="E1509">
        <v>696</v>
      </c>
      <c r="F1509" s="5">
        <v>43862</v>
      </c>
      <c r="G1509">
        <v>-485</v>
      </c>
      <c r="H1509" t="s">
        <v>57</v>
      </c>
    </row>
    <row r="1510" spans="1:8" x14ac:dyDescent="0.3">
      <c r="A1510">
        <v>138</v>
      </c>
      <c r="B1510" s="5">
        <v>43868</v>
      </c>
      <c r="C1510" t="s">
        <v>10</v>
      </c>
      <c r="D1510">
        <v>604</v>
      </c>
      <c r="E1510">
        <v>1300</v>
      </c>
      <c r="F1510" s="5">
        <v>43862</v>
      </c>
      <c r="G1510">
        <v>604</v>
      </c>
      <c r="H1510" t="s">
        <v>57</v>
      </c>
    </row>
    <row r="1511" spans="1:8" x14ac:dyDescent="0.3">
      <c r="A1511">
        <v>138</v>
      </c>
      <c r="B1511" s="5">
        <v>43874</v>
      </c>
      <c r="C1511" t="s">
        <v>10</v>
      </c>
      <c r="D1511">
        <v>42</v>
      </c>
      <c r="E1511">
        <v>1342</v>
      </c>
      <c r="F1511" s="5">
        <v>43862</v>
      </c>
      <c r="G1511">
        <v>42</v>
      </c>
      <c r="H1511" t="s">
        <v>57</v>
      </c>
    </row>
    <row r="1512" spans="1:8" x14ac:dyDescent="0.3">
      <c r="A1512">
        <v>138</v>
      </c>
      <c r="B1512" s="5">
        <v>43885</v>
      </c>
      <c r="C1512" t="s">
        <v>12</v>
      </c>
      <c r="D1512">
        <v>958</v>
      </c>
      <c r="E1512">
        <v>384</v>
      </c>
      <c r="F1512" s="5">
        <v>43862</v>
      </c>
      <c r="G1512">
        <v>-958</v>
      </c>
      <c r="H1512" t="s">
        <v>57</v>
      </c>
    </row>
    <row r="1513" spans="1:8" x14ac:dyDescent="0.3">
      <c r="A1513">
        <v>138</v>
      </c>
      <c r="B1513" s="5">
        <v>43890</v>
      </c>
      <c r="C1513" t="s">
        <v>11</v>
      </c>
      <c r="D1513">
        <v>64</v>
      </c>
      <c r="E1513">
        <v>320</v>
      </c>
      <c r="F1513" s="5">
        <v>43862</v>
      </c>
      <c r="G1513">
        <v>-64</v>
      </c>
      <c r="H1513" t="s">
        <v>57</v>
      </c>
    </row>
    <row r="1514" spans="1:8" x14ac:dyDescent="0.3">
      <c r="A1514">
        <v>138</v>
      </c>
      <c r="B1514" s="5">
        <v>43910</v>
      </c>
      <c r="C1514" t="s">
        <v>12</v>
      </c>
      <c r="D1514">
        <v>129</v>
      </c>
      <c r="E1514">
        <v>191</v>
      </c>
      <c r="F1514" s="5">
        <v>43891</v>
      </c>
      <c r="G1514">
        <v>-129</v>
      </c>
      <c r="H1514" t="s">
        <v>57</v>
      </c>
    </row>
    <row r="1515" spans="1:8" x14ac:dyDescent="0.3">
      <c r="A1515">
        <v>138</v>
      </c>
      <c r="B1515" s="5">
        <v>43912</v>
      </c>
      <c r="C1515" t="s">
        <v>11</v>
      </c>
      <c r="D1515">
        <v>750</v>
      </c>
      <c r="E1515">
        <v>-559</v>
      </c>
      <c r="F1515" s="5">
        <v>43891</v>
      </c>
      <c r="G1515">
        <v>-750</v>
      </c>
      <c r="H1515" t="s">
        <v>58</v>
      </c>
    </row>
    <row r="1516" spans="1:8" x14ac:dyDescent="0.3">
      <c r="A1516">
        <v>138</v>
      </c>
      <c r="B1516" s="5">
        <v>43914</v>
      </c>
      <c r="C1516" t="s">
        <v>10</v>
      </c>
      <c r="D1516">
        <v>619</v>
      </c>
      <c r="E1516">
        <v>60</v>
      </c>
      <c r="F1516" s="5">
        <v>43891</v>
      </c>
      <c r="G1516">
        <v>619</v>
      </c>
      <c r="H1516" t="s">
        <v>57</v>
      </c>
    </row>
    <row r="1517" spans="1:8" x14ac:dyDescent="0.3">
      <c r="A1517">
        <v>138</v>
      </c>
      <c r="B1517" s="5">
        <v>43919</v>
      </c>
      <c r="C1517" t="s">
        <v>10</v>
      </c>
      <c r="D1517">
        <v>15</v>
      </c>
      <c r="E1517">
        <v>75</v>
      </c>
      <c r="F1517" s="5">
        <v>43891</v>
      </c>
      <c r="G1517">
        <v>15</v>
      </c>
      <c r="H1517" t="s">
        <v>57</v>
      </c>
    </row>
    <row r="1518" spans="1:8" x14ac:dyDescent="0.3">
      <c r="A1518">
        <v>138</v>
      </c>
      <c r="B1518" s="5">
        <v>43927</v>
      </c>
      <c r="C1518" t="s">
        <v>11</v>
      </c>
      <c r="D1518">
        <v>850</v>
      </c>
      <c r="E1518">
        <v>-775</v>
      </c>
      <c r="F1518" s="5">
        <v>43922</v>
      </c>
      <c r="G1518">
        <v>-850</v>
      </c>
      <c r="H1518" t="s">
        <v>58</v>
      </c>
    </row>
    <row r="1519" spans="1:8" x14ac:dyDescent="0.3">
      <c r="A1519">
        <v>139</v>
      </c>
      <c r="B1519" s="5">
        <v>43840</v>
      </c>
      <c r="C1519" t="s">
        <v>10</v>
      </c>
      <c r="D1519">
        <v>653</v>
      </c>
      <c r="E1519">
        <v>653</v>
      </c>
      <c r="F1519" s="5">
        <v>43831</v>
      </c>
      <c r="G1519">
        <v>653</v>
      </c>
      <c r="H1519" t="s">
        <v>57</v>
      </c>
    </row>
    <row r="1520" spans="1:8" x14ac:dyDescent="0.3">
      <c r="A1520">
        <v>139</v>
      </c>
      <c r="B1520" s="5">
        <v>43847</v>
      </c>
      <c r="C1520" t="s">
        <v>11</v>
      </c>
      <c r="D1520">
        <v>370</v>
      </c>
      <c r="E1520">
        <v>283</v>
      </c>
      <c r="F1520" s="5">
        <v>43831</v>
      </c>
      <c r="G1520">
        <v>-370</v>
      </c>
      <c r="H1520" t="s">
        <v>57</v>
      </c>
    </row>
    <row r="1521" spans="1:8" x14ac:dyDescent="0.3">
      <c r="A1521">
        <v>139</v>
      </c>
      <c r="B1521" s="5">
        <v>43848</v>
      </c>
      <c r="C1521" t="s">
        <v>12</v>
      </c>
      <c r="D1521">
        <v>353</v>
      </c>
      <c r="E1521">
        <v>-70</v>
      </c>
      <c r="F1521" s="5">
        <v>43831</v>
      </c>
      <c r="G1521">
        <v>-353</v>
      </c>
      <c r="H1521" t="s">
        <v>58</v>
      </c>
    </row>
    <row r="1522" spans="1:8" x14ac:dyDescent="0.3">
      <c r="A1522">
        <v>139</v>
      </c>
      <c r="B1522" s="5">
        <v>43853</v>
      </c>
      <c r="C1522" t="s">
        <v>11</v>
      </c>
      <c r="D1522">
        <v>180</v>
      </c>
      <c r="E1522">
        <v>-250</v>
      </c>
      <c r="F1522" s="5">
        <v>43831</v>
      </c>
      <c r="G1522">
        <v>-180</v>
      </c>
      <c r="H1522" t="s">
        <v>58</v>
      </c>
    </row>
    <row r="1523" spans="1:8" x14ac:dyDescent="0.3">
      <c r="A1523">
        <v>139</v>
      </c>
      <c r="B1523" s="5">
        <v>43856</v>
      </c>
      <c r="C1523" t="s">
        <v>11</v>
      </c>
      <c r="D1523">
        <v>95</v>
      </c>
      <c r="E1523">
        <v>-345</v>
      </c>
      <c r="F1523" s="5">
        <v>43831</v>
      </c>
      <c r="G1523">
        <v>-95</v>
      </c>
      <c r="H1523" t="s">
        <v>58</v>
      </c>
    </row>
    <row r="1524" spans="1:8" x14ac:dyDescent="0.3">
      <c r="A1524">
        <v>139</v>
      </c>
      <c r="B1524" s="5">
        <v>43861</v>
      </c>
      <c r="C1524" t="s">
        <v>10</v>
      </c>
      <c r="D1524">
        <v>389</v>
      </c>
      <c r="E1524">
        <v>44</v>
      </c>
      <c r="F1524" s="5">
        <v>43831</v>
      </c>
      <c r="G1524">
        <v>389</v>
      </c>
      <c r="H1524" t="s">
        <v>57</v>
      </c>
    </row>
    <row r="1525" spans="1:8" x14ac:dyDescent="0.3">
      <c r="A1525">
        <v>139</v>
      </c>
      <c r="B1525" s="5">
        <v>43865</v>
      </c>
      <c r="C1525" t="s">
        <v>10</v>
      </c>
      <c r="D1525">
        <v>460</v>
      </c>
      <c r="E1525">
        <v>504</v>
      </c>
      <c r="F1525" s="5">
        <v>43862</v>
      </c>
      <c r="G1525">
        <v>460</v>
      </c>
      <c r="H1525" t="s">
        <v>57</v>
      </c>
    </row>
    <row r="1526" spans="1:8" x14ac:dyDescent="0.3">
      <c r="A1526">
        <v>139</v>
      </c>
      <c r="B1526" s="5">
        <v>43891</v>
      </c>
      <c r="C1526" t="s">
        <v>12</v>
      </c>
      <c r="D1526">
        <v>613</v>
      </c>
      <c r="E1526">
        <v>-109</v>
      </c>
      <c r="F1526" s="5">
        <v>43891</v>
      </c>
      <c r="G1526">
        <v>-613</v>
      </c>
      <c r="H1526" t="s">
        <v>58</v>
      </c>
    </row>
    <row r="1527" spans="1:8" x14ac:dyDescent="0.3">
      <c r="A1527">
        <v>139</v>
      </c>
      <c r="B1527" s="5">
        <v>43892</v>
      </c>
      <c r="C1527" t="s">
        <v>10</v>
      </c>
      <c r="D1527">
        <v>418</v>
      </c>
      <c r="E1527">
        <v>309</v>
      </c>
      <c r="F1527" s="5">
        <v>43891</v>
      </c>
      <c r="G1527">
        <v>418</v>
      </c>
      <c r="H1527" t="s">
        <v>57</v>
      </c>
    </row>
    <row r="1528" spans="1:8" x14ac:dyDescent="0.3">
      <c r="A1528">
        <v>139</v>
      </c>
      <c r="B1528" s="5">
        <v>43893</v>
      </c>
      <c r="C1528" t="s">
        <v>12</v>
      </c>
      <c r="D1528">
        <v>442</v>
      </c>
      <c r="E1528">
        <v>-133</v>
      </c>
      <c r="F1528" s="5">
        <v>43891</v>
      </c>
      <c r="G1528">
        <v>-442</v>
      </c>
      <c r="H1528" t="s">
        <v>58</v>
      </c>
    </row>
    <row r="1529" spans="1:8" x14ac:dyDescent="0.3">
      <c r="A1529">
        <v>139</v>
      </c>
      <c r="B1529" s="5">
        <v>43894</v>
      </c>
      <c r="C1529" t="s">
        <v>10</v>
      </c>
      <c r="D1529">
        <v>830</v>
      </c>
      <c r="E1529">
        <v>697</v>
      </c>
      <c r="F1529" s="5">
        <v>43891</v>
      </c>
      <c r="G1529">
        <v>830</v>
      </c>
      <c r="H1529" t="s">
        <v>57</v>
      </c>
    </row>
    <row r="1530" spans="1:8" x14ac:dyDescent="0.3">
      <c r="A1530">
        <v>139</v>
      </c>
      <c r="B1530" s="5">
        <v>43897</v>
      </c>
      <c r="C1530" t="s">
        <v>12</v>
      </c>
      <c r="D1530">
        <v>983</v>
      </c>
      <c r="E1530">
        <v>-286</v>
      </c>
      <c r="F1530" s="5">
        <v>43891</v>
      </c>
      <c r="G1530">
        <v>-983</v>
      </c>
      <c r="H1530" t="s">
        <v>58</v>
      </c>
    </row>
    <row r="1531" spans="1:8" x14ac:dyDescent="0.3">
      <c r="A1531">
        <v>139</v>
      </c>
      <c r="B1531" s="5">
        <v>43900</v>
      </c>
      <c r="C1531" t="s">
        <v>10</v>
      </c>
      <c r="D1531">
        <v>951</v>
      </c>
      <c r="E1531">
        <v>665</v>
      </c>
      <c r="F1531" s="5">
        <v>43891</v>
      </c>
      <c r="G1531">
        <v>951</v>
      </c>
      <c r="H1531" t="s">
        <v>57</v>
      </c>
    </row>
    <row r="1532" spans="1:8" x14ac:dyDescent="0.3">
      <c r="A1532">
        <v>139</v>
      </c>
      <c r="B1532" s="5">
        <v>43904</v>
      </c>
      <c r="C1532" t="s">
        <v>10</v>
      </c>
      <c r="D1532">
        <v>562</v>
      </c>
      <c r="E1532">
        <v>1227</v>
      </c>
      <c r="F1532" s="5">
        <v>43891</v>
      </c>
      <c r="G1532">
        <v>562</v>
      </c>
      <c r="H1532" t="s">
        <v>57</v>
      </c>
    </row>
    <row r="1533" spans="1:8" x14ac:dyDescent="0.3">
      <c r="A1533">
        <v>139</v>
      </c>
      <c r="B1533" s="5">
        <v>43918</v>
      </c>
      <c r="C1533" t="s">
        <v>12</v>
      </c>
      <c r="D1533">
        <v>690</v>
      </c>
      <c r="E1533">
        <v>537</v>
      </c>
      <c r="F1533" s="5">
        <v>43891</v>
      </c>
      <c r="G1533">
        <v>-690</v>
      </c>
      <c r="H1533" t="s">
        <v>57</v>
      </c>
    </row>
    <row r="1534" spans="1:8" x14ac:dyDescent="0.3">
      <c r="A1534">
        <v>140</v>
      </c>
      <c r="B1534" s="5">
        <v>43856</v>
      </c>
      <c r="C1534" t="s">
        <v>10</v>
      </c>
      <c r="D1534">
        <v>138</v>
      </c>
      <c r="E1534">
        <v>138</v>
      </c>
      <c r="F1534" s="5">
        <v>43831</v>
      </c>
      <c r="G1534">
        <v>138</v>
      </c>
      <c r="H1534" t="s">
        <v>57</v>
      </c>
    </row>
    <row r="1535" spans="1:8" x14ac:dyDescent="0.3">
      <c r="A1535">
        <v>140</v>
      </c>
      <c r="B1535" s="5">
        <v>43856</v>
      </c>
      <c r="C1535" t="s">
        <v>10</v>
      </c>
      <c r="D1535">
        <v>665</v>
      </c>
      <c r="E1535">
        <v>803</v>
      </c>
      <c r="F1535" s="5">
        <v>43831</v>
      </c>
      <c r="G1535">
        <v>665</v>
      </c>
      <c r="H1535" t="s">
        <v>57</v>
      </c>
    </row>
    <row r="1536" spans="1:8" x14ac:dyDescent="0.3">
      <c r="A1536">
        <v>140</v>
      </c>
      <c r="B1536" s="5">
        <v>43862</v>
      </c>
      <c r="C1536" t="s">
        <v>10</v>
      </c>
      <c r="D1536">
        <v>180</v>
      </c>
      <c r="E1536">
        <v>983</v>
      </c>
      <c r="F1536" s="5">
        <v>43862</v>
      </c>
      <c r="G1536">
        <v>180</v>
      </c>
      <c r="H1536" t="s">
        <v>57</v>
      </c>
    </row>
    <row r="1537" spans="1:8" x14ac:dyDescent="0.3">
      <c r="A1537">
        <v>140</v>
      </c>
      <c r="B1537" s="5">
        <v>43874</v>
      </c>
      <c r="C1537" t="s">
        <v>10</v>
      </c>
      <c r="D1537">
        <v>543</v>
      </c>
      <c r="E1537">
        <v>1526</v>
      </c>
      <c r="F1537" s="5">
        <v>43862</v>
      </c>
      <c r="G1537">
        <v>543</v>
      </c>
      <c r="H1537" t="s">
        <v>57</v>
      </c>
    </row>
    <row r="1538" spans="1:8" x14ac:dyDescent="0.3">
      <c r="A1538">
        <v>140</v>
      </c>
      <c r="B1538" s="5">
        <v>43895</v>
      </c>
      <c r="C1538" t="s">
        <v>12</v>
      </c>
      <c r="D1538">
        <v>339</v>
      </c>
      <c r="E1538">
        <v>1187</v>
      </c>
      <c r="F1538" s="5">
        <v>43891</v>
      </c>
      <c r="G1538">
        <v>-339</v>
      </c>
      <c r="H1538" t="s">
        <v>57</v>
      </c>
    </row>
    <row r="1539" spans="1:8" x14ac:dyDescent="0.3">
      <c r="A1539">
        <v>140</v>
      </c>
      <c r="B1539" s="5">
        <v>43911</v>
      </c>
      <c r="C1539" t="s">
        <v>11</v>
      </c>
      <c r="D1539">
        <v>11</v>
      </c>
      <c r="E1539">
        <v>1176</v>
      </c>
      <c r="F1539" s="5">
        <v>43891</v>
      </c>
      <c r="G1539">
        <v>-11</v>
      </c>
      <c r="H1539" t="s">
        <v>57</v>
      </c>
    </row>
    <row r="1540" spans="1:8" x14ac:dyDescent="0.3">
      <c r="A1540">
        <v>140</v>
      </c>
      <c r="B1540" s="5">
        <v>43912</v>
      </c>
      <c r="C1540" t="s">
        <v>12</v>
      </c>
      <c r="D1540">
        <v>656</v>
      </c>
      <c r="E1540">
        <v>520</v>
      </c>
      <c r="F1540" s="5">
        <v>43891</v>
      </c>
      <c r="G1540">
        <v>-656</v>
      </c>
      <c r="H1540" t="s">
        <v>57</v>
      </c>
    </row>
    <row r="1541" spans="1:8" x14ac:dyDescent="0.3">
      <c r="A1541">
        <v>140</v>
      </c>
      <c r="B1541" s="5">
        <v>43916</v>
      </c>
      <c r="C1541" t="s">
        <v>10</v>
      </c>
      <c r="D1541">
        <v>995</v>
      </c>
      <c r="E1541">
        <v>1515</v>
      </c>
      <c r="F1541" s="5">
        <v>43891</v>
      </c>
      <c r="G1541">
        <v>995</v>
      </c>
      <c r="H1541" t="s">
        <v>57</v>
      </c>
    </row>
    <row r="1542" spans="1:8" x14ac:dyDescent="0.3">
      <c r="A1542">
        <v>140</v>
      </c>
      <c r="B1542" s="5">
        <v>43918</v>
      </c>
      <c r="C1542" t="s">
        <v>10</v>
      </c>
      <c r="D1542">
        <v>830</v>
      </c>
      <c r="E1542">
        <v>2345</v>
      </c>
      <c r="F1542" s="5">
        <v>43891</v>
      </c>
      <c r="G1542">
        <v>830</v>
      </c>
      <c r="H1542" t="s">
        <v>57</v>
      </c>
    </row>
    <row r="1543" spans="1:8" x14ac:dyDescent="0.3">
      <c r="A1543">
        <v>140</v>
      </c>
      <c r="B1543" s="5">
        <v>43923</v>
      </c>
      <c r="C1543" t="s">
        <v>11</v>
      </c>
      <c r="D1543">
        <v>127</v>
      </c>
      <c r="E1543">
        <v>2218</v>
      </c>
      <c r="F1543" s="5">
        <v>43922</v>
      </c>
      <c r="G1543">
        <v>-127</v>
      </c>
      <c r="H1543" t="s">
        <v>57</v>
      </c>
    </row>
    <row r="1544" spans="1:8" x14ac:dyDescent="0.3">
      <c r="A1544">
        <v>140</v>
      </c>
      <c r="B1544" s="5">
        <v>43927</v>
      </c>
      <c r="C1544" t="s">
        <v>12</v>
      </c>
      <c r="D1544">
        <v>877</v>
      </c>
      <c r="E1544">
        <v>1341</v>
      </c>
      <c r="F1544" s="5">
        <v>43922</v>
      </c>
      <c r="G1544">
        <v>-877</v>
      </c>
      <c r="H1544" t="s">
        <v>57</v>
      </c>
    </row>
    <row r="1545" spans="1:8" x14ac:dyDescent="0.3">
      <c r="A1545">
        <v>140</v>
      </c>
      <c r="B1545" s="5">
        <v>43930</v>
      </c>
      <c r="C1545" t="s">
        <v>10</v>
      </c>
      <c r="D1545">
        <v>590</v>
      </c>
      <c r="E1545">
        <v>1931</v>
      </c>
      <c r="F1545" s="5">
        <v>43922</v>
      </c>
      <c r="G1545">
        <v>590</v>
      </c>
      <c r="H1545" t="s">
        <v>57</v>
      </c>
    </row>
    <row r="1546" spans="1:8" x14ac:dyDescent="0.3">
      <c r="A1546">
        <v>140</v>
      </c>
      <c r="B1546" s="5">
        <v>43934</v>
      </c>
      <c r="C1546" t="s">
        <v>12</v>
      </c>
      <c r="D1546">
        <v>647</v>
      </c>
      <c r="E1546">
        <v>1284</v>
      </c>
      <c r="F1546" s="5">
        <v>43922</v>
      </c>
      <c r="G1546">
        <v>-647</v>
      </c>
      <c r="H1546" t="s">
        <v>57</v>
      </c>
    </row>
    <row r="1547" spans="1:8" x14ac:dyDescent="0.3">
      <c r="A1547">
        <v>140</v>
      </c>
      <c r="B1547" s="5">
        <v>43937</v>
      </c>
      <c r="C1547" t="s">
        <v>12</v>
      </c>
      <c r="D1547">
        <v>336</v>
      </c>
      <c r="E1547">
        <v>948</v>
      </c>
      <c r="F1547" s="5">
        <v>43922</v>
      </c>
      <c r="G1547">
        <v>-336</v>
      </c>
      <c r="H1547" t="s">
        <v>57</v>
      </c>
    </row>
    <row r="1548" spans="1:8" x14ac:dyDescent="0.3">
      <c r="A1548">
        <v>140</v>
      </c>
      <c r="B1548" s="5">
        <v>43939</v>
      </c>
      <c r="C1548" t="s">
        <v>11</v>
      </c>
      <c r="D1548">
        <v>986</v>
      </c>
      <c r="E1548">
        <v>-38</v>
      </c>
      <c r="F1548" s="5">
        <v>43922</v>
      </c>
      <c r="G1548">
        <v>-986</v>
      </c>
      <c r="H1548" t="s">
        <v>58</v>
      </c>
    </row>
    <row r="1549" spans="1:8" x14ac:dyDescent="0.3">
      <c r="A1549">
        <v>140</v>
      </c>
      <c r="B1549" s="5">
        <v>43940</v>
      </c>
      <c r="C1549" t="s">
        <v>10</v>
      </c>
      <c r="D1549">
        <v>993</v>
      </c>
      <c r="E1549">
        <v>955</v>
      </c>
      <c r="F1549" s="5">
        <v>43922</v>
      </c>
      <c r="G1549">
        <v>993</v>
      </c>
      <c r="H1549" t="s">
        <v>57</v>
      </c>
    </row>
    <row r="1550" spans="1:8" x14ac:dyDescent="0.3">
      <c r="A1550">
        <v>140</v>
      </c>
      <c r="B1550" s="5">
        <v>43943</v>
      </c>
      <c r="C1550" t="s">
        <v>10</v>
      </c>
      <c r="D1550">
        <v>540</v>
      </c>
      <c r="E1550">
        <v>1495</v>
      </c>
      <c r="F1550" s="5">
        <v>43922</v>
      </c>
      <c r="G1550">
        <v>540</v>
      </c>
      <c r="H1550" t="s">
        <v>57</v>
      </c>
    </row>
    <row r="1551" spans="1:8" x14ac:dyDescent="0.3">
      <c r="A1551">
        <v>141</v>
      </c>
      <c r="B1551" s="5">
        <v>43845</v>
      </c>
      <c r="C1551" t="s">
        <v>10</v>
      </c>
      <c r="D1551">
        <v>934</v>
      </c>
      <c r="E1551">
        <v>934</v>
      </c>
      <c r="F1551" s="5">
        <v>43831</v>
      </c>
      <c r="G1551">
        <v>934</v>
      </c>
      <c r="H1551" t="s">
        <v>57</v>
      </c>
    </row>
    <row r="1552" spans="1:8" x14ac:dyDescent="0.3">
      <c r="A1552">
        <v>141</v>
      </c>
      <c r="B1552" s="5">
        <v>43850</v>
      </c>
      <c r="C1552" t="s">
        <v>11</v>
      </c>
      <c r="D1552">
        <v>320</v>
      </c>
      <c r="E1552">
        <v>614</v>
      </c>
      <c r="F1552" s="5">
        <v>43831</v>
      </c>
      <c r="G1552">
        <v>-320</v>
      </c>
      <c r="H1552" t="s">
        <v>57</v>
      </c>
    </row>
    <row r="1553" spans="1:8" x14ac:dyDescent="0.3">
      <c r="A1553">
        <v>141</v>
      </c>
      <c r="B1553" s="5">
        <v>43852</v>
      </c>
      <c r="C1553" t="s">
        <v>11</v>
      </c>
      <c r="D1553">
        <v>983</v>
      </c>
      <c r="E1553">
        <v>-369</v>
      </c>
      <c r="F1553" s="5">
        <v>43831</v>
      </c>
      <c r="G1553">
        <v>-983</v>
      </c>
      <c r="H1553" t="s">
        <v>58</v>
      </c>
    </row>
    <row r="1554" spans="1:8" x14ac:dyDescent="0.3">
      <c r="A1554">
        <v>141</v>
      </c>
      <c r="B1554" s="5">
        <v>43864</v>
      </c>
      <c r="C1554" t="s">
        <v>10</v>
      </c>
      <c r="D1554">
        <v>588</v>
      </c>
      <c r="E1554">
        <v>219</v>
      </c>
      <c r="F1554" s="5">
        <v>43862</v>
      </c>
      <c r="G1554">
        <v>588</v>
      </c>
      <c r="H1554" t="s">
        <v>57</v>
      </c>
    </row>
    <row r="1555" spans="1:8" x14ac:dyDescent="0.3">
      <c r="A1555">
        <v>141</v>
      </c>
      <c r="B1555" s="5">
        <v>43867</v>
      </c>
      <c r="C1555" t="s">
        <v>10</v>
      </c>
      <c r="D1555">
        <v>50</v>
      </c>
      <c r="E1555">
        <v>269</v>
      </c>
      <c r="F1555" s="5">
        <v>43862</v>
      </c>
      <c r="G1555">
        <v>50</v>
      </c>
      <c r="H1555" t="s">
        <v>57</v>
      </c>
    </row>
    <row r="1556" spans="1:8" x14ac:dyDescent="0.3">
      <c r="A1556">
        <v>141</v>
      </c>
      <c r="B1556" s="5">
        <v>43889</v>
      </c>
      <c r="C1556" t="s">
        <v>10</v>
      </c>
      <c r="D1556">
        <v>830</v>
      </c>
      <c r="E1556">
        <v>1099</v>
      </c>
      <c r="F1556" s="5">
        <v>43862</v>
      </c>
      <c r="G1556">
        <v>830</v>
      </c>
      <c r="H1556" t="s">
        <v>57</v>
      </c>
    </row>
    <row r="1557" spans="1:8" x14ac:dyDescent="0.3">
      <c r="A1557">
        <v>141</v>
      </c>
      <c r="B1557" s="5">
        <v>43890</v>
      </c>
      <c r="C1557" t="s">
        <v>10</v>
      </c>
      <c r="D1557">
        <v>384</v>
      </c>
      <c r="E1557">
        <v>1483</v>
      </c>
      <c r="F1557" s="5">
        <v>43862</v>
      </c>
      <c r="G1557">
        <v>384</v>
      </c>
      <c r="H1557" t="s">
        <v>57</v>
      </c>
    </row>
    <row r="1558" spans="1:8" x14ac:dyDescent="0.3">
      <c r="A1558">
        <v>141</v>
      </c>
      <c r="B1558" s="5">
        <v>43909</v>
      </c>
      <c r="C1558" t="s">
        <v>10</v>
      </c>
      <c r="D1558">
        <v>630</v>
      </c>
      <c r="E1558">
        <v>2113</v>
      </c>
      <c r="F1558" s="5">
        <v>43891</v>
      </c>
      <c r="G1558">
        <v>630</v>
      </c>
      <c r="H1558" t="s">
        <v>57</v>
      </c>
    </row>
    <row r="1559" spans="1:8" x14ac:dyDescent="0.3">
      <c r="A1559">
        <v>141</v>
      </c>
      <c r="B1559" s="5">
        <v>43925</v>
      </c>
      <c r="C1559" t="s">
        <v>10</v>
      </c>
      <c r="D1559">
        <v>425</v>
      </c>
      <c r="E1559">
        <v>2538</v>
      </c>
      <c r="F1559" s="5">
        <v>43922</v>
      </c>
      <c r="G1559">
        <v>425</v>
      </c>
      <c r="H1559" t="s">
        <v>57</v>
      </c>
    </row>
    <row r="1560" spans="1:8" x14ac:dyDescent="0.3">
      <c r="A1560">
        <v>142</v>
      </c>
      <c r="B1560" s="5">
        <v>43846</v>
      </c>
      <c r="C1560" t="s">
        <v>10</v>
      </c>
      <c r="D1560">
        <v>517</v>
      </c>
      <c r="E1560">
        <v>517</v>
      </c>
      <c r="F1560" s="5">
        <v>43831</v>
      </c>
      <c r="G1560">
        <v>517</v>
      </c>
      <c r="H1560" t="s">
        <v>57</v>
      </c>
    </row>
    <row r="1561" spans="1:8" x14ac:dyDescent="0.3">
      <c r="A1561">
        <v>142</v>
      </c>
      <c r="B1561" s="5">
        <v>43857</v>
      </c>
      <c r="C1561" t="s">
        <v>10</v>
      </c>
      <c r="D1561">
        <v>861</v>
      </c>
      <c r="E1561">
        <v>1378</v>
      </c>
      <c r="F1561" s="5">
        <v>43831</v>
      </c>
      <c r="G1561">
        <v>861</v>
      </c>
      <c r="H1561" t="s">
        <v>57</v>
      </c>
    </row>
    <row r="1562" spans="1:8" x14ac:dyDescent="0.3">
      <c r="A1562">
        <v>142</v>
      </c>
      <c r="B1562" s="5">
        <v>43871</v>
      </c>
      <c r="C1562" t="s">
        <v>12</v>
      </c>
      <c r="D1562">
        <v>441</v>
      </c>
      <c r="E1562">
        <v>937</v>
      </c>
      <c r="F1562" s="5">
        <v>43862</v>
      </c>
      <c r="G1562">
        <v>-441</v>
      </c>
      <c r="H1562" t="s">
        <v>57</v>
      </c>
    </row>
    <row r="1563" spans="1:8" x14ac:dyDescent="0.3">
      <c r="A1563">
        <v>142</v>
      </c>
      <c r="B1563" s="5">
        <v>43880</v>
      </c>
      <c r="C1563" t="s">
        <v>11</v>
      </c>
      <c r="D1563">
        <v>497</v>
      </c>
      <c r="E1563">
        <v>440</v>
      </c>
      <c r="F1563" s="5">
        <v>43862</v>
      </c>
      <c r="G1563">
        <v>-497</v>
      </c>
      <c r="H1563" t="s">
        <v>57</v>
      </c>
    </row>
    <row r="1564" spans="1:8" x14ac:dyDescent="0.3">
      <c r="A1564">
        <v>142</v>
      </c>
      <c r="B1564" s="5">
        <v>43894</v>
      </c>
      <c r="C1564" t="s">
        <v>12</v>
      </c>
      <c r="D1564">
        <v>323</v>
      </c>
      <c r="E1564">
        <v>117</v>
      </c>
      <c r="F1564" s="5">
        <v>43891</v>
      </c>
      <c r="G1564">
        <v>-323</v>
      </c>
      <c r="H1564" t="s">
        <v>57</v>
      </c>
    </row>
    <row r="1565" spans="1:8" x14ac:dyDescent="0.3">
      <c r="A1565">
        <v>142</v>
      </c>
      <c r="B1565" s="5">
        <v>43898</v>
      </c>
      <c r="C1565" t="s">
        <v>10</v>
      </c>
      <c r="D1565">
        <v>55</v>
      </c>
      <c r="E1565">
        <v>172</v>
      </c>
      <c r="F1565" s="5">
        <v>43891</v>
      </c>
      <c r="G1565">
        <v>55</v>
      </c>
      <c r="H1565" t="s">
        <v>57</v>
      </c>
    </row>
    <row r="1566" spans="1:8" x14ac:dyDescent="0.3">
      <c r="A1566">
        <v>142</v>
      </c>
      <c r="B1566" s="5">
        <v>43901</v>
      </c>
      <c r="C1566" t="s">
        <v>10</v>
      </c>
      <c r="D1566">
        <v>480</v>
      </c>
      <c r="E1566">
        <v>652</v>
      </c>
      <c r="F1566" s="5">
        <v>43891</v>
      </c>
      <c r="G1566">
        <v>480</v>
      </c>
      <c r="H1566" t="s">
        <v>57</v>
      </c>
    </row>
    <row r="1567" spans="1:8" x14ac:dyDescent="0.3">
      <c r="A1567">
        <v>142</v>
      </c>
      <c r="B1567" s="5">
        <v>43921</v>
      </c>
      <c r="C1567" t="s">
        <v>11</v>
      </c>
      <c r="D1567">
        <v>435</v>
      </c>
      <c r="E1567">
        <v>217</v>
      </c>
      <c r="F1567" s="5">
        <v>43891</v>
      </c>
      <c r="G1567">
        <v>-435</v>
      </c>
      <c r="H1567" t="s">
        <v>57</v>
      </c>
    </row>
    <row r="1568" spans="1:8" x14ac:dyDescent="0.3">
      <c r="A1568">
        <v>142</v>
      </c>
      <c r="B1568" s="5">
        <v>43922</v>
      </c>
      <c r="C1568" t="s">
        <v>10</v>
      </c>
      <c r="D1568">
        <v>646</v>
      </c>
      <c r="E1568">
        <v>863</v>
      </c>
      <c r="F1568" s="5">
        <v>43922</v>
      </c>
      <c r="G1568">
        <v>646</v>
      </c>
      <c r="H1568" t="s">
        <v>57</v>
      </c>
    </row>
    <row r="1569" spans="1:8" x14ac:dyDescent="0.3">
      <c r="A1569">
        <v>143</v>
      </c>
      <c r="B1569" s="5">
        <v>43859</v>
      </c>
      <c r="C1569" t="s">
        <v>10</v>
      </c>
      <c r="D1569">
        <v>807</v>
      </c>
      <c r="E1569">
        <v>807</v>
      </c>
      <c r="F1569" s="5">
        <v>43831</v>
      </c>
      <c r="G1569">
        <v>807</v>
      </c>
      <c r="H1569" t="s">
        <v>57</v>
      </c>
    </row>
    <row r="1570" spans="1:8" x14ac:dyDescent="0.3">
      <c r="A1570">
        <v>143</v>
      </c>
      <c r="B1570" s="5">
        <v>43862</v>
      </c>
      <c r="C1570" t="s">
        <v>10</v>
      </c>
      <c r="D1570">
        <v>483</v>
      </c>
      <c r="E1570">
        <v>1290</v>
      </c>
      <c r="F1570" s="5">
        <v>43862</v>
      </c>
      <c r="G1570">
        <v>483</v>
      </c>
      <c r="H1570" t="s">
        <v>57</v>
      </c>
    </row>
    <row r="1571" spans="1:8" x14ac:dyDescent="0.3">
      <c r="A1571">
        <v>143</v>
      </c>
      <c r="B1571" s="5">
        <v>43865</v>
      </c>
      <c r="C1571" t="s">
        <v>11</v>
      </c>
      <c r="D1571">
        <v>343</v>
      </c>
      <c r="E1571">
        <v>947</v>
      </c>
      <c r="F1571" s="5">
        <v>43862</v>
      </c>
      <c r="G1571">
        <v>-343</v>
      </c>
      <c r="H1571" t="s">
        <v>57</v>
      </c>
    </row>
    <row r="1572" spans="1:8" x14ac:dyDescent="0.3">
      <c r="A1572">
        <v>143</v>
      </c>
      <c r="B1572" s="5">
        <v>43881</v>
      </c>
      <c r="C1572" t="s">
        <v>10</v>
      </c>
      <c r="D1572">
        <v>602</v>
      </c>
      <c r="E1572">
        <v>1549</v>
      </c>
      <c r="F1572" s="5">
        <v>43862</v>
      </c>
      <c r="G1572">
        <v>602</v>
      </c>
      <c r="H1572" t="s">
        <v>57</v>
      </c>
    </row>
    <row r="1573" spans="1:8" x14ac:dyDescent="0.3">
      <c r="A1573">
        <v>143</v>
      </c>
      <c r="B1573" s="5">
        <v>43890</v>
      </c>
      <c r="C1573" t="s">
        <v>10</v>
      </c>
      <c r="D1573">
        <v>76</v>
      </c>
      <c r="E1573">
        <v>1625</v>
      </c>
      <c r="F1573" s="5">
        <v>43862</v>
      </c>
      <c r="G1573">
        <v>76</v>
      </c>
      <c r="H1573" t="s">
        <v>57</v>
      </c>
    </row>
    <row r="1574" spans="1:8" x14ac:dyDescent="0.3">
      <c r="A1574">
        <v>143</v>
      </c>
      <c r="B1574" s="5">
        <v>43894</v>
      </c>
      <c r="C1574" t="s">
        <v>10</v>
      </c>
      <c r="D1574">
        <v>24</v>
      </c>
      <c r="E1574">
        <v>1649</v>
      </c>
      <c r="F1574" s="5">
        <v>43891</v>
      </c>
      <c r="G1574">
        <v>24</v>
      </c>
      <c r="H1574" t="s">
        <v>57</v>
      </c>
    </row>
    <row r="1575" spans="1:8" x14ac:dyDescent="0.3">
      <c r="A1575">
        <v>143</v>
      </c>
      <c r="B1575" s="5">
        <v>43897</v>
      </c>
      <c r="C1575" t="s">
        <v>12</v>
      </c>
      <c r="D1575">
        <v>574</v>
      </c>
      <c r="E1575">
        <v>1075</v>
      </c>
      <c r="F1575" s="5">
        <v>43891</v>
      </c>
      <c r="G1575">
        <v>-574</v>
      </c>
      <c r="H1575" t="s">
        <v>57</v>
      </c>
    </row>
    <row r="1576" spans="1:8" x14ac:dyDescent="0.3">
      <c r="A1576">
        <v>143</v>
      </c>
      <c r="B1576" s="5">
        <v>43905</v>
      </c>
      <c r="C1576" t="s">
        <v>11</v>
      </c>
      <c r="D1576">
        <v>494</v>
      </c>
      <c r="E1576">
        <v>581</v>
      </c>
      <c r="F1576" s="5">
        <v>43891</v>
      </c>
      <c r="G1576">
        <v>-494</v>
      </c>
      <c r="H1576" t="s">
        <v>57</v>
      </c>
    </row>
    <row r="1577" spans="1:8" x14ac:dyDescent="0.3">
      <c r="A1577">
        <v>143</v>
      </c>
      <c r="B1577" s="5">
        <v>43915</v>
      </c>
      <c r="C1577" t="s">
        <v>11</v>
      </c>
      <c r="D1577">
        <v>555</v>
      </c>
      <c r="E1577">
        <v>26</v>
      </c>
      <c r="F1577" s="5">
        <v>43891</v>
      </c>
      <c r="G1577">
        <v>-555</v>
      </c>
      <c r="H1577" t="s">
        <v>57</v>
      </c>
    </row>
    <row r="1578" spans="1:8" x14ac:dyDescent="0.3">
      <c r="A1578">
        <v>143</v>
      </c>
      <c r="B1578" s="5">
        <v>43923</v>
      </c>
      <c r="C1578" t="s">
        <v>12</v>
      </c>
      <c r="D1578">
        <v>561</v>
      </c>
      <c r="E1578">
        <v>-535</v>
      </c>
      <c r="F1578" s="5">
        <v>43922</v>
      </c>
      <c r="G1578">
        <v>-561</v>
      </c>
      <c r="H1578" t="s">
        <v>58</v>
      </c>
    </row>
    <row r="1579" spans="1:8" x14ac:dyDescent="0.3">
      <c r="A1579">
        <v>143</v>
      </c>
      <c r="B1579" s="5">
        <v>43930</v>
      </c>
      <c r="C1579" t="s">
        <v>10</v>
      </c>
      <c r="D1579">
        <v>295</v>
      </c>
      <c r="E1579">
        <v>-240</v>
      </c>
      <c r="F1579" s="5">
        <v>43922</v>
      </c>
      <c r="G1579">
        <v>295</v>
      </c>
      <c r="H1579" t="s">
        <v>58</v>
      </c>
    </row>
    <row r="1580" spans="1:8" x14ac:dyDescent="0.3">
      <c r="A1580">
        <v>143</v>
      </c>
      <c r="B1580" s="5">
        <v>43940</v>
      </c>
      <c r="C1580" t="s">
        <v>11</v>
      </c>
      <c r="D1580">
        <v>333</v>
      </c>
      <c r="E1580">
        <v>-573</v>
      </c>
      <c r="F1580" s="5">
        <v>43922</v>
      </c>
      <c r="G1580">
        <v>-333</v>
      </c>
      <c r="H1580" t="s">
        <v>58</v>
      </c>
    </row>
    <row r="1581" spans="1:8" x14ac:dyDescent="0.3">
      <c r="A1581">
        <v>143</v>
      </c>
      <c r="B1581" s="5">
        <v>43942</v>
      </c>
      <c r="C1581" t="s">
        <v>11</v>
      </c>
      <c r="D1581">
        <v>957</v>
      </c>
      <c r="E1581">
        <v>-1530</v>
      </c>
      <c r="F1581" s="5">
        <v>43922</v>
      </c>
      <c r="G1581">
        <v>-957</v>
      </c>
      <c r="H1581" t="s">
        <v>58</v>
      </c>
    </row>
    <row r="1582" spans="1:8" x14ac:dyDescent="0.3">
      <c r="A1582">
        <v>143</v>
      </c>
      <c r="B1582" s="5">
        <v>43943</v>
      </c>
      <c r="C1582" t="s">
        <v>10</v>
      </c>
      <c r="D1582">
        <v>445</v>
      </c>
      <c r="E1582">
        <v>-1085</v>
      </c>
      <c r="F1582" s="5">
        <v>43922</v>
      </c>
      <c r="G1582">
        <v>445</v>
      </c>
      <c r="H1582" t="s">
        <v>58</v>
      </c>
    </row>
    <row r="1583" spans="1:8" x14ac:dyDescent="0.3">
      <c r="A1583">
        <v>143</v>
      </c>
      <c r="B1583" s="5">
        <v>43944</v>
      </c>
      <c r="C1583" t="s">
        <v>11</v>
      </c>
      <c r="D1583">
        <v>823</v>
      </c>
      <c r="E1583">
        <v>-1908</v>
      </c>
      <c r="F1583" s="5">
        <v>43922</v>
      </c>
      <c r="G1583">
        <v>-823</v>
      </c>
      <c r="H1583" t="s">
        <v>58</v>
      </c>
    </row>
    <row r="1584" spans="1:8" x14ac:dyDescent="0.3">
      <c r="A1584">
        <v>143</v>
      </c>
      <c r="B1584" s="5">
        <v>43945</v>
      </c>
      <c r="C1584" t="s">
        <v>12</v>
      </c>
      <c r="D1584">
        <v>549</v>
      </c>
      <c r="E1584">
        <v>-2457</v>
      </c>
      <c r="F1584" s="5">
        <v>43922</v>
      </c>
      <c r="G1584">
        <v>-549</v>
      </c>
      <c r="H1584" t="s">
        <v>58</v>
      </c>
    </row>
    <row r="1585" spans="1:8" x14ac:dyDescent="0.3">
      <c r="A1585">
        <v>144</v>
      </c>
      <c r="B1585" s="5">
        <v>43844</v>
      </c>
      <c r="C1585" t="s">
        <v>10</v>
      </c>
      <c r="D1585">
        <v>559</v>
      </c>
      <c r="E1585">
        <v>559</v>
      </c>
      <c r="F1585" s="5">
        <v>43831</v>
      </c>
      <c r="G1585">
        <v>559</v>
      </c>
      <c r="H1585" t="s">
        <v>57</v>
      </c>
    </row>
    <row r="1586" spans="1:8" x14ac:dyDescent="0.3">
      <c r="A1586">
        <v>144</v>
      </c>
      <c r="B1586" s="5">
        <v>43847</v>
      </c>
      <c r="C1586" t="s">
        <v>12</v>
      </c>
      <c r="D1586">
        <v>622</v>
      </c>
      <c r="E1586">
        <v>-63</v>
      </c>
      <c r="F1586" s="5">
        <v>43831</v>
      </c>
      <c r="G1586">
        <v>-622</v>
      </c>
      <c r="H1586" t="s">
        <v>58</v>
      </c>
    </row>
    <row r="1587" spans="1:8" x14ac:dyDescent="0.3">
      <c r="A1587">
        <v>144</v>
      </c>
      <c r="B1587" s="5">
        <v>43852</v>
      </c>
      <c r="C1587" t="s">
        <v>12</v>
      </c>
      <c r="D1587">
        <v>672</v>
      </c>
      <c r="E1587">
        <v>-735</v>
      </c>
      <c r="F1587" s="5">
        <v>43831</v>
      </c>
      <c r="G1587">
        <v>-672</v>
      </c>
      <c r="H1587" t="s">
        <v>58</v>
      </c>
    </row>
    <row r="1588" spans="1:8" x14ac:dyDescent="0.3">
      <c r="A1588">
        <v>144</v>
      </c>
      <c r="B1588" s="5">
        <v>43868</v>
      </c>
      <c r="C1588" t="s">
        <v>11</v>
      </c>
      <c r="D1588">
        <v>315</v>
      </c>
      <c r="E1588">
        <v>-1050</v>
      </c>
      <c r="F1588" s="5">
        <v>43862</v>
      </c>
      <c r="G1588">
        <v>-315</v>
      </c>
      <c r="H1588" t="s">
        <v>58</v>
      </c>
    </row>
    <row r="1589" spans="1:8" x14ac:dyDescent="0.3">
      <c r="A1589">
        <v>144</v>
      </c>
      <c r="B1589" s="5">
        <v>43879</v>
      </c>
      <c r="C1589" t="s">
        <v>12</v>
      </c>
      <c r="D1589">
        <v>725</v>
      </c>
      <c r="E1589">
        <v>-1775</v>
      </c>
      <c r="F1589" s="5">
        <v>43862</v>
      </c>
      <c r="G1589">
        <v>-725</v>
      </c>
      <c r="H1589" t="s">
        <v>58</v>
      </c>
    </row>
    <row r="1590" spans="1:8" x14ac:dyDescent="0.3">
      <c r="A1590">
        <v>144</v>
      </c>
      <c r="B1590" s="5">
        <v>43883</v>
      </c>
      <c r="C1590" t="s">
        <v>11</v>
      </c>
      <c r="D1590">
        <v>558</v>
      </c>
      <c r="E1590">
        <v>-2333</v>
      </c>
      <c r="F1590" s="5">
        <v>43862</v>
      </c>
      <c r="G1590">
        <v>-558</v>
      </c>
      <c r="H1590" t="s">
        <v>58</v>
      </c>
    </row>
    <row r="1591" spans="1:8" x14ac:dyDescent="0.3">
      <c r="A1591">
        <v>144</v>
      </c>
      <c r="B1591" s="5">
        <v>43883</v>
      </c>
      <c r="C1591" t="s">
        <v>11</v>
      </c>
      <c r="D1591">
        <v>947</v>
      </c>
      <c r="E1591">
        <v>-3280</v>
      </c>
      <c r="F1591" s="5">
        <v>43862</v>
      </c>
      <c r="G1591">
        <v>-947</v>
      </c>
      <c r="H1591" t="s">
        <v>58</v>
      </c>
    </row>
    <row r="1592" spans="1:8" x14ac:dyDescent="0.3">
      <c r="A1592">
        <v>144</v>
      </c>
      <c r="B1592" s="5">
        <v>43910</v>
      </c>
      <c r="C1592" t="s">
        <v>12</v>
      </c>
      <c r="D1592">
        <v>118</v>
      </c>
      <c r="E1592">
        <v>-3398</v>
      </c>
      <c r="F1592" s="5">
        <v>43891</v>
      </c>
      <c r="G1592">
        <v>-118</v>
      </c>
      <c r="H1592" t="s">
        <v>58</v>
      </c>
    </row>
    <row r="1593" spans="1:8" x14ac:dyDescent="0.3">
      <c r="A1593">
        <v>144</v>
      </c>
      <c r="B1593" s="5">
        <v>43914</v>
      </c>
      <c r="C1593" t="s">
        <v>10</v>
      </c>
      <c r="D1593">
        <v>316</v>
      </c>
      <c r="E1593">
        <v>-3082</v>
      </c>
      <c r="F1593" s="5">
        <v>43891</v>
      </c>
      <c r="G1593">
        <v>316</v>
      </c>
      <c r="H1593" t="s">
        <v>58</v>
      </c>
    </row>
    <row r="1594" spans="1:8" x14ac:dyDescent="0.3">
      <c r="A1594">
        <v>144</v>
      </c>
      <c r="B1594" s="5">
        <v>43921</v>
      </c>
      <c r="C1594" t="s">
        <v>10</v>
      </c>
      <c r="D1594">
        <v>36</v>
      </c>
      <c r="E1594">
        <v>-3046</v>
      </c>
      <c r="F1594" s="5">
        <v>43891</v>
      </c>
      <c r="G1594">
        <v>36</v>
      </c>
      <c r="H1594" t="s">
        <v>58</v>
      </c>
    </row>
    <row r="1595" spans="1:8" x14ac:dyDescent="0.3">
      <c r="A1595">
        <v>144</v>
      </c>
      <c r="B1595" s="5">
        <v>43923</v>
      </c>
      <c r="C1595" t="s">
        <v>11</v>
      </c>
      <c r="D1595">
        <v>763</v>
      </c>
      <c r="E1595">
        <v>-3809</v>
      </c>
      <c r="F1595" s="5">
        <v>43922</v>
      </c>
      <c r="G1595">
        <v>-763</v>
      </c>
      <c r="H1595" t="s">
        <v>58</v>
      </c>
    </row>
    <row r="1596" spans="1:8" x14ac:dyDescent="0.3">
      <c r="A1596">
        <v>144</v>
      </c>
      <c r="B1596" s="5">
        <v>43926</v>
      </c>
      <c r="C1596" t="s">
        <v>10</v>
      </c>
      <c r="D1596">
        <v>104</v>
      </c>
      <c r="E1596">
        <v>-3705</v>
      </c>
      <c r="F1596" s="5">
        <v>43922</v>
      </c>
      <c r="G1596">
        <v>104</v>
      </c>
      <c r="H1596" t="s">
        <v>58</v>
      </c>
    </row>
    <row r="1597" spans="1:8" x14ac:dyDescent="0.3">
      <c r="A1597">
        <v>144</v>
      </c>
      <c r="B1597" s="5">
        <v>43928</v>
      </c>
      <c r="C1597" t="s">
        <v>10</v>
      </c>
      <c r="D1597">
        <v>479</v>
      </c>
      <c r="E1597">
        <v>-3226</v>
      </c>
      <c r="F1597" s="5">
        <v>43922</v>
      </c>
      <c r="G1597">
        <v>479</v>
      </c>
      <c r="H1597" t="s">
        <v>58</v>
      </c>
    </row>
    <row r="1598" spans="1:8" x14ac:dyDescent="0.3">
      <c r="A1598">
        <v>144</v>
      </c>
      <c r="B1598" s="5">
        <v>43928</v>
      </c>
      <c r="C1598" t="s">
        <v>11</v>
      </c>
      <c r="D1598">
        <v>955</v>
      </c>
      <c r="E1598">
        <v>-4181</v>
      </c>
      <c r="F1598" s="5">
        <v>43922</v>
      </c>
      <c r="G1598">
        <v>-955</v>
      </c>
      <c r="H1598" t="s">
        <v>58</v>
      </c>
    </row>
    <row r="1599" spans="1:8" x14ac:dyDescent="0.3">
      <c r="A1599">
        <v>144</v>
      </c>
      <c r="B1599" s="5">
        <v>43928</v>
      </c>
      <c r="C1599" t="s">
        <v>12</v>
      </c>
      <c r="D1599">
        <v>444</v>
      </c>
      <c r="E1599">
        <v>-4625</v>
      </c>
      <c r="F1599" s="5">
        <v>43922</v>
      </c>
      <c r="G1599">
        <v>-444</v>
      </c>
      <c r="H1599" t="s">
        <v>58</v>
      </c>
    </row>
    <row r="1600" spans="1:8" x14ac:dyDescent="0.3">
      <c r="A1600">
        <v>144</v>
      </c>
      <c r="B1600" s="5">
        <v>43931</v>
      </c>
      <c r="C1600" t="s">
        <v>10</v>
      </c>
      <c r="D1600">
        <v>230</v>
      </c>
      <c r="E1600">
        <v>-4395</v>
      </c>
      <c r="F1600" s="5">
        <v>43922</v>
      </c>
      <c r="G1600">
        <v>230</v>
      </c>
      <c r="H1600" t="s">
        <v>58</v>
      </c>
    </row>
    <row r="1601" spans="1:8" x14ac:dyDescent="0.3">
      <c r="A1601">
        <v>145</v>
      </c>
      <c r="B1601" s="5">
        <v>43832</v>
      </c>
      <c r="C1601" t="s">
        <v>10</v>
      </c>
      <c r="D1601">
        <v>365</v>
      </c>
      <c r="E1601">
        <v>365</v>
      </c>
      <c r="F1601" s="5">
        <v>43831</v>
      </c>
      <c r="G1601">
        <v>365</v>
      </c>
      <c r="H1601" t="s">
        <v>57</v>
      </c>
    </row>
    <row r="1602" spans="1:8" x14ac:dyDescent="0.3">
      <c r="A1602">
        <v>145</v>
      </c>
      <c r="B1602" s="5">
        <v>43836</v>
      </c>
      <c r="C1602" t="s">
        <v>12</v>
      </c>
      <c r="D1602">
        <v>372</v>
      </c>
      <c r="E1602">
        <v>-7</v>
      </c>
      <c r="F1602" s="5">
        <v>43831</v>
      </c>
      <c r="G1602">
        <v>-372</v>
      </c>
      <c r="H1602" t="s">
        <v>58</v>
      </c>
    </row>
    <row r="1603" spans="1:8" x14ac:dyDescent="0.3">
      <c r="A1603">
        <v>145</v>
      </c>
      <c r="B1603" s="5">
        <v>43837</v>
      </c>
      <c r="C1603" t="s">
        <v>11</v>
      </c>
      <c r="D1603">
        <v>585</v>
      </c>
      <c r="E1603">
        <v>-592</v>
      </c>
      <c r="F1603" s="5">
        <v>43831</v>
      </c>
      <c r="G1603">
        <v>-585</v>
      </c>
      <c r="H1603" t="s">
        <v>58</v>
      </c>
    </row>
    <row r="1604" spans="1:8" x14ac:dyDescent="0.3">
      <c r="A1604">
        <v>145</v>
      </c>
      <c r="B1604" s="5">
        <v>43837</v>
      </c>
      <c r="C1604" t="s">
        <v>12</v>
      </c>
      <c r="D1604">
        <v>6</v>
      </c>
      <c r="E1604">
        <v>-598</v>
      </c>
      <c r="F1604" s="5">
        <v>43831</v>
      </c>
      <c r="G1604">
        <v>-6</v>
      </c>
      <c r="H1604" t="s">
        <v>58</v>
      </c>
    </row>
    <row r="1605" spans="1:8" x14ac:dyDescent="0.3">
      <c r="A1605">
        <v>145</v>
      </c>
      <c r="B1605" s="5">
        <v>43838</v>
      </c>
      <c r="C1605" t="s">
        <v>11</v>
      </c>
      <c r="D1605">
        <v>972</v>
      </c>
      <c r="E1605">
        <v>-1570</v>
      </c>
      <c r="F1605" s="5">
        <v>43831</v>
      </c>
      <c r="G1605">
        <v>-972</v>
      </c>
      <c r="H1605" t="s">
        <v>58</v>
      </c>
    </row>
    <row r="1606" spans="1:8" x14ac:dyDescent="0.3">
      <c r="A1606">
        <v>145</v>
      </c>
      <c r="B1606" s="5">
        <v>43843</v>
      </c>
      <c r="C1606" t="s">
        <v>12</v>
      </c>
      <c r="D1606">
        <v>373</v>
      </c>
      <c r="E1606">
        <v>-1943</v>
      </c>
      <c r="F1606" s="5">
        <v>43831</v>
      </c>
      <c r="G1606">
        <v>-373</v>
      </c>
      <c r="H1606" t="s">
        <v>58</v>
      </c>
    </row>
    <row r="1607" spans="1:8" x14ac:dyDescent="0.3">
      <c r="A1607">
        <v>145</v>
      </c>
      <c r="B1607" s="5">
        <v>43849</v>
      </c>
      <c r="C1607" t="s">
        <v>11</v>
      </c>
      <c r="D1607">
        <v>112</v>
      </c>
      <c r="E1607">
        <v>-2055</v>
      </c>
      <c r="F1607" s="5">
        <v>43831</v>
      </c>
      <c r="G1607">
        <v>-112</v>
      </c>
      <c r="H1607" t="s">
        <v>58</v>
      </c>
    </row>
    <row r="1608" spans="1:8" x14ac:dyDescent="0.3">
      <c r="A1608">
        <v>145</v>
      </c>
      <c r="B1608" s="5">
        <v>43857</v>
      </c>
      <c r="C1608" t="s">
        <v>12</v>
      </c>
      <c r="D1608">
        <v>996</v>
      </c>
      <c r="E1608">
        <v>-3051</v>
      </c>
      <c r="F1608" s="5">
        <v>43831</v>
      </c>
      <c r="G1608">
        <v>-996</v>
      </c>
      <c r="H1608" t="s">
        <v>58</v>
      </c>
    </row>
    <row r="1609" spans="1:8" x14ac:dyDescent="0.3">
      <c r="A1609">
        <v>145</v>
      </c>
      <c r="B1609" s="5">
        <v>43862</v>
      </c>
      <c r="C1609" t="s">
        <v>12</v>
      </c>
      <c r="D1609">
        <v>54</v>
      </c>
      <c r="E1609">
        <v>-3105</v>
      </c>
      <c r="F1609" s="5">
        <v>43862</v>
      </c>
      <c r="G1609">
        <v>-54</v>
      </c>
      <c r="H1609" t="s">
        <v>58</v>
      </c>
    </row>
    <row r="1610" spans="1:8" x14ac:dyDescent="0.3">
      <c r="A1610">
        <v>145</v>
      </c>
      <c r="B1610" s="5">
        <v>43872</v>
      </c>
      <c r="C1610" t="s">
        <v>12</v>
      </c>
      <c r="D1610">
        <v>283</v>
      </c>
      <c r="E1610">
        <v>-3388</v>
      </c>
      <c r="F1610" s="5">
        <v>43862</v>
      </c>
      <c r="G1610">
        <v>-283</v>
      </c>
      <c r="H1610" t="s">
        <v>58</v>
      </c>
    </row>
    <row r="1611" spans="1:8" x14ac:dyDescent="0.3">
      <c r="A1611">
        <v>145</v>
      </c>
      <c r="B1611" s="5">
        <v>43876</v>
      </c>
      <c r="C1611" t="s">
        <v>11</v>
      </c>
      <c r="D1611">
        <v>980</v>
      </c>
      <c r="E1611">
        <v>-4368</v>
      </c>
      <c r="F1611" s="5">
        <v>43862</v>
      </c>
      <c r="G1611">
        <v>-980</v>
      </c>
      <c r="H1611" t="s">
        <v>58</v>
      </c>
    </row>
    <row r="1612" spans="1:8" x14ac:dyDescent="0.3">
      <c r="A1612">
        <v>145</v>
      </c>
      <c r="B1612" s="5">
        <v>43876</v>
      </c>
      <c r="C1612" t="s">
        <v>10</v>
      </c>
      <c r="D1612">
        <v>921</v>
      </c>
      <c r="E1612">
        <v>-3447</v>
      </c>
      <c r="F1612" s="5">
        <v>43862</v>
      </c>
      <c r="G1612">
        <v>921</v>
      </c>
      <c r="H1612" t="s">
        <v>58</v>
      </c>
    </row>
    <row r="1613" spans="1:8" x14ac:dyDescent="0.3">
      <c r="A1613">
        <v>145</v>
      </c>
      <c r="B1613" s="5">
        <v>43880</v>
      </c>
      <c r="C1613" t="s">
        <v>10</v>
      </c>
      <c r="D1613">
        <v>753</v>
      </c>
      <c r="E1613">
        <v>-2694</v>
      </c>
      <c r="F1613" s="5">
        <v>43862</v>
      </c>
      <c r="G1613">
        <v>753</v>
      </c>
      <c r="H1613" t="s">
        <v>58</v>
      </c>
    </row>
    <row r="1614" spans="1:8" x14ac:dyDescent="0.3">
      <c r="A1614">
        <v>145</v>
      </c>
      <c r="B1614" s="5">
        <v>43884</v>
      </c>
      <c r="C1614" t="s">
        <v>10</v>
      </c>
      <c r="D1614">
        <v>724</v>
      </c>
      <c r="E1614">
        <v>-1970</v>
      </c>
      <c r="F1614" s="5">
        <v>43862</v>
      </c>
      <c r="G1614">
        <v>724</v>
      </c>
      <c r="H1614" t="s">
        <v>58</v>
      </c>
    </row>
    <row r="1615" spans="1:8" x14ac:dyDescent="0.3">
      <c r="A1615">
        <v>145</v>
      </c>
      <c r="B1615" s="5">
        <v>43892</v>
      </c>
      <c r="C1615" t="s">
        <v>12</v>
      </c>
      <c r="D1615">
        <v>776</v>
      </c>
      <c r="E1615">
        <v>-2746</v>
      </c>
      <c r="F1615" s="5">
        <v>43891</v>
      </c>
      <c r="G1615">
        <v>-776</v>
      </c>
      <c r="H1615" t="s">
        <v>58</v>
      </c>
    </row>
    <row r="1616" spans="1:8" x14ac:dyDescent="0.3">
      <c r="A1616">
        <v>145</v>
      </c>
      <c r="B1616" s="5">
        <v>43893</v>
      </c>
      <c r="C1616" t="s">
        <v>11</v>
      </c>
      <c r="D1616">
        <v>890</v>
      </c>
      <c r="E1616">
        <v>-3636</v>
      </c>
      <c r="F1616" s="5">
        <v>43891</v>
      </c>
      <c r="G1616">
        <v>-890</v>
      </c>
      <c r="H1616" t="s">
        <v>58</v>
      </c>
    </row>
    <row r="1617" spans="1:8" x14ac:dyDescent="0.3">
      <c r="A1617">
        <v>145</v>
      </c>
      <c r="B1617" s="5">
        <v>43902</v>
      </c>
      <c r="C1617" t="s">
        <v>11</v>
      </c>
      <c r="D1617">
        <v>998</v>
      </c>
      <c r="E1617">
        <v>-4634</v>
      </c>
      <c r="F1617" s="5">
        <v>43891</v>
      </c>
      <c r="G1617">
        <v>-998</v>
      </c>
      <c r="H1617" t="s">
        <v>58</v>
      </c>
    </row>
    <row r="1618" spans="1:8" x14ac:dyDescent="0.3">
      <c r="A1618">
        <v>145</v>
      </c>
      <c r="B1618" s="5">
        <v>43914</v>
      </c>
      <c r="C1618" t="s">
        <v>10</v>
      </c>
      <c r="D1618">
        <v>515</v>
      </c>
      <c r="E1618">
        <v>-4119</v>
      </c>
      <c r="F1618" s="5">
        <v>43891</v>
      </c>
      <c r="G1618">
        <v>515</v>
      </c>
      <c r="H1618" t="s">
        <v>58</v>
      </c>
    </row>
    <row r="1619" spans="1:8" x14ac:dyDescent="0.3">
      <c r="A1619">
        <v>146</v>
      </c>
      <c r="B1619" s="5">
        <v>43835</v>
      </c>
      <c r="C1619" t="s">
        <v>10</v>
      </c>
      <c r="D1619">
        <v>657</v>
      </c>
      <c r="E1619">
        <v>657</v>
      </c>
      <c r="F1619" s="5">
        <v>43831</v>
      </c>
      <c r="G1619">
        <v>657</v>
      </c>
      <c r="H1619" t="s">
        <v>57</v>
      </c>
    </row>
    <row r="1620" spans="1:8" x14ac:dyDescent="0.3">
      <c r="A1620">
        <v>146</v>
      </c>
      <c r="B1620" s="5">
        <v>43846</v>
      </c>
      <c r="C1620" t="s">
        <v>12</v>
      </c>
      <c r="D1620">
        <v>266</v>
      </c>
      <c r="E1620">
        <v>391</v>
      </c>
      <c r="F1620" s="5">
        <v>43831</v>
      </c>
      <c r="G1620">
        <v>-266</v>
      </c>
      <c r="H1620" t="s">
        <v>57</v>
      </c>
    </row>
    <row r="1621" spans="1:8" x14ac:dyDescent="0.3">
      <c r="A1621">
        <v>146</v>
      </c>
      <c r="B1621" s="5">
        <v>43852</v>
      </c>
      <c r="C1621" t="s">
        <v>11</v>
      </c>
      <c r="D1621">
        <v>822</v>
      </c>
      <c r="E1621">
        <v>-431</v>
      </c>
      <c r="F1621" s="5">
        <v>43831</v>
      </c>
      <c r="G1621">
        <v>-822</v>
      </c>
      <c r="H1621" t="s">
        <v>58</v>
      </c>
    </row>
    <row r="1622" spans="1:8" x14ac:dyDescent="0.3">
      <c r="A1622">
        <v>146</v>
      </c>
      <c r="B1622" s="5">
        <v>43857</v>
      </c>
      <c r="C1622" t="s">
        <v>12</v>
      </c>
      <c r="D1622">
        <v>873</v>
      </c>
      <c r="E1622">
        <v>-1304</v>
      </c>
      <c r="F1622" s="5">
        <v>43831</v>
      </c>
      <c r="G1622">
        <v>-873</v>
      </c>
      <c r="H1622" t="s">
        <v>58</v>
      </c>
    </row>
    <row r="1623" spans="1:8" x14ac:dyDescent="0.3">
      <c r="A1623">
        <v>146</v>
      </c>
      <c r="B1623" s="5">
        <v>43860</v>
      </c>
      <c r="C1623" t="s">
        <v>10</v>
      </c>
      <c r="D1623">
        <v>497</v>
      </c>
      <c r="E1623">
        <v>-807</v>
      </c>
      <c r="F1623" s="5">
        <v>43831</v>
      </c>
      <c r="G1623">
        <v>497</v>
      </c>
      <c r="H1623" t="s">
        <v>58</v>
      </c>
    </row>
    <row r="1624" spans="1:8" x14ac:dyDescent="0.3">
      <c r="A1624">
        <v>146</v>
      </c>
      <c r="B1624" s="5">
        <v>43867</v>
      </c>
      <c r="C1624" t="s">
        <v>11</v>
      </c>
      <c r="D1624">
        <v>349</v>
      </c>
      <c r="E1624">
        <v>-1156</v>
      </c>
      <c r="F1624" s="5">
        <v>43862</v>
      </c>
      <c r="G1624">
        <v>-349</v>
      </c>
      <c r="H1624" t="s">
        <v>58</v>
      </c>
    </row>
    <row r="1625" spans="1:8" x14ac:dyDescent="0.3">
      <c r="A1625">
        <v>146</v>
      </c>
      <c r="B1625" s="5">
        <v>43876</v>
      </c>
      <c r="C1625" t="s">
        <v>11</v>
      </c>
      <c r="D1625">
        <v>950</v>
      </c>
      <c r="E1625">
        <v>-2106</v>
      </c>
      <c r="F1625" s="5">
        <v>43862</v>
      </c>
      <c r="G1625">
        <v>-950</v>
      </c>
      <c r="H1625" t="s">
        <v>58</v>
      </c>
    </row>
    <row r="1626" spans="1:8" x14ac:dyDescent="0.3">
      <c r="A1626">
        <v>146</v>
      </c>
      <c r="B1626" s="5">
        <v>43878</v>
      </c>
      <c r="C1626" t="s">
        <v>11</v>
      </c>
      <c r="D1626">
        <v>225</v>
      </c>
      <c r="E1626">
        <v>-2331</v>
      </c>
      <c r="F1626" s="5">
        <v>43862</v>
      </c>
      <c r="G1626">
        <v>-225</v>
      </c>
      <c r="H1626" t="s">
        <v>58</v>
      </c>
    </row>
    <row r="1627" spans="1:8" x14ac:dyDescent="0.3">
      <c r="A1627">
        <v>146</v>
      </c>
      <c r="B1627" s="5">
        <v>43883</v>
      </c>
      <c r="C1627" t="s">
        <v>11</v>
      </c>
      <c r="D1627">
        <v>936</v>
      </c>
      <c r="E1627">
        <v>-3267</v>
      </c>
      <c r="F1627" s="5">
        <v>43862</v>
      </c>
      <c r="G1627">
        <v>-936</v>
      </c>
      <c r="H1627" t="s">
        <v>58</v>
      </c>
    </row>
    <row r="1628" spans="1:8" x14ac:dyDescent="0.3">
      <c r="A1628">
        <v>146</v>
      </c>
      <c r="B1628" s="5">
        <v>43893</v>
      </c>
      <c r="C1628" t="s">
        <v>12</v>
      </c>
      <c r="D1628">
        <v>569</v>
      </c>
      <c r="E1628">
        <v>-3836</v>
      </c>
      <c r="F1628" s="5">
        <v>43891</v>
      </c>
      <c r="G1628">
        <v>-569</v>
      </c>
      <c r="H1628" t="s">
        <v>58</v>
      </c>
    </row>
    <row r="1629" spans="1:8" x14ac:dyDescent="0.3">
      <c r="A1629">
        <v>146</v>
      </c>
      <c r="B1629" s="5">
        <v>43904</v>
      </c>
      <c r="C1629" t="s">
        <v>12</v>
      </c>
      <c r="D1629">
        <v>315</v>
      </c>
      <c r="E1629">
        <v>-4151</v>
      </c>
      <c r="F1629" s="5">
        <v>43891</v>
      </c>
      <c r="G1629">
        <v>-315</v>
      </c>
      <c r="H1629" t="s">
        <v>58</v>
      </c>
    </row>
    <row r="1630" spans="1:8" x14ac:dyDescent="0.3">
      <c r="A1630">
        <v>146</v>
      </c>
      <c r="B1630" s="5">
        <v>43910</v>
      </c>
      <c r="C1630" t="s">
        <v>12</v>
      </c>
      <c r="D1630">
        <v>617</v>
      </c>
      <c r="E1630">
        <v>-4768</v>
      </c>
      <c r="F1630" s="5">
        <v>43891</v>
      </c>
      <c r="G1630">
        <v>-617</v>
      </c>
      <c r="H1630" t="s">
        <v>58</v>
      </c>
    </row>
    <row r="1631" spans="1:8" x14ac:dyDescent="0.3">
      <c r="A1631">
        <v>146</v>
      </c>
      <c r="B1631" s="5">
        <v>43919</v>
      </c>
      <c r="C1631" t="s">
        <v>10</v>
      </c>
      <c r="D1631">
        <v>987</v>
      </c>
      <c r="E1631">
        <v>-3781</v>
      </c>
      <c r="F1631" s="5">
        <v>43891</v>
      </c>
      <c r="G1631">
        <v>987</v>
      </c>
      <c r="H1631" t="s">
        <v>58</v>
      </c>
    </row>
    <row r="1632" spans="1:8" x14ac:dyDescent="0.3">
      <c r="A1632">
        <v>146</v>
      </c>
      <c r="B1632" s="5">
        <v>43924</v>
      </c>
      <c r="C1632" t="s">
        <v>10</v>
      </c>
      <c r="D1632">
        <v>64</v>
      </c>
      <c r="E1632">
        <v>-3717</v>
      </c>
      <c r="F1632" s="5">
        <v>43922</v>
      </c>
      <c r="G1632">
        <v>64</v>
      </c>
      <c r="H1632" t="s">
        <v>58</v>
      </c>
    </row>
    <row r="1633" spans="1:8" x14ac:dyDescent="0.3">
      <c r="A1633">
        <v>147</v>
      </c>
      <c r="B1633" s="5">
        <v>43845</v>
      </c>
      <c r="C1633" t="s">
        <v>10</v>
      </c>
      <c r="D1633">
        <v>767</v>
      </c>
      <c r="E1633">
        <v>767</v>
      </c>
      <c r="F1633" s="5">
        <v>43831</v>
      </c>
      <c r="G1633">
        <v>767</v>
      </c>
      <c r="H1633" t="s">
        <v>57</v>
      </c>
    </row>
    <row r="1634" spans="1:8" x14ac:dyDescent="0.3">
      <c r="A1634">
        <v>147</v>
      </c>
      <c r="B1634" s="5">
        <v>43845</v>
      </c>
      <c r="C1634" t="s">
        <v>12</v>
      </c>
      <c r="D1634">
        <v>167</v>
      </c>
      <c r="E1634">
        <v>600</v>
      </c>
      <c r="F1634" s="5">
        <v>43831</v>
      </c>
      <c r="G1634">
        <v>-167</v>
      </c>
      <c r="H1634" t="s">
        <v>57</v>
      </c>
    </row>
    <row r="1635" spans="1:8" x14ac:dyDescent="0.3">
      <c r="A1635">
        <v>147</v>
      </c>
      <c r="B1635" s="5">
        <v>43869</v>
      </c>
      <c r="C1635" t="s">
        <v>10</v>
      </c>
      <c r="D1635">
        <v>888</v>
      </c>
      <c r="E1635">
        <v>1488</v>
      </c>
      <c r="F1635" s="5">
        <v>43862</v>
      </c>
      <c r="G1635">
        <v>888</v>
      </c>
      <c r="H1635" t="s">
        <v>57</v>
      </c>
    </row>
    <row r="1636" spans="1:8" x14ac:dyDescent="0.3">
      <c r="A1636">
        <v>147</v>
      </c>
      <c r="B1636" s="5">
        <v>43886</v>
      </c>
      <c r="C1636" t="s">
        <v>10</v>
      </c>
      <c r="D1636">
        <v>210</v>
      </c>
      <c r="E1636">
        <v>1698</v>
      </c>
      <c r="F1636" s="5">
        <v>43862</v>
      </c>
      <c r="G1636">
        <v>210</v>
      </c>
      <c r="H1636" t="s">
        <v>57</v>
      </c>
    </row>
    <row r="1637" spans="1:8" x14ac:dyDescent="0.3">
      <c r="A1637">
        <v>148</v>
      </c>
      <c r="B1637" s="5">
        <v>43842</v>
      </c>
      <c r="C1637" t="s">
        <v>10</v>
      </c>
      <c r="D1637">
        <v>88</v>
      </c>
      <c r="E1637">
        <v>88</v>
      </c>
      <c r="F1637" s="5">
        <v>43831</v>
      </c>
      <c r="G1637">
        <v>88</v>
      </c>
      <c r="H1637" t="s">
        <v>57</v>
      </c>
    </row>
    <row r="1638" spans="1:8" x14ac:dyDescent="0.3">
      <c r="A1638">
        <v>148</v>
      </c>
      <c r="B1638" s="5">
        <v>43870</v>
      </c>
      <c r="C1638" t="s">
        <v>11</v>
      </c>
      <c r="D1638">
        <v>941</v>
      </c>
      <c r="E1638">
        <v>-853</v>
      </c>
      <c r="F1638" s="5">
        <v>43862</v>
      </c>
      <c r="G1638">
        <v>-941</v>
      </c>
      <c r="H1638" t="s">
        <v>58</v>
      </c>
    </row>
    <row r="1639" spans="1:8" x14ac:dyDescent="0.3">
      <c r="A1639">
        <v>148</v>
      </c>
      <c r="B1639" s="5">
        <v>43874</v>
      </c>
      <c r="C1639" t="s">
        <v>11</v>
      </c>
      <c r="D1639">
        <v>826</v>
      </c>
      <c r="E1639">
        <v>-1679</v>
      </c>
      <c r="F1639" s="5">
        <v>43862</v>
      </c>
      <c r="G1639">
        <v>-826</v>
      </c>
      <c r="H1639" t="s">
        <v>58</v>
      </c>
    </row>
    <row r="1640" spans="1:8" x14ac:dyDescent="0.3">
      <c r="A1640">
        <v>148</v>
      </c>
      <c r="B1640" s="5">
        <v>43878</v>
      </c>
      <c r="C1640" t="s">
        <v>12</v>
      </c>
      <c r="D1640">
        <v>788</v>
      </c>
      <c r="E1640">
        <v>-2467</v>
      </c>
      <c r="F1640" s="5">
        <v>43862</v>
      </c>
      <c r="G1640">
        <v>-788</v>
      </c>
      <c r="H1640" t="s">
        <v>58</v>
      </c>
    </row>
    <row r="1641" spans="1:8" x14ac:dyDescent="0.3">
      <c r="A1641">
        <v>148</v>
      </c>
      <c r="B1641" s="5">
        <v>43907</v>
      </c>
      <c r="C1641" t="s">
        <v>12</v>
      </c>
      <c r="D1641">
        <v>348</v>
      </c>
      <c r="E1641">
        <v>-2815</v>
      </c>
      <c r="F1641" s="5">
        <v>43891</v>
      </c>
      <c r="G1641">
        <v>-348</v>
      </c>
      <c r="H1641" t="s">
        <v>58</v>
      </c>
    </row>
    <row r="1642" spans="1:8" x14ac:dyDescent="0.3">
      <c r="A1642">
        <v>148</v>
      </c>
      <c r="B1642" s="5">
        <v>43918</v>
      </c>
      <c r="C1642" t="s">
        <v>10</v>
      </c>
      <c r="D1642">
        <v>739</v>
      </c>
      <c r="E1642">
        <v>-2076</v>
      </c>
      <c r="F1642" s="5">
        <v>43891</v>
      </c>
      <c r="G1642">
        <v>739</v>
      </c>
      <c r="H1642" t="s">
        <v>58</v>
      </c>
    </row>
    <row r="1643" spans="1:8" x14ac:dyDescent="0.3">
      <c r="A1643">
        <v>148</v>
      </c>
      <c r="B1643" s="5">
        <v>43924</v>
      </c>
      <c r="C1643" t="s">
        <v>11</v>
      </c>
      <c r="D1643">
        <v>113</v>
      </c>
      <c r="E1643">
        <v>-2189</v>
      </c>
      <c r="F1643" s="5">
        <v>43922</v>
      </c>
      <c r="G1643">
        <v>-113</v>
      </c>
      <c r="H1643" t="s">
        <v>58</v>
      </c>
    </row>
    <row r="1644" spans="1:8" x14ac:dyDescent="0.3">
      <c r="A1644">
        <v>148</v>
      </c>
      <c r="B1644" s="5">
        <v>43929</v>
      </c>
      <c r="C1644" t="s">
        <v>11</v>
      </c>
      <c r="D1644">
        <v>541</v>
      </c>
      <c r="E1644">
        <v>-2730</v>
      </c>
      <c r="F1644" s="5">
        <v>43922</v>
      </c>
      <c r="G1644">
        <v>-541</v>
      </c>
      <c r="H1644" t="s">
        <v>58</v>
      </c>
    </row>
    <row r="1645" spans="1:8" x14ac:dyDescent="0.3">
      <c r="A1645">
        <v>149</v>
      </c>
      <c r="B1645" s="5">
        <v>43843</v>
      </c>
      <c r="C1645" t="s">
        <v>10</v>
      </c>
      <c r="D1645">
        <v>831</v>
      </c>
      <c r="E1645">
        <v>831</v>
      </c>
      <c r="F1645" s="5">
        <v>43831</v>
      </c>
      <c r="G1645">
        <v>831</v>
      </c>
      <c r="H1645" t="s">
        <v>57</v>
      </c>
    </row>
    <row r="1646" spans="1:8" x14ac:dyDescent="0.3">
      <c r="A1646">
        <v>149</v>
      </c>
      <c r="B1646" s="5">
        <v>43856</v>
      </c>
      <c r="C1646" t="s">
        <v>11</v>
      </c>
      <c r="D1646">
        <v>985</v>
      </c>
      <c r="E1646">
        <v>-154</v>
      </c>
      <c r="F1646" s="5">
        <v>43831</v>
      </c>
      <c r="G1646">
        <v>-985</v>
      </c>
      <c r="H1646" t="s">
        <v>58</v>
      </c>
    </row>
    <row r="1647" spans="1:8" x14ac:dyDescent="0.3">
      <c r="A1647">
        <v>149</v>
      </c>
      <c r="B1647" s="5">
        <v>43860</v>
      </c>
      <c r="C1647" t="s">
        <v>10</v>
      </c>
      <c r="D1647">
        <v>498</v>
      </c>
      <c r="E1647">
        <v>344</v>
      </c>
      <c r="F1647" s="5">
        <v>43831</v>
      </c>
      <c r="G1647">
        <v>498</v>
      </c>
      <c r="H1647" t="s">
        <v>57</v>
      </c>
    </row>
    <row r="1648" spans="1:8" x14ac:dyDescent="0.3">
      <c r="A1648">
        <v>149</v>
      </c>
      <c r="B1648" s="5">
        <v>43889</v>
      </c>
      <c r="C1648" t="s">
        <v>11</v>
      </c>
      <c r="D1648">
        <v>23</v>
      </c>
      <c r="E1648">
        <v>321</v>
      </c>
      <c r="F1648" s="5">
        <v>43862</v>
      </c>
      <c r="G1648">
        <v>-23</v>
      </c>
      <c r="H1648" t="s">
        <v>57</v>
      </c>
    </row>
    <row r="1649" spans="1:8" x14ac:dyDescent="0.3">
      <c r="A1649">
        <v>149</v>
      </c>
      <c r="B1649" s="5">
        <v>43892</v>
      </c>
      <c r="C1649" t="s">
        <v>10</v>
      </c>
      <c r="D1649">
        <v>732</v>
      </c>
      <c r="E1649">
        <v>1053</v>
      </c>
      <c r="F1649" s="5">
        <v>43891</v>
      </c>
      <c r="G1649">
        <v>732</v>
      </c>
      <c r="H1649" t="s">
        <v>57</v>
      </c>
    </row>
    <row r="1650" spans="1:8" x14ac:dyDescent="0.3">
      <c r="A1650">
        <v>149</v>
      </c>
      <c r="B1650" s="5">
        <v>43901</v>
      </c>
      <c r="C1650" t="s">
        <v>12</v>
      </c>
      <c r="D1650">
        <v>520</v>
      </c>
      <c r="E1650">
        <v>533</v>
      </c>
      <c r="F1650" s="5">
        <v>43891</v>
      </c>
      <c r="G1650">
        <v>-520</v>
      </c>
      <c r="H1650" t="s">
        <v>57</v>
      </c>
    </row>
    <row r="1651" spans="1:8" x14ac:dyDescent="0.3">
      <c r="A1651">
        <v>149</v>
      </c>
      <c r="B1651" s="5">
        <v>43901</v>
      </c>
      <c r="C1651" t="s">
        <v>10</v>
      </c>
      <c r="D1651">
        <v>30</v>
      </c>
      <c r="E1651">
        <v>563</v>
      </c>
      <c r="F1651" s="5">
        <v>43891</v>
      </c>
      <c r="G1651">
        <v>30</v>
      </c>
      <c r="H1651" t="s">
        <v>57</v>
      </c>
    </row>
    <row r="1652" spans="1:8" x14ac:dyDescent="0.3">
      <c r="A1652">
        <v>149</v>
      </c>
      <c r="B1652" s="5">
        <v>43905</v>
      </c>
      <c r="C1652" t="s">
        <v>10</v>
      </c>
      <c r="D1652">
        <v>822</v>
      </c>
      <c r="E1652">
        <v>1385</v>
      </c>
      <c r="F1652" s="5">
        <v>43891</v>
      </c>
      <c r="G1652">
        <v>822</v>
      </c>
      <c r="H1652" t="s">
        <v>57</v>
      </c>
    </row>
    <row r="1653" spans="1:8" x14ac:dyDescent="0.3">
      <c r="A1653">
        <v>149</v>
      </c>
      <c r="B1653" s="5">
        <v>43908</v>
      </c>
      <c r="C1653" t="s">
        <v>12</v>
      </c>
      <c r="D1653">
        <v>825</v>
      </c>
      <c r="E1653">
        <v>560</v>
      </c>
      <c r="F1653" s="5">
        <v>43891</v>
      </c>
      <c r="G1653">
        <v>-825</v>
      </c>
      <c r="H1653" t="s">
        <v>57</v>
      </c>
    </row>
    <row r="1654" spans="1:8" x14ac:dyDescent="0.3">
      <c r="A1654">
        <v>149</v>
      </c>
      <c r="B1654" s="5">
        <v>43909</v>
      </c>
      <c r="C1654" t="s">
        <v>12</v>
      </c>
      <c r="D1654">
        <v>791</v>
      </c>
      <c r="E1654">
        <v>-231</v>
      </c>
      <c r="F1654" s="5">
        <v>43891</v>
      </c>
      <c r="G1654">
        <v>-791</v>
      </c>
      <c r="H1654" t="s">
        <v>58</v>
      </c>
    </row>
    <row r="1655" spans="1:8" x14ac:dyDescent="0.3">
      <c r="A1655">
        <v>149</v>
      </c>
      <c r="B1655" s="5">
        <v>43914</v>
      </c>
      <c r="C1655" t="s">
        <v>10</v>
      </c>
      <c r="D1655">
        <v>15</v>
      </c>
      <c r="E1655">
        <v>-216</v>
      </c>
      <c r="F1655" s="5">
        <v>43891</v>
      </c>
      <c r="G1655">
        <v>15</v>
      </c>
      <c r="H1655" t="s">
        <v>58</v>
      </c>
    </row>
    <row r="1656" spans="1:8" x14ac:dyDescent="0.3">
      <c r="A1656">
        <v>149</v>
      </c>
      <c r="B1656" s="5">
        <v>43917</v>
      </c>
      <c r="C1656" t="s">
        <v>10</v>
      </c>
      <c r="D1656">
        <v>14</v>
      </c>
      <c r="E1656">
        <v>-202</v>
      </c>
      <c r="F1656" s="5">
        <v>43891</v>
      </c>
      <c r="G1656">
        <v>14</v>
      </c>
      <c r="H1656" t="s">
        <v>58</v>
      </c>
    </row>
    <row r="1657" spans="1:8" x14ac:dyDescent="0.3">
      <c r="A1657">
        <v>150</v>
      </c>
      <c r="B1657" s="5">
        <v>43834</v>
      </c>
      <c r="C1657" t="s">
        <v>10</v>
      </c>
      <c r="D1657">
        <v>69</v>
      </c>
      <c r="E1657">
        <v>69</v>
      </c>
      <c r="F1657" s="5">
        <v>43831</v>
      </c>
      <c r="G1657">
        <v>69</v>
      </c>
      <c r="H1657" t="s">
        <v>57</v>
      </c>
    </row>
    <row r="1658" spans="1:8" x14ac:dyDescent="0.3">
      <c r="A1658">
        <v>150</v>
      </c>
      <c r="B1658" s="5">
        <v>43835</v>
      </c>
      <c r="C1658" t="s">
        <v>12</v>
      </c>
      <c r="D1658">
        <v>715</v>
      </c>
      <c r="E1658">
        <v>-646</v>
      </c>
      <c r="F1658" s="5">
        <v>43831</v>
      </c>
      <c r="G1658">
        <v>-715</v>
      </c>
      <c r="H1658" t="s">
        <v>58</v>
      </c>
    </row>
    <row r="1659" spans="1:8" x14ac:dyDescent="0.3">
      <c r="A1659">
        <v>150</v>
      </c>
      <c r="B1659" s="5">
        <v>43845</v>
      </c>
      <c r="C1659" t="s">
        <v>12</v>
      </c>
      <c r="D1659">
        <v>869</v>
      </c>
      <c r="E1659">
        <v>-1515</v>
      </c>
      <c r="F1659" s="5">
        <v>43831</v>
      </c>
      <c r="G1659">
        <v>-869</v>
      </c>
      <c r="H1659" t="s">
        <v>58</v>
      </c>
    </row>
    <row r="1660" spans="1:8" x14ac:dyDescent="0.3">
      <c r="A1660">
        <v>150</v>
      </c>
      <c r="B1660" s="5">
        <v>43848</v>
      </c>
      <c r="C1660" t="s">
        <v>12</v>
      </c>
      <c r="D1660">
        <v>176</v>
      </c>
      <c r="E1660">
        <v>-1691</v>
      </c>
      <c r="F1660" s="5">
        <v>43831</v>
      </c>
      <c r="G1660">
        <v>-176</v>
      </c>
      <c r="H1660" t="s">
        <v>58</v>
      </c>
    </row>
    <row r="1661" spans="1:8" x14ac:dyDescent="0.3">
      <c r="A1661">
        <v>150</v>
      </c>
      <c r="B1661" s="5">
        <v>43852</v>
      </c>
      <c r="C1661" t="s">
        <v>10</v>
      </c>
      <c r="D1661">
        <v>166</v>
      </c>
      <c r="E1661">
        <v>-1525</v>
      </c>
      <c r="F1661" s="5">
        <v>43831</v>
      </c>
      <c r="G1661">
        <v>166</v>
      </c>
      <c r="H1661" t="s">
        <v>58</v>
      </c>
    </row>
    <row r="1662" spans="1:8" x14ac:dyDescent="0.3">
      <c r="A1662">
        <v>150</v>
      </c>
      <c r="B1662" s="5">
        <v>43857</v>
      </c>
      <c r="C1662" t="s">
        <v>10</v>
      </c>
      <c r="D1662">
        <v>925</v>
      </c>
      <c r="E1662">
        <v>-600</v>
      </c>
      <c r="F1662" s="5">
        <v>43831</v>
      </c>
      <c r="G1662">
        <v>925</v>
      </c>
      <c r="H1662" t="s">
        <v>58</v>
      </c>
    </row>
    <row r="1663" spans="1:8" x14ac:dyDescent="0.3">
      <c r="A1663">
        <v>150</v>
      </c>
      <c r="B1663" s="5">
        <v>43864</v>
      </c>
      <c r="C1663" t="s">
        <v>10</v>
      </c>
      <c r="D1663">
        <v>63</v>
      </c>
      <c r="E1663">
        <v>-537</v>
      </c>
      <c r="F1663" s="5">
        <v>43862</v>
      </c>
      <c r="G1663">
        <v>63</v>
      </c>
      <c r="H1663" t="s">
        <v>58</v>
      </c>
    </row>
    <row r="1664" spans="1:8" x14ac:dyDescent="0.3">
      <c r="A1664">
        <v>150</v>
      </c>
      <c r="B1664" s="5">
        <v>43870</v>
      </c>
      <c r="C1664" t="s">
        <v>11</v>
      </c>
      <c r="D1664">
        <v>546</v>
      </c>
      <c r="E1664">
        <v>-1083</v>
      </c>
      <c r="F1664" s="5">
        <v>43862</v>
      </c>
      <c r="G1664">
        <v>-546</v>
      </c>
      <c r="H1664" t="s">
        <v>58</v>
      </c>
    </row>
    <row r="1665" spans="1:8" x14ac:dyDescent="0.3">
      <c r="A1665">
        <v>150</v>
      </c>
      <c r="B1665" s="5">
        <v>43873</v>
      </c>
      <c r="C1665" t="s">
        <v>11</v>
      </c>
      <c r="D1665">
        <v>371</v>
      </c>
      <c r="E1665">
        <v>-1454</v>
      </c>
      <c r="F1665" s="5">
        <v>43862</v>
      </c>
      <c r="G1665">
        <v>-371</v>
      </c>
      <c r="H1665" t="s">
        <v>58</v>
      </c>
    </row>
    <row r="1666" spans="1:8" x14ac:dyDescent="0.3">
      <c r="A1666">
        <v>150</v>
      </c>
      <c r="B1666" s="5">
        <v>43880</v>
      </c>
      <c r="C1666" t="s">
        <v>11</v>
      </c>
      <c r="D1666">
        <v>264</v>
      </c>
      <c r="E1666">
        <v>-1718</v>
      </c>
      <c r="F1666" s="5">
        <v>43862</v>
      </c>
      <c r="G1666">
        <v>-264</v>
      </c>
      <c r="H1666" t="s">
        <v>58</v>
      </c>
    </row>
    <row r="1667" spans="1:8" x14ac:dyDescent="0.3">
      <c r="A1667">
        <v>150</v>
      </c>
      <c r="B1667" s="5">
        <v>43889</v>
      </c>
      <c r="C1667" t="s">
        <v>10</v>
      </c>
      <c r="D1667">
        <v>206</v>
      </c>
      <c r="E1667">
        <v>-1512</v>
      </c>
      <c r="F1667" s="5">
        <v>43862</v>
      </c>
      <c r="G1667">
        <v>206</v>
      </c>
      <c r="H1667" t="s">
        <v>58</v>
      </c>
    </row>
    <row r="1668" spans="1:8" x14ac:dyDescent="0.3">
      <c r="A1668">
        <v>150</v>
      </c>
      <c r="B1668" s="5">
        <v>43910</v>
      </c>
      <c r="C1668" t="s">
        <v>10</v>
      </c>
      <c r="D1668">
        <v>715</v>
      </c>
      <c r="E1668">
        <v>-797</v>
      </c>
      <c r="F1668" s="5">
        <v>43891</v>
      </c>
      <c r="G1668">
        <v>715</v>
      </c>
      <c r="H1668" t="s">
        <v>58</v>
      </c>
    </row>
    <row r="1669" spans="1:8" x14ac:dyDescent="0.3">
      <c r="A1669">
        <v>150</v>
      </c>
      <c r="B1669" s="5">
        <v>43914</v>
      </c>
      <c r="C1669" t="s">
        <v>12</v>
      </c>
      <c r="D1669">
        <v>807</v>
      </c>
      <c r="E1669">
        <v>-1604</v>
      </c>
      <c r="F1669" s="5">
        <v>43891</v>
      </c>
      <c r="G1669">
        <v>-807</v>
      </c>
      <c r="H1669" t="s">
        <v>58</v>
      </c>
    </row>
    <row r="1670" spans="1:8" x14ac:dyDescent="0.3">
      <c r="A1670">
        <v>150</v>
      </c>
      <c r="B1670" s="5">
        <v>43922</v>
      </c>
      <c r="C1670" t="s">
        <v>12</v>
      </c>
      <c r="D1670">
        <v>825</v>
      </c>
      <c r="E1670">
        <v>-2429</v>
      </c>
      <c r="F1670" s="5">
        <v>43922</v>
      </c>
      <c r="G1670">
        <v>-825</v>
      </c>
      <c r="H1670" t="s">
        <v>58</v>
      </c>
    </row>
    <row r="1671" spans="1:8" x14ac:dyDescent="0.3">
      <c r="A1671">
        <v>151</v>
      </c>
      <c r="B1671" s="5">
        <v>43840</v>
      </c>
      <c r="C1671" t="s">
        <v>10</v>
      </c>
      <c r="D1671">
        <v>58</v>
      </c>
      <c r="E1671">
        <v>58</v>
      </c>
      <c r="F1671" s="5">
        <v>43831</v>
      </c>
      <c r="G1671">
        <v>58</v>
      </c>
      <c r="H1671" t="s">
        <v>57</v>
      </c>
    </row>
    <row r="1672" spans="1:8" x14ac:dyDescent="0.3">
      <c r="A1672">
        <v>151</v>
      </c>
      <c r="B1672" s="5">
        <v>43851</v>
      </c>
      <c r="C1672" t="s">
        <v>10</v>
      </c>
      <c r="D1672">
        <v>387</v>
      </c>
      <c r="E1672">
        <v>445</v>
      </c>
      <c r="F1672" s="5">
        <v>43831</v>
      </c>
      <c r="G1672">
        <v>387</v>
      </c>
      <c r="H1672" t="s">
        <v>57</v>
      </c>
    </row>
    <row r="1673" spans="1:8" x14ac:dyDescent="0.3">
      <c r="A1673">
        <v>151</v>
      </c>
      <c r="B1673" s="5">
        <v>43853</v>
      </c>
      <c r="C1673" t="s">
        <v>10</v>
      </c>
      <c r="D1673">
        <v>922</v>
      </c>
      <c r="E1673">
        <v>1367</v>
      </c>
      <c r="F1673" s="5">
        <v>43831</v>
      </c>
      <c r="G1673">
        <v>922</v>
      </c>
      <c r="H1673" t="s">
        <v>57</v>
      </c>
    </row>
    <row r="1674" spans="1:8" x14ac:dyDescent="0.3">
      <c r="A1674">
        <v>151</v>
      </c>
      <c r="B1674" s="5">
        <v>43864</v>
      </c>
      <c r="C1674" t="s">
        <v>11</v>
      </c>
      <c r="D1674">
        <v>640</v>
      </c>
      <c r="E1674">
        <v>727</v>
      </c>
      <c r="F1674" s="5">
        <v>43862</v>
      </c>
      <c r="G1674">
        <v>-640</v>
      </c>
      <c r="H1674" t="s">
        <v>57</v>
      </c>
    </row>
    <row r="1675" spans="1:8" x14ac:dyDescent="0.3">
      <c r="A1675">
        <v>151</v>
      </c>
      <c r="B1675" s="5">
        <v>43885</v>
      </c>
      <c r="C1675" t="s">
        <v>12</v>
      </c>
      <c r="D1675">
        <v>722</v>
      </c>
      <c r="E1675">
        <v>5</v>
      </c>
      <c r="F1675" s="5">
        <v>43862</v>
      </c>
      <c r="G1675">
        <v>-722</v>
      </c>
      <c r="H1675" t="s">
        <v>57</v>
      </c>
    </row>
    <row r="1676" spans="1:8" x14ac:dyDescent="0.3">
      <c r="A1676">
        <v>151</v>
      </c>
      <c r="B1676" s="5">
        <v>43908</v>
      </c>
      <c r="C1676" t="s">
        <v>10</v>
      </c>
      <c r="D1676">
        <v>169</v>
      </c>
      <c r="E1676">
        <v>174</v>
      </c>
      <c r="F1676" s="5">
        <v>43891</v>
      </c>
      <c r="G1676">
        <v>169</v>
      </c>
      <c r="H1676" t="s">
        <v>57</v>
      </c>
    </row>
    <row r="1677" spans="1:8" x14ac:dyDescent="0.3">
      <c r="A1677">
        <v>151</v>
      </c>
      <c r="B1677" s="5">
        <v>43910</v>
      </c>
      <c r="C1677" t="s">
        <v>11</v>
      </c>
      <c r="D1677">
        <v>428</v>
      </c>
      <c r="E1677">
        <v>-254</v>
      </c>
      <c r="F1677" s="5">
        <v>43891</v>
      </c>
      <c r="G1677">
        <v>-428</v>
      </c>
      <c r="H1677" t="s">
        <v>58</v>
      </c>
    </row>
    <row r="1678" spans="1:8" x14ac:dyDescent="0.3">
      <c r="A1678">
        <v>151</v>
      </c>
      <c r="B1678" s="5">
        <v>43916</v>
      </c>
      <c r="C1678" t="s">
        <v>10</v>
      </c>
      <c r="D1678">
        <v>318</v>
      </c>
      <c r="E1678">
        <v>64</v>
      </c>
      <c r="F1678" s="5">
        <v>43891</v>
      </c>
      <c r="G1678">
        <v>318</v>
      </c>
      <c r="H1678" t="s">
        <v>57</v>
      </c>
    </row>
    <row r="1679" spans="1:8" x14ac:dyDescent="0.3">
      <c r="A1679">
        <v>151</v>
      </c>
      <c r="B1679" s="5">
        <v>43919</v>
      </c>
      <c r="C1679" t="s">
        <v>12</v>
      </c>
      <c r="D1679">
        <v>951</v>
      </c>
      <c r="E1679">
        <v>-887</v>
      </c>
      <c r="F1679" s="5">
        <v>43891</v>
      </c>
      <c r="G1679">
        <v>-951</v>
      </c>
      <c r="H1679" t="s">
        <v>58</v>
      </c>
    </row>
    <row r="1680" spans="1:8" x14ac:dyDescent="0.3">
      <c r="A1680">
        <v>152</v>
      </c>
      <c r="B1680" s="5">
        <v>43831</v>
      </c>
      <c r="C1680" t="s">
        <v>10</v>
      </c>
      <c r="D1680">
        <v>917</v>
      </c>
      <c r="E1680">
        <v>917</v>
      </c>
      <c r="F1680" s="5">
        <v>43831</v>
      </c>
      <c r="G1680">
        <v>917</v>
      </c>
      <c r="H1680" t="s">
        <v>57</v>
      </c>
    </row>
    <row r="1681" spans="1:8" x14ac:dyDescent="0.3">
      <c r="A1681">
        <v>152</v>
      </c>
      <c r="B1681" s="5">
        <v>43846</v>
      </c>
      <c r="C1681" t="s">
        <v>10</v>
      </c>
      <c r="D1681">
        <v>340</v>
      </c>
      <c r="E1681">
        <v>1257</v>
      </c>
      <c r="F1681" s="5">
        <v>43831</v>
      </c>
      <c r="G1681">
        <v>340</v>
      </c>
      <c r="H1681" t="s">
        <v>57</v>
      </c>
    </row>
    <row r="1682" spans="1:8" x14ac:dyDescent="0.3">
      <c r="A1682">
        <v>152</v>
      </c>
      <c r="B1682" s="5">
        <v>43847</v>
      </c>
      <c r="C1682" t="s">
        <v>10</v>
      </c>
      <c r="D1682">
        <v>264</v>
      </c>
      <c r="E1682">
        <v>1521</v>
      </c>
      <c r="F1682" s="5">
        <v>43831</v>
      </c>
      <c r="G1682">
        <v>264</v>
      </c>
      <c r="H1682" t="s">
        <v>57</v>
      </c>
    </row>
    <row r="1683" spans="1:8" x14ac:dyDescent="0.3">
      <c r="A1683">
        <v>152</v>
      </c>
      <c r="B1683" s="5">
        <v>43853</v>
      </c>
      <c r="C1683" t="s">
        <v>10</v>
      </c>
      <c r="D1683">
        <v>310</v>
      </c>
      <c r="E1683">
        <v>1831</v>
      </c>
      <c r="F1683" s="5">
        <v>43831</v>
      </c>
      <c r="G1683">
        <v>310</v>
      </c>
      <c r="H1683" t="s">
        <v>57</v>
      </c>
    </row>
    <row r="1684" spans="1:8" x14ac:dyDescent="0.3">
      <c r="A1684">
        <v>152</v>
      </c>
      <c r="B1684" s="5">
        <v>43865</v>
      </c>
      <c r="C1684" t="s">
        <v>10</v>
      </c>
      <c r="D1684">
        <v>706</v>
      </c>
      <c r="E1684">
        <v>2537</v>
      </c>
      <c r="F1684" s="5">
        <v>43862</v>
      </c>
      <c r="G1684">
        <v>706</v>
      </c>
      <c r="H1684" t="s">
        <v>57</v>
      </c>
    </row>
    <row r="1685" spans="1:8" x14ac:dyDescent="0.3">
      <c r="A1685">
        <v>152</v>
      </c>
      <c r="B1685" s="5">
        <v>43865</v>
      </c>
      <c r="C1685" t="s">
        <v>10</v>
      </c>
      <c r="D1685">
        <v>696</v>
      </c>
      <c r="E1685">
        <v>3233</v>
      </c>
      <c r="F1685" s="5">
        <v>43862</v>
      </c>
      <c r="G1685">
        <v>696</v>
      </c>
      <c r="H1685" t="s">
        <v>57</v>
      </c>
    </row>
    <row r="1686" spans="1:8" x14ac:dyDescent="0.3">
      <c r="A1686">
        <v>152</v>
      </c>
      <c r="B1686" s="5">
        <v>43870</v>
      </c>
      <c r="C1686" t="s">
        <v>12</v>
      </c>
      <c r="D1686">
        <v>849</v>
      </c>
      <c r="E1686">
        <v>2384</v>
      </c>
      <c r="F1686" s="5">
        <v>43862</v>
      </c>
      <c r="G1686">
        <v>-849</v>
      </c>
      <c r="H1686" t="s">
        <v>57</v>
      </c>
    </row>
    <row r="1687" spans="1:8" x14ac:dyDescent="0.3">
      <c r="A1687">
        <v>152</v>
      </c>
      <c r="B1687" s="5">
        <v>43874</v>
      </c>
      <c r="C1687" t="s">
        <v>11</v>
      </c>
      <c r="D1687">
        <v>334</v>
      </c>
      <c r="E1687">
        <v>2050</v>
      </c>
      <c r="F1687" s="5">
        <v>43862</v>
      </c>
      <c r="G1687">
        <v>-334</v>
      </c>
      <c r="H1687" t="s">
        <v>57</v>
      </c>
    </row>
    <row r="1688" spans="1:8" x14ac:dyDescent="0.3">
      <c r="A1688">
        <v>152</v>
      </c>
      <c r="B1688" s="5">
        <v>43876</v>
      </c>
      <c r="C1688" t="s">
        <v>10</v>
      </c>
      <c r="D1688">
        <v>812</v>
      </c>
      <c r="E1688">
        <v>2862</v>
      </c>
      <c r="F1688" s="5">
        <v>43862</v>
      </c>
      <c r="G1688">
        <v>812</v>
      </c>
      <c r="H1688" t="s">
        <v>57</v>
      </c>
    </row>
    <row r="1689" spans="1:8" x14ac:dyDescent="0.3">
      <c r="A1689">
        <v>152</v>
      </c>
      <c r="B1689" s="5">
        <v>43883</v>
      </c>
      <c r="C1689" t="s">
        <v>11</v>
      </c>
      <c r="D1689">
        <v>960</v>
      </c>
      <c r="E1689">
        <v>1902</v>
      </c>
      <c r="F1689" s="5">
        <v>43862</v>
      </c>
      <c r="G1689">
        <v>-960</v>
      </c>
      <c r="H1689" t="s">
        <v>57</v>
      </c>
    </row>
    <row r="1690" spans="1:8" x14ac:dyDescent="0.3">
      <c r="A1690">
        <v>152</v>
      </c>
      <c r="B1690" s="5">
        <v>43910</v>
      </c>
      <c r="C1690" t="s">
        <v>10</v>
      </c>
      <c r="D1690">
        <v>68</v>
      </c>
      <c r="E1690">
        <v>1970</v>
      </c>
      <c r="F1690" s="5">
        <v>43891</v>
      </c>
      <c r="G1690">
        <v>68</v>
      </c>
      <c r="H1690" t="s">
        <v>57</v>
      </c>
    </row>
    <row r="1691" spans="1:8" x14ac:dyDescent="0.3">
      <c r="A1691">
        <v>152</v>
      </c>
      <c r="B1691" s="5">
        <v>43918</v>
      </c>
      <c r="C1691" t="s">
        <v>10</v>
      </c>
      <c r="D1691">
        <v>14</v>
      </c>
      <c r="E1691">
        <v>1984</v>
      </c>
      <c r="F1691" s="5">
        <v>43891</v>
      </c>
      <c r="G1691">
        <v>14</v>
      </c>
      <c r="H1691" t="s">
        <v>57</v>
      </c>
    </row>
    <row r="1692" spans="1:8" x14ac:dyDescent="0.3">
      <c r="A1692">
        <v>153</v>
      </c>
      <c r="B1692" s="5">
        <v>43848</v>
      </c>
      <c r="C1692" t="s">
        <v>10</v>
      </c>
      <c r="D1692">
        <v>754</v>
      </c>
      <c r="E1692">
        <v>754</v>
      </c>
      <c r="F1692" s="5">
        <v>43831</v>
      </c>
      <c r="G1692">
        <v>754</v>
      </c>
      <c r="H1692" t="s">
        <v>57</v>
      </c>
    </row>
    <row r="1693" spans="1:8" x14ac:dyDescent="0.3">
      <c r="A1693">
        <v>153</v>
      </c>
      <c r="B1693" s="5">
        <v>43852</v>
      </c>
      <c r="C1693" t="s">
        <v>11</v>
      </c>
      <c r="D1693">
        <v>987</v>
      </c>
      <c r="E1693">
        <v>-233</v>
      </c>
      <c r="F1693" s="5">
        <v>43831</v>
      </c>
      <c r="G1693">
        <v>-987</v>
      </c>
      <c r="H1693" t="s">
        <v>58</v>
      </c>
    </row>
    <row r="1694" spans="1:8" x14ac:dyDescent="0.3">
      <c r="A1694">
        <v>153</v>
      </c>
      <c r="B1694" s="5">
        <v>43852</v>
      </c>
      <c r="C1694" t="s">
        <v>12</v>
      </c>
      <c r="D1694">
        <v>587</v>
      </c>
      <c r="E1694">
        <v>-820</v>
      </c>
      <c r="F1694" s="5">
        <v>43831</v>
      </c>
      <c r="G1694">
        <v>-587</v>
      </c>
      <c r="H1694" t="s">
        <v>58</v>
      </c>
    </row>
    <row r="1695" spans="1:8" x14ac:dyDescent="0.3">
      <c r="A1695">
        <v>153</v>
      </c>
      <c r="B1695" s="5">
        <v>43853</v>
      </c>
      <c r="C1695" t="s">
        <v>12</v>
      </c>
      <c r="D1695">
        <v>431</v>
      </c>
      <c r="E1695">
        <v>-1251</v>
      </c>
      <c r="F1695" s="5">
        <v>43831</v>
      </c>
      <c r="G1695">
        <v>-431</v>
      </c>
      <c r="H1695" t="s">
        <v>58</v>
      </c>
    </row>
    <row r="1696" spans="1:8" x14ac:dyDescent="0.3">
      <c r="A1696">
        <v>153</v>
      </c>
      <c r="B1696" s="5">
        <v>43856</v>
      </c>
      <c r="C1696" t="s">
        <v>12</v>
      </c>
      <c r="D1696">
        <v>703</v>
      </c>
      <c r="E1696">
        <v>-1954</v>
      </c>
      <c r="F1696" s="5">
        <v>43831</v>
      </c>
      <c r="G1696">
        <v>-703</v>
      </c>
      <c r="H1696" t="s">
        <v>58</v>
      </c>
    </row>
    <row r="1697" spans="1:8" x14ac:dyDescent="0.3">
      <c r="A1697">
        <v>153</v>
      </c>
      <c r="B1697" s="5">
        <v>43862</v>
      </c>
      <c r="C1697" t="s">
        <v>11</v>
      </c>
      <c r="D1697">
        <v>302</v>
      </c>
      <c r="E1697">
        <v>-2256</v>
      </c>
      <c r="F1697" s="5">
        <v>43862</v>
      </c>
      <c r="G1697">
        <v>-302</v>
      </c>
      <c r="H1697" t="s">
        <v>58</v>
      </c>
    </row>
    <row r="1698" spans="1:8" x14ac:dyDescent="0.3">
      <c r="A1698">
        <v>153</v>
      </c>
      <c r="B1698" s="5">
        <v>43867</v>
      </c>
      <c r="C1698" t="s">
        <v>12</v>
      </c>
      <c r="D1698">
        <v>181</v>
      </c>
      <c r="E1698">
        <v>-2437</v>
      </c>
      <c r="F1698" s="5">
        <v>43862</v>
      </c>
      <c r="G1698">
        <v>-181</v>
      </c>
      <c r="H1698" t="s">
        <v>58</v>
      </c>
    </row>
    <row r="1699" spans="1:8" x14ac:dyDescent="0.3">
      <c r="A1699">
        <v>153</v>
      </c>
      <c r="B1699" s="5">
        <v>43868</v>
      </c>
      <c r="C1699" t="s">
        <v>10</v>
      </c>
      <c r="D1699">
        <v>664</v>
      </c>
      <c r="E1699">
        <v>-1773</v>
      </c>
      <c r="F1699" s="5">
        <v>43862</v>
      </c>
      <c r="G1699">
        <v>664</v>
      </c>
      <c r="H1699" t="s">
        <v>58</v>
      </c>
    </row>
    <row r="1700" spans="1:8" x14ac:dyDescent="0.3">
      <c r="A1700">
        <v>153</v>
      </c>
      <c r="B1700" s="5">
        <v>43869</v>
      </c>
      <c r="C1700" t="s">
        <v>11</v>
      </c>
      <c r="D1700">
        <v>578</v>
      </c>
      <c r="E1700">
        <v>-2351</v>
      </c>
      <c r="F1700" s="5">
        <v>43862</v>
      </c>
      <c r="G1700">
        <v>-578</v>
      </c>
      <c r="H1700" t="s">
        <v>58</v>
      </c>
    </row>
    <row r="1701" spans="1:8" x14ac:dyDescent="0.3">
      <c r="A1701">
        <v>153</v>
      </c>
      <c r="B1701" s="5">
        <v>43876</v>
      </c>
      <c r="C1701" t="s">
        <v>10</v>
      </c>
      <c r="D1701">
        <v>752</v>
      </c>
      <c r="E1701">
        <v>-1599</v>
      </c>
      <c r="F1701" s="5">
        <v>43862</v>
      </c>
      <c r="G1701">
        <v>752</v>
      </c>
      <c r="H1701" t="s">
        <v>58</v>
      </c>
    </row>
    <row r="1702" spans="1:8" x14ac:dyDescent="0.3">
      <c r="A1702">
        <v>153</v>
      </c>
      <c r="B1702" s="5">
        <v>43881</v>
      </c>
      <c r="C1702" t="s">
        <v>10</v>
      </c>
      <c r="D1702">
        <v>959</v>
      </c>
      <c r="E1702">
        <v>-640</v>
      </c>
      <c r="F1702" s="5">
        <v>43862</v>
      </c>
      <c r="G1702">
        <v>959</v>
      </c>
      <c r="H1702" t="s">
        <v>58</v>
      </c>
    </row>
    <row r="1703" spans="1:8" x14ac:dyDescent="0.3">
      <c r="A1703">
        <v>153</v>
      </c>
      <c r="B1703" s="5">
        <v>43885</v>
      </c>
      <c r="C1703" t="s">
        <v>10</v>
      </c>
      <c r="D1703">
        <v>353</v>
      </c>
      <c r="E1703">
        <v>-287</v>
      </c>
      <c r="F1703" s="5">
        <v>43862</v>
      </c>
      <c r="G1703">
        <v>353</v>
      </c>
      <c r="H1703" t="s">
        <v>58</v>
      </c>
    </row>
    <row r="1704" spans="1:8" x14ac:dyDescent="0.3">
      <c r="A1704">
        <v>153</v>
      </c>
      <c r="B1704" s="5">
        <v>43886</v>
      </c>
      <c r="C1704" t="s">
        <v>12</v>
      </c>
      <c r="D1704">
        <v>107</v>
      </c>
      <c r="E1704">
        <v>-394</v>
      </c>
      <c r="F1704" s="5">
        <v>43862</v>
      </c>
      <c r="G1704">
        <v>-107</v>
      </c>
      <c r="H1704" t="s">
        <v>58</v>
      </c>
    </row>
    <row r="1705" spans="1:8" x14ac:dyDescent="0.3">
      <c r="A1705">
        <v>153</v>
      </c>
      <c r="B1705" s="5">
        <v>43887</v>
      </c>
      <c r="C1705" t="s">
        <v>11</v>
      </c>
      <c r="D1705">
        <v>382</v>
      </c>
      <c r="E1705">
        <v>-776</v>
      </c>
      <c r="F1705" s="5">
        <v>43862</v>
      </c>
      <c r="G1705">
        <v>-382</v>
      </c>
      <c r="H1705" t="s">
        <v>58</v>
      </c>
    </row>
    <row r="1706" spans="1:8" x14ac:dyDescent="0.3">
      <c r="A1706">
        <v>153</v>
      </c>
      <c r="B1706" s="5">
        <v>43897</v>
      </c>
      <c r="C1706" t="s">
        <v>11</v>
      </c>
      <c r="D1706">
        <v>683</v>
      </c>
      <c r="E1706">
        <v>-1459</v>
      </c>
      <c r="F1706" s="5">
        <v>43891</v>
      </c>
      <c r="G1706">
        <v>-683</v>
      </c>
      <c r="H1706" t="s">
        <v>58</v>
      </c>
    </row>
    <row r="1707" spans="1:8" x14ac:dyDescent="0.3">
      <c r="A1707">
        <v>153</v>
      </c>
      <c r="B1707" s="5">
        <v>43900</v>
      </c>
      <c r="C1707" t="s">
        <v>10</v>
      </c>
      <c r="D1707">
        <v>378</v>
      </c>
      <c r="E1707">
        <v>-1081</v>
      </c>
      <c r="F1707" s="5">
        <v>43891</v>
      </c>
      <c r="G1707">
        <v>378</v>
      </c>
      <c r="H1707" t="s">
        <v>58</v>
      </c>
    </row>
    <row r="1708" spans="1:8" x14ac:dyDescent="0.3">
      <c r="A1708">
        <v>153</v>
      </c>
      <c r="B1708" s="5">
        <v>43911</v>
      </c>
      <c r="C1708" t="s">
        <v>11</v>
      </c>
      <c r="D1708">
        <v>274</v>
      </c>
      <c r="E1708">
        <v>-1355</v>
      </c>
      <c r="F1708" s="5">
        <v>43891</v>
      </c>
      <c r="G1708">
        <v>-274</v>
      </c>
      <c r="H1708" t="s">
        <v>58</v>
      </c>
    </row>
    <row r="1709" spans="1:8" x14ac:dyDescent="0.3">
      <c r="A1709">
        <v>153</v>
      </c>
      <c r="B1709" s="5">
        <v>43913</v>
      </c>
      <c r="C1709" t="s">
        <v>10</v>
      </c>
      <c r="D1709">
        <v>683</v>
      </c>
      <c r="E1709">
        <v>-672</v>
      </c>
      <c r="F1709" s="5">
        <v>43891</v>
      </c>
      <c r="G1709">
        <v>683</v>
      </c>
      <c r="H1709" t="s">
        <v>58</v>
      </c>
    </row>
    <row r="1710" spans="1:8" x14ac:dyDescent="0.3">
      <c r="A1710">
        <v>153</v>
      </c>
      <c r="B1710" s="5">
        <v>43917</v>
      </c>
      <c r="C1710" t="s">
        <v>11</v>
      </c>
      <c r="D1710">
        <v>178</v>
      </c>
      <c r="E1710">
        <v>-850</v>
      </c>
      <c r="F1710" s="5">
        <v>43891</v>
      </c>
      <c r="G1710">
        <v>-178</v>
      </c>
      <c r="H1710" t="s">
        <v>58</v>
      </c>
    </row>
    <row r="1711" spans="1:8" x14ac:dyDescent="0.3">
      <c r="A1711">
        <v>153</v>
      </c>
      <c r="B1711" s="5">
        <v>43921</v>
      </c>
      <c r="C1711" t="s">
        <v>11</v>
      </c>
      <c r="D1711">
        <v>845</v>
      </c>
      <c r="E1711">
        <v>-1695</v>
      </c>
      <c r="F1711" s="5">
        <v>43891</v>
      </c>
      <c r="G1711">
        <v>-845</v>
      </c>
      <c r="H1711" t="s">
        <v>58</v>
      </c>
    </row>
    <row r="1712" spans="1:8" x14ac:dyDescent="0.3">
      <c r="A1712">
        <v>154</v>
      </c>
      <c r="B1712" s="5">
        <v>43845</v>
      </c>
      <c r="C1712" t="s">
        <v>10</v>
      </c>
      <c r="D1712">
        <v>120</v>
      </c>
      <c r="E1712">
        <v>120</v>
      </c>
      <c r="F1712" s="5">
        <v>43831</v>
      </c>
      <c r="G1712">
        <v>120</v>
      </c>
      <c r="H1712" t="s">
        <v>57</v>
      </c>
    </row>
    <row r="1713" spans="1:8" x14ac:dyDescent="0.3">
      <c r="A1713">
        <v>154</v>
      </c>
      <c r="B1713" s="5">
        <v>43845</v>
      </c>
      <c r="C1713" t="s">
        <v>11</v>
      </c>
      <c r="D1713">
        <v>801</v>
      </c>
      <c r="E1713">
        <v>-681</v>
      </c>
      <c r="F1713" s="5">
        <v>43831</v>
      </c>
      <c r="G1713">
        <v>-801</v>
      </c>
      <c r="H1713" t="s">
        <v>58</v>
      </c>
    </row>
    <row r="1714" spans="1:8" x14ac:dyDescent="0.3">
      <c r="A1714">
        <v>154</v>
      </c>
      <c r="B1714" s="5">
        <v>43858</v>
      </c>
      <c r="C1714" t="s">
        <v>12</v>
      </c>
      <c r="D1714">
        <v>447</v>
      </c>
      <c r="E1714">
        <v>-1128</v>
      </c>
      <c r="F1714" s="5">
        <v>43831</v>
      </c>
      <c r="G1714">
        <v>-447</v>
      </c>
      <c r="H1714" t="s">
        <v>58</v>
      </c>
    </row>
    <row r="1715" spans="1:8" x14ac:dyDescent="0.3">
      <c r="A1715">
        <v>154</v>
      </c>
      <c r="B1715" s="5">
        <v>43861</v>
      </c>
      <c r="C1715" t="s">
        <v>11</v>
      </c>
      <c r="D1715">
        <v>994</v>
      </c>
      <c r="E1715">
        <v>-2122</v>
      </c>
      <c r="F1715" s="5">
        <v>43831</v>
      </c>
      <c r="G1715">
        <v>-994</v>
      </c>
      <c r="H1715" t="s">
        <v>58</v>
      </c>
    </row>
    <row r="1716" spans="1:8" x14ac:dyDescent="0.3">
      <c r="A1716">
        <v>154</v>
      </c>
      <c r="B1716" s="5">
        <v>43861</v>
      </c>
      <c r="C1716" t="s">
        <v>10</v>
      </c>
      <c r="D1716">
        <v>730</v>
      </c>
      <c r="E1716">
        <v>-1392</v>
      </c>
      <c r="F1716" s="5">
        <v>43831</v>
      </c>
      <c r="G1716">
        <v>730</v>
      </c>
      <c r="H1716" t="s">
        <v>58</v>
      </c>
    </row>
    <row r="1717" spans="1:8" x14ac:dyDescent="0.3">
      <c r="A1717">
        <v>154</v>
      </c>
      <c r="B1717" s="5">
        <v>43868</v>
      </c>
      <c r="C1717" t="s">
        <v>12</v>
      </c>
      <c r="D1717">
        <v>13</v>
      </c>
      <c r="E1717">
        <v>-1405</v>
      </c>
      <c r="F1717" s="5">
        <v>43862</v>
      </c>
      <c r="G1717">
        <v>-13</v>
      </c>
      <c r="H1717" t="s">
        <v>58</v>
      </c>
    </row>
    <row r="1718" spans="1:8" x14ac:dyDescent="0.3">
      <c r="A1718">
        <v>154</v>
      </c>
      <c r="B1718" s="5">
        <v>43868</v>
      </c>
      <c r="C1718" t="s">
        <v>10</v>
      </c>
      <c r="D1718">
        <v>938</v>
      </c>
      <c r="E1718">
        <v>-467</v>
      </c>
      <c r="F1718" s="5">
        <v>43862</v>
      </c>
      <c r="G1718">
        <v>938</v>
      </c>
      <c r="H1718" t="s">
        <v>58</v>
      </c>
    </row>
    <row r="1719" spans="1:8" x14ac:dyDescent="0.3">
      <c r="A1719">
        <v>154</v>
      </c>
      <c r="B1719" s="5">
        <v>43869</v>
      </c>
      <c r="C1719" t="s">
        <v>11</v>
      </c>
      <c r="D1719">
        <v>239</v>
      </c>
      <c r="E1719">
        <v>-706</v>
      </c>
      <c r="F1719" s="5">
        <v>43862</v>
      </c>
      <c r="G1719">
        <v>-239</v>
      </c>
      <c r="H1719" t="s">
        <v>58</v>
      </c>
    </row>
    <row r="1720" spans="1:8" x14ac:dyDescent="0.3">
      <c r="A1720">
        <v>154</v>
      </c>
      <c r="B1720" s="5">
        <v>43870</v>
      </c>
      <c r="C1720" t="s">
        <v>11</v>
      </c>
      <c r="D1720">
        <v>255</v>
      </c>
      <c r="E1720">
        <v>-961</v>
      </c>
      <c r="F1720" s="5">
        <v>43862</v>
      </c>
      <c r="G1720">
        <v>-255</v>
      </c>
      <c r="H1720" t="s">
        <v>58</v>
      </c>
    </row>
    <row r="1721" spans="1:8" x14ac:dyDescent="0.3">
      <c r="A1721">
        <v>154</v>
      </c>
      <c r="B1721" s="5">
        <v>43874</v>
      </c>
      <c r="C1721" t="s">
        <v>12</v>
      </c>
      <c r="D1721">
        <v>437</v>
      </c>
      <c r="E1721">
        <v>-1398</v>
      </c>
      <c r="F1721" s="5">
        <v>43862</v>
      </c>
      <c r="G1721">
        <v>-437</v>
      </c>
      <c r="H1721" t="s">
        <v>58</v>
      </c>
    </row>
    <row r="1722" spans="1:8" x14ac:dyDescent="0.3">
      <c r="A1722">
        <v>154</v>
      </c>
      <c r="B1722" s="5">
        <v>43880</v>
      </c>
      <c r="C1722" t="s">
        <v>10</v>
      </c>
      <c r="D1722">
        <v>66</v>
      </c>
      <c r="E1722">
        <v>-1332</v>
      </c>
      <c r="F1722" s="5">
        <v>43862</v>
      </c>
      <c r="G1722">
        <v>66</v>
      </c>
      <c r="H1722" t="s">
        <v>58</v>
      </c>
    </row>
    <row r="1723" spans="1:8" x14ac:dyDescent="0.3">
      <c r="A1723">
        <v>154</v>
      </c>
      <c r="B1723" s="5">
        <v>43888</v>
      </c>
      <c r="C1723" t="s">
        <v>11</v>
      </c>
      <c r="D1723">
        <v>219</v>
      </c>
      <c r="E1723">
        <v>-1551</v>
      </c>
      <c r="F1723" s="5">
        <v>43862</v>
      </c>
      <c r="G1723">
        <v>-219</v>
      </c>
      <c r="H1723" t="s">
        <v>58</v>
      </c>
    </row>
    <row r="1724" spans="1:8" x14ac:dyDescent="0.3">
      <c r="A1724">
        <v>154</v>
      </c>
      <c r="B1724" s="5">
        <v>43889</v>
      </c>
      <c r="C1724" t="s">
        <v>10</v>
      </c>
      <c r="D1724">
        <v>86</v>
      </c>
      <c r="E1724">
        <v>-1465</v>
      </c>
      <c r="F1724" s="5">
        <v>43862</v>
      </c>
      <c r="G1724">
        <v>86</v>
      </c>
      <c r="H1724" t="s">
        <v>58</v>
      </c>
    </row>
    <row r="1725" spans="1:8" x14ac:dyDescent="0.3">
      <c r="A1725">
        <v>154</v>
      </c>
      <c r="B1725" s="5">
        <v>43890</v>
      </c>
      <c r="C1725" t="s">
        <v>12</v>
      </c>
      <c r="D1725">
        <v>875</v>
      </c>
      <c r="E1725">
        <v>-2340</v>
      </c>
      <c r="F1725" s="5">
        <v>43862</v>
      </c>
      <c r="G1725">
        <v>-875</v>
      </c>
      <c r="H1725" t="s">
        <v>58</v>
      </c>
    </row>
    <row r="1726" spans="1:8" x14ac:dyDescent="0.3">
      <c r="A1726">
        <v>154</v>
      </c>
      <c r="B1726" s="5">
        <v>43893</v>
      </c>
      <c r="C1726" t="s">
        <v>10</v>
      </c>
      <c r="D1726">
        <v>988</v>
      </c>
      <c r="E1726">
        <v>-1352</v>
      </c>
      <c r="F1726" s="5">
        <v>43891</v>
      </c>
      <c r="G1726">
        <v>988</v>
      </c>
      <c r="H1726" t="s">
        <v>58</v>
      </c>
    </row>
    <row r="1727" spans="1:8" x14ac:dyDescent="0.3">
      <c r="A1727">
        <v>154</v>
      </c>
      <c r="B1727" s="5">
        <v>43894</v>
      </c>
      <c r="C1727" t="s">
        <v>12</v>
      </c>
      <c r="D1727">
        <v>12</v>
      </c>
      <c r="E1727">
        <v>-1364</v>
      </c>
      <c r="F1727" s="5">
        <v>43891</v>
      </c>
      <c r="G1727">
        <v>-12</v>
      </c>
      <c r="H1727" t="s">
        <v>58</v>
      </c>
    </row>
    <row r="1728" spans="1:8" x14ac:dyDescent="0.3">
      <c r="A1728">
        <v>154</v>
      </c>
      <c r="B1728" s="5">
        <v>43905</v>
      </c>
      <c r="C1728" t="s">
        <v>10</v>
      </c>
      <c r="D1728">
        <v>663</v>
      </c>
      <c r="E1728">
        <v>-701</v>
      </c>
      <c r="F1728" s="5">
        <v>43891</v>
      </c>
      <c r="G1728">
        <v>663</v>
      </c>
      <c r="H1728" t="s">
        <v>58</v>
      </c>
    </row>
    <row r="1729" spans="1:8" x14ac:dyDescent="0.3">
      <c r="A1729">
        <v>154</v>
      </c>
      <c r="B1729" s="5">
        <v>43906</v>
      </c>
      <c r="C1729" t="s">
        <v>12</v>
      </c>
      <c r="D1729">
        <v>988</v>
      </c>
      <c r="E1729">
        <v>-1689</v>
      </c>
      <c r="F1729" s="5">
        <v>43891</v>
      </c>
      <c r="G1729">
        <v>-988</v>
      </c>
      <c r="H1729" t="s">
        <v>58</v>
      </c>
    </row>
    <row r="1730" spans="1:8" x14ac:dyDescent="0.3">
      <c r="A1730">
        <v>154</v>
      </c>
      <c r="B1730" s="5">
        <v>43909</v>
      </c>
      <c r="C1730" t="s">
        <v>12</v>
      </c>
      <c r="D1730">
        <v>415</v>
      </c>
      <c r="E1730">
        <v>-2104</v>
      </c>
      <c r="F1730" s="5">
        <v>43891</v>
      </c>
      <c r="G1730">
        <v>-415</v>
      </c>
      <c r="H1730" t="s">
        <v>58</v>
      </c>
    </row>
    <row r="1731" spans="1:8" x14ac:dyDescent="0.3">
      <c r="A1731">
        <v>154</v>
      </c>
      <c r="B1731" s="5">
        <v>43928</v>
      </c>
      <c r="C1731" t="s">
        <v>10</v>
      </c>
      <c r="D1731">
        <v>86</v>
      </c>
      <c r="E1731">
        <v>-2018</v>
      </c>
      <c r="F1731" s="5">
        <v>43922</v>
      </c>
      <c r="G1731">
        <v>86</v>
      </c>
      <c r="H1731" t="s">
        <v>58</v>
      </c>
    </row>
    <row r="1732" spans="1:8" x14ac:dyDescent="0.3">
      <c r="A1732">
        <v>154</v>
      </c>
      <c r="B1732" s="5">
        <v>43933</v>
      </c>
      <c r="C1732" t="s">
        <v>11</v>
      </c>
      <c r="D1732">
        <v>537</v>
      </c>
      <c r="E1732">
        <v>-2555</v>
      </c>
      <c r="F1732" s="5">
        <v>43922</v>
      </c>
      <c r="G1732">
        <v>-537</v>
      </c>
      <c r="H1732" t="s">
        <v>58</v>
      </c>
    </row>
    <row r="1733" spans="1:8" x14ac:dyDescent="0.3">
      <c r="A1733">
        <v>155</v>
      </c>
      <c r="B1733" s="5">
        <v>43840</v>
      </c>
      <c r="C1733" t="s">
        <v>10</v>
      </c>
      <c r="D1733">
        <v>712</v>
      </c>
      <c r="E1733">
        <v>712</v>
      </c>
      <c r="F1733" s="5">
        <v>43831</v>
      </c>
      <c r="G1733">
        <v>712</v>
      </c>
      <c r="H1733" t="s">
        <v>57</v>
      </c>
    </row>
    <row r="1734" spans="1:8" x14ac:dyDescent="0.3">
      <c r="A1734">
        <v>155</v>
      </c>
      <c r="B1734" s="5">
        <v>43849</v>
      </c>
      <c r="C1734" t="s">
        <v>11</v>
      </c>
      <c r="D1734">
        <v>360</v>
      </c>
      <c r="E1734">
        <v>352</v>
      </c>
      <c r="F1734" s="5">
        <v>43831</v>
      </c>
      <c r="G1734">
        <v>-360</v>
      </c>
      <c r="H1734" t="s">
        <v>57</v>
      </c>
    </row>
    <row r="1735" spans="1:8" x14ac:dyDescent="0.3">
      <c r="A1735">
        <v>155</v>
      </c>
      <c r="B1735" s="5">
        <v>43854</v>
      </c>
      <c r="C1735" t="s">
        <v>11</v>
      </c>
      <c r="D1735">
        <v>717</v>
      </c>
      <c r="E1735">
        <v>-365</v>
      </c>
      <c r="F1735" s="5">
        <v>43831</v>
      </c>
      <c r="G1735">
        <v>-717</v>
      </c>
      <c r="H1735" t="s">
        <v>58</v>
      </c>
    </row>
    <row r="1736" spans="1:8" x14ac:dyDescent="0.3">
      <c r="A1736">
        <v>155</v>
      </c>
      <c r="B1736" s="5">
        <v>43859</v>
      </c>
      <c r="C1736" t="s">
        <v>11</v>
      </c>
      <c r="D1736">
        <v>631</v>
      </c>
      <c r="E1736">
        <v>-996</v>
      </c>
      <c r="F1736" s="5">
        <v>43831</v>
      </c>
      <c r="G1736">
        <v>-631</v>
      </c>
      <c r="H1736" t="s">
        <v>58</v>
      </c>
    </row>
    <row r="1737" spans="1:8" x14ac:dyDescent="0.3">
      <c r="A1737">
        <v>155</v>
      </c>
      <c r="B1737" s="5">
        <v>43865</v>
      </c>
      <c r="C1737" t="s">
        <v>11</v>
      </c>
      <c r="D1737">
        <v>295</v>
      </c>
      <c r="E1737">
        <v>-1291</v>
      </c>
      <c r="F1737" s="5">
        <v>43862</v>
      </c>
      <c r="G1737">
        <v>-295</v>
      </c>
      <c r="H1737" t="s">
        <v>58</v>
      </c>
    </row>
    <row r="1738" spans="1:8" x14ac:dyDescent="0.3">
      <c r="A1738">
        <v>155</v>
      </c>
      <c r="B1738" s="5">
        <v>43876</v>
      </c>
      <c r="C1738" t="s">
        <v>12</v>
      </c>
      <c r="D1738">
        <v>804</v>
      </c>
      <c r="E1738">
        <v>-2095</v>
      </c>
      <c r="F1738" s="5">
        <v>43862</v>
      </c>
      <c r="G1738">
        <v>-804</v>
      </c>
      <c r="H1738" t="s">
        <v>58</v>
      </c>
    </row>
    <row r="1739" spans="1:8" x14ac:dyDescent="0.3">
      <c r="A1739">
        <v>155</v>
      </c>
      <c r="B1739" s="5">
        <v>43876</v>
      </c>
      <c r="C1739" t="s">
        <v>10</v>
      </c>
      <c r="D1739">
        <v>804</v>
      </c>
      <c r="E1739">
        <v>-1291</v>
      </c>
      <c r="F1739" s="5">
        <v>43862</v>
      </c>
      <c r="G1739">
        <v>804</v>
      </c>
      <c r="H1739" t="s">
        <v>58</v>
      </c>
    </row>
    <row r="1740" spans="1:8" x14ac:dyDescent="0.3">
      <c r="A1740">
        <v>155</v>
      </c>
      <c r="B1740" s="5">
        <v>43881</v>
      </c>
      <c r="C1740" t="s">
        <v>11</v>
      </c>
      <c r="D1740">
        <v>751</v>
      </c>
      <c r="E1740">
        <v>-2042</v>
      </c>
      <c r="F1740" s="5">
        <v>43862</v>
      </c>
      <c r="G1740">
        <v>-751</v>
      </c>
      <c r="H1740" t="s">
        <v>58</v>
      </c>
    </row>
    <row r="1741" spans="1:8" x14ac:dyDescent="0.3">
      <c r="A1741">
        <v>155</v>
      </c>
      <c r="B1741" s="5">
        <v>43890</v>
      </c>
      <c r="C1741" t="s">
        <v>11</v>
      </c>
      <c r="D1741">
        <v>899</v>
      </c>
      <c r="E1741">
        <v>-2941</v>
      </c>
      <c r="F1741" s="5">
        <v>43862</v>
      </c>
      <c r="G1741">
        <v>-899</v>
      </c>
      <c r="H1741" t="s">
        <v>58</v>
      </c>
    </row>
    <row r="1742" spans="1:8" x14ac:dyDescent="0.3">
      <c r="A1742">
        <v>155</v>
      </c>
      <c r="B1742" s="5">
        <v>43897</v>
      </c>
      <c r="C1742" t="s">
        <v>12</v>
      </c>
      <c r="D1742">
        <v>751</v>
      </c>
      <c r="E1742">
        <v>-3692</v>
      </c>
      <c r="F1742" s="5">
        <v>43891</v>
      </c>
      <c r="G1742">
        <v>-751</v>
      </c>
      <c r="H1742" t="s">
        <v>58</v>
      </c>
    </row>
    <row r="1743" spans="1:8" x14ac:dyDescent="0.3">
      <c r="A1743">
        <v>155</v>
      </c>
      <c r="B1743" s="5">
        <v>43906</v>
      </c>
      <c r="C1743" t="s">
        <v>12</v>
      </c>
      <c r="D1743">
        <v>627</v>
      </c>
      <c r="E1743">
        <v>-4319</v>
      </c>
      <c r="F1743" s="5">
        <v>43891</v>
      </c>
      <c r="G1743">
        <v>-627</v>
      </c>
      <c r="H1743" t="s">
        <v>58</v>
      </c>
    </row>
    <row r="1744" spans="1:8" x14ac:dyDescent="0.3">
      <c r="A1744">
        <v>155</v>
      </c>
      <c r="B1744" s="5">
        <v>43909</v>
      </c>
      <c r="C1744" t="s">
        <v>10</v>
      </c>
      <c r="D1744">
        <v>117</v>
      </c>
      <c r="E1744">
        <v>-4202</v>
      </c>
      <c r="F1744" s="5">
        <v>43891</v>
      </c>
      <c r="G1744">
        <v>117</v>
      </c>
      <c r="H1744" t="s">
        <v>58</v>
      </c>
    </row>
    <row r="1745" spans="1:8" x14ac:dyDescent="0.3">
      <c r="A1745">
        <v>155</v>
      </c>
      <c r="B1745" s="5">
        <v>43909</v>
      </c>
      <c r="C1745" t="s">
        <v>10</v>
      </c>
      <c r="D1745">
        <v>630</v>
      </c>
      <c r="E1745">
        <v>-3572</v>
      </c>
      <c r="F1745" s="5">
        <v>43891</v>
      </c>
      <c r="G1745">
        <v>630</v>
      </c>
      <c r="H1745" t="s">
        <v>58</v>
      </c>
    </row>
    <row r="1746" spans="1:8" x14ac:dyDescent="0.3">
      <c r="A1746">
        <v>155</v>
      </c>
      <c r="B1746" s="5">
        <v>43918</v>
      </c>
      <c r="C1746" t="s">
        <v>10</v>
      </c>
      <c r="D1746">
        <v>494</v>
      </c>
      <c r="E1746">
        <v>-3078</v>
      </c>
      <c r="F1746" s="5">
        <v>43891</v>
      </c>
      <c r="G1746">
        <v>494</v>
      </c>
      <c r="H1746" t="s">
        <v>58</v>
      </c>
    </row>
    <row r="1747" spans="1:8" x14ac:dyDescent="0.3">
      <c r="A1747">
        <v>155</v>
      </c>
      <c r="B1747" s="5">
        <v>43919</v>
      </c>
      <c r="C1747" t="s">
        <v>10</v>
      </c>
      <c r="D1747">
        <v>890</v>
      </c>
      <c r="E1747">
        <v>-2188</v>
      </c>
      <c r="F1747" s="5">
        <v>43891</v>
      </c>
      <c r="G1747">
        <v>890</v>
      </c>
      <c r="H1747" t="s">
        <v>58</v>
      </c>
    </row>
    <row r="1748" spans="1:8" x14ac:dyDescent="0.3">
      <c r="A1748">
        <v>155</v>
      </c>
      <c r="B1748" s="5">
        <v>43919</v>
      </c>
      <c r="C1748" t="s">
        <v>12</v>
      </c>
      <c r="D1748">
        <v>494</v>
      </c>
      <c r="E1748">
        <v>-2682</v>
      </c>
      <c r="F1748" s="5">
        <v>43891</v>
      </c>
      <c r="G1748">
        <v>-494</v>
      </c>
      <c r="H1748" t="s">
        <v>58</v>
      </c>
    </row>
    <row r="1749" spans="1:8" x14ac:dyDescent="0.3">
      <c r="A1749">
        <v>155</v>
      </c>
      <c r="B1749" s="5">
        <v>43920</v>
      </c>
      <c r="C1749" t="s">
        <v>12</v>
      </c>
      <c r="D1749">
        <v>595</v>
      </c>
      <c r="E1749">
        <v>-3277</v>
      </c>
      <c r="F1749" s="5">
        <v>43891</v>
      </c>
      <c r="G1749">
        <v>-595</v>
      </c>
      <c r="H1749" t="s">
        <v>58</v>
      </c>
    </row>
    <row r="1750" spans="1:8" x14ac:dyDescent="0.3">
      <c r="A1750">
        <v>155</v>
      </c>
      <c r="B1750" s="5">
        <v>43921</v>
      </c>
      <c r="C1750" t="s">
        <v>12</v>
      </c>
      <c r="D1750">
        <v>100</v>
      </c>
      <c r="E1750">
        <v>-3377</v>
      </c>
      <c r="F1750" s="5">
        <v>43891</v>
      </c>
      <c r="G1750">
        <v>-100</v>
      </c>
      <c r="H1750" t="s">
        <v>58</v>
      </c>
    </row>
    <row r="1751" spans="1:8" x14ac:dyDescent="0.3">
      <c r="A1751">
        <v>155</v>
      </c>
      <c r="B1751" s="5">
        <v>43925</v>
      </c>
      <c r="C1751" t="s">
        <v>11</v>
      </c>
      <c r="D1751">
        <v>501</v>
      </c>
      <c r="E1751">
        <v>-3878</v>
      </c>
      <c r="F1751" s="5">
        <v>43922</v>
      </c>
      <c r="G1751">
        <v>-501</v>
      </c>
      <c r="H1751" t="s">
        <v>58</v>
      </c>
    </row>
    <row r="1752" spans="1:8" x14ac:dyDescent="0.3">
      <c r="A1752">
        <v>155</v>
      </c>
      <c r="B1752" s="5">
        <v>43926</v>
      </c>
      <c r="C1752" t="s">
        <v>12</v>
      </c>
      <c r="D1752">
        <v>652</v>
      </c>
      <c r="E1752">
        <v>-4530</v>
      </c>
      <c r="F1752" s="5">
        <v>43922</v>
      </c>
      <c r="G1752">
        <v>-652</v>
      </c>
      <c r="H1752" t="s">
        <v>58</v>
      </c>
    </row>
    <row r="1753" spans="1:8" x14ac:dyDescent="0.3">
      <c r="A1753">
        <v>156</v>
      </c>
      <c r="B1753" s="5">
        <v>43854</v>
      </c>
      <c r="C1753" t="s">
        <v>10</v>
      </c>
      <c r="D1753">
        <v>82</v>
      </c>
      <c r="E1753">
        <v>82</v>
      </c>
      <c r="F1753" s="5">
        <v>43831</v>
      </c>
      <c r="G1753">
        <v>82</v>
      </c>
      <c r="H1753" t="s">
        <v>57</v>
      </c>
    </row>
    <row r="1754" spans="1:8" x14ac:dyDescent="0.3">
      <c r="A1754">
        <v>156</v>
      </c>
      <c r="B1754" s="5">
        <v>43929</v>
      </c>
      <c r="C1754" t="s">
        <v>10</v>
      </c>
      <c r="D1754">
        <v>230</v>
      </c>
      <c r="E1754">
        <v>312</v>
      </c>
      <c r="F1754" s="5">
        <v>43922</v>
      </c>
      <c r="G1754">
        <v>230</v>
      </c>
      <c r="H1754" t="s">
        <v>57</v>
      </c>
    </row>
    <row r="1755" spans="1:8" x14ac:dyDescent="0.3">
      <c r="A1755">
        <v>157</v>
      </c>
      <c r="B1755" s="5">
        <v>43836</v>
      </c>
      <c r="C1755" t="s">
        <v>10</v>
      </c>
      <c r="D1755">
        <v>721</v>
      </c>
      <c r="E1755">
        <v>721</v>
      </c>
      <c r="F1755" s="5">
        <v>43831</v>
      </c>
      <c r="G1755">
        <v>721</v>
      </c>
      <c r="H1755" t="s">
        <v>57</v>
      </c>
    </row>
    <row r="1756" spans="1:8" x14ac:dyDescent="0.3">
      <c r="A1756">
        <v>157</v>
      </c>
      <c r="B1756" s="5">
        <v>43858</v>
      </c>
      <c r="C1756" t="s">
        <v>11</v>
      </c>
      <c r="D1756">
        <v>583</v>
      </c>
      <c r="E1756">
        <v>138</v>
      </c>
      <c r="F1756" s="5">
        <v>43831</v>
      </c>
      <c r="G1756">
        <v>-583</v>
      </c>
      <c r="H1756" t="s">
        <v>57</v>
      </c>
    </row>
    <row r="1757" spans="1:8" x14ac:dyDescent="0.3">
      <c r="A1757">
        <v>157</v>
      </c>
      <c r="B1757" s="5">
        <v>43890</v>
      </c>
      <c r="C1757" t="s">
        <v>12</v>
      </c>
      <c r="D1757">
        <v>749</v>
      </c>
      <c r="E1757">
        <v>-611</v>
      </c>
      <c r="F1757" s="5">
        <v>43862</v>
      </c>
      <c r="G1757">
        <v>-749</v>
      </c>
      <c r="H1757" t="s">
        <v>58</v>
      </c>
    </row>
    <row r="1758" spans="1:8" x14ac:dyDescent="0.3">
      <c r="A1758">
        <v>157</v>
      </c>
      <c r="B1758" s="5">
        <v>43891</v>
      </c>
      <c r="C1758" t="s">
        <v>10</v>
      </c>
      <c r="D1758">
        <v>941</v>
      </c>
      <c r="E1758">
        <v>330</v>
      </c>
      <c r="F1758" s="5">
        <v>43891</v>
      </c>
      <c r="G1758">
        <v>941</v>
      </c>
      <c r="H1758" t="s">
        <v>57</v>
      </c>
    </row>
    <row r="1759" spans="1:8" x14ac:dyDescent="0.3">
      <c r="A1759">
        <v>157</v>
      </c>
      <c r="B1759" s="5">
        <v>43896</v>
      </c>
      <c r="C1759" t="s">
        <v>10</v>
      </c>
      <c r="D1759">
        <v>517</v>
      </c>
      <c r="E1759">
        <v>847</v>
      </c>
      <c r="F1759" s="5">
        <v>43891</v>
      </c>
      <c r="G1759">
        <v>517</v>
      </c>
      <c r="H1759" t="s">
        <v>57</v>
      </c>
    </row>
    <row r="1760" spans="1:8" x14ac:dyDescent="0.3">
      <c r="A1760">
        <v>157</v>
      </c>
      <c r="B1760" s="5">
        <v>43899</v>
      </c>
      <c r="C1760" t="s">
        <v>10</v>
      </c>
      <c r="D1760">
        <v>395</v>
      </c>
      <c r="E1760">
        <v>1242</v>
      </c>
      <c r="F1760" s="5">
        <v>43891</v>
      </c>
      <c r="G1760">
        <v>395</v>
      </c>
      <c r="H1760" t="s">
        <v>57</v>
      </c>
    </row>
    <row r="1761" spans="1:8" x14ac:dyDescent="0.3">
      <c r="A1761">
        <v>157</v>
      </c>
      <c r="B1761" s="5">
        <v>43904</v>
      </c>
      <c r="C1761" t="s">
        <v>10</v>
      </c>
      <c r="D1761">
        <v>697</v>
      </c>
      <c r="E1761">
        <v>1939</v>
      </c>
      <c r="F1761" s="5">
        <v>43891</v>
      </c>
      <c r="G1761">
        <v>697</v>
      </c>
      <c r="H1761" t="s">
        <v>57</v>
      </c>
    </row>
    <row r="1762" spans="1:8" x14ac:dyDescent="0.3">
      <c r="A1762">
        <v>157</v>
      </c>
      <c r="B1762" s="5">
        <v>43908</v>
      </c>
      <c r="C1762" t="s">
        <v>10</v>
      </c>
      <c r="D1762">
        <v>827</v>
      </c>
      <c r="E1762">
        <v>2766</v>
      </c>
      <c r="F1762" s="5">
        <v>43891</v>
      </c>
      <c r="G1762">
        <v>827</v>
      </c>
      <c r="H1762" t="s">
        <v>57</v>
      </c>
    </row>
    <row r="1763" spans="1:8" x14ac:dyDescent="0.3">
      <c r="A1763">
        <v>158</v>
      </c>
      <c r="B1763" s="5">
        <v>43848</v>
      </c>
      <c r="C1763" t="s">
        <v>11</v>
      </c>
      <c r="D1763">
        <v>109</v>
      </c>
      <c r="E1763">
        <v>-109</v>
      </c>
      <c r="F1763" s="5">
        <v>43831</v>
      </c>
      <c r="G1763">
        <v>-109</v>
      </c>
      <c r="H1763" t="s">
        <v>58</v>
      </c>
    </row>
    <row r="1764" spans="1:8" x14ac:dyDescent="0.3">
      <c r="A1764">
        <v>158</v>
      </c>
      <c r="B1764" s="5">
        <v>43848</v>
      </c>
      <c r="C1764" t="s">
        <v>10</v>
      </c>
      <c r="D1764">
        <v>642</v>
      </c>
      <c r="E1764">
        <v>533</v>
      </c>
      <c r="F1764" s="5">
        <v>43831</v>
      </c>
      <c r="G1764">
        <v>642</v>
      </c>
      <c r="H1764" t="s">
        <v>57</v>
      </c>
    </row>
    <row r="1765" spans="1:8" x14ac:dyDescent="0.3">
      <c r="A1765">
        <v>158</v>
      </c>
      <c r="B1765" s="5">
        <v>43858</v>
      </c>
      <c r="C1765" t="s">
        <v>11</v>
      </c>
      <c r="D1765">
        <v>477</v>
      </c>
      <c r="E1765">
        <v>56</v>
      </c>
      <c r="F1765" s="5">
        <v>43831</v>
      </c>
      <c r="G1765">
        <v>-477</v>
      </c>
      <c r="H1765" t="s">
        <v>57</v>
      </c>
    </row>
    <row r="1766" spans="1:8" x14ac:dyDescent="0.3">
      <c r="A1766">
        <v>158</v>
      </c>
      <c r="B1766" s="5">
        <v>43869</v>
      </c>
      <c r="C1766" t="s">
        <v>11</v>
      </c>
      <c r="D1766">
        <v>192</v>
      </c>
      <c r="E1766">
        <v>-136</v>
      </c>
      <c r="F1766" s="5">
        <v>43862</v>
      </c>
      <c r="G1766">
        <v>-192</v>
      </c>
      <c r="H1766" t="s">
        <v>58</v>
      </c>
    </row>
    <row r="1767" spans="1:8" x14ac:dyDescent="0.3">
      <c r="A1767">
        <v>158</v>
      </c>
      <c r="B1767" s="5">
        <v>43899</v>
      </c>
      <c r="C1767" t="s">
        <v>12</v>
      </c>
      <c r="D1767">
        <v>799</v>
      </c>
      <c r="E1767">
        <v>-935</v>
      </c>
      <c r="F1767" s="5">
        <v>43891</v>
      </c>
      <c r="G1767">
        <v>-799</v>
      </c>
      <c r="H1767" t="s">
        <v>58</v>
      </c>
    </row>
    <row r="1768" spans="1:8" x14ac:dyDescent="0.3">
      <c r="A1768">
        <v>158</v>
      </c>
      <c r="B1768" s="5">
        <v>43903</v>
      </c>
      <c r="C1768" t="s">
        <v>11</v>
      </c>
      <c r="D1768">
        <v>235</v>
      </c>
      <c r="E1768">
        <v>-1170</v>
      </c>
      <c r="F1768" s="5">
        <v>43891</v>
      </c>
      <c r="G1768">
        <v>-235</v>
      </c>
      <c r="H1768" t="s">
        <v>58</v>
      </c>
    </row>
    <row r="1769" spans="1:8" x14ac:dyDescent="0.3">
      <c r="A1769">
        <v>158</v>
      </c>
      <c r="B1769" s="5">
        <v>43906</v>
      </c>
      <c r="C1769" t="s">
        <v>11</v>
      </c>
      <c r="D1769">
        <v>546</v>
      </c>
      <c r="E1769">
        <v>-1716</v>
      </c>
      <c r="F1769" s="5">
        <v>43891</v>
      </c>
      <c r="G1769">
        <v>-546</v>
      </c>
      <c r="H1769" t="s">
        <v>58</v>
      </c>
    </row>
    <row r="1770" spans="1:8" x14ac:dyDescent="0.3">
      <c r="A1770">
        <v>158</v>
      </c>
      <c r="B1770" s="5">
        <v>43909</v>
      </c>
      <c r="C1770" t="s">
        <v>10</v>
      </c>
      <c r="D1770">
        <v>567</v>
      </c>
      <c r="E1770">
        <v>-1149</v>
      </c>
      <c r="F1770" s="5">
        <v>43891</v>
      </c>
      <c r="G1770">
        <v>567</v>
      </c>
      <c r="H1770" t="s">
        <v>58</v>
      </c>
    </row>
    <row r="1771" spans="1:8" x14ac:dyDescent="0.3">
      <c r="A1771">
        <v>158</v>
      </c>
      <c r="B1771" s="5">
        <v>43913</v>
      </c>
      <c r="C1771" t="s">
        <v>10</v>
      </c>
      <c r="D1771">
        <v>683</v>
      </c>
      <c r="E1771">
        <v>-466</v>
      </c>
      <c r="F1771" s="5">
        <v>43891</v>
      </c>
      <c r="G1771">
        <v>683</v>
      </c>
      <c r="H1771" t="s">
        <v>58</v>
      </c>
    </row>
    <row r="1772" spans="1:8" x14ac:dyDescent="0.3">
      <c r="A1772">
        <v>158</v>
      </c>
      <c r="B1772" s="5">
        <v>43917</v>
      </c>
      <c r="C1772" t="s">
        <v>12</v>
      </c>
      <c r="D1772">
        <v>118</v>
      </c>
      <c r="E1772">
        <v>-584</v>
      </c>
      <c r="F1772" s="5">
        <v>43891</v>
      </c>
      <c r="G1772">
        <v>-118</v>
      </c>
      <c r="H1772" t="s">
        <v>58</v>
      </c>
    </row>
    <row r="1773" spans="1:8" x14ac:dyDescent="0.3">
      <c r="A1773">
        <v>158</v>
      </c>
      <c r="B1773" s="5">
        <v>43919</v>
      </c>
      <c r="C1773" t="s">
        <v>11</v>
      </c>
      <c r="D1773">
        <v>522</v>
      </c>
      <c r="E1773">
        <v>-1106</v>
      </c>
      <c r="F1773" s="5">
        <v>43891</v>
      </c>
      <c r="G1773">
        <v>-522</v>
      </c>
      <c r="H1773" t="s">
        <v>58</v>
      </c>
    </row>
    <row r="1774" spans="1:8" x14ac:dyDescent="0.3">
      <c r="A1774">
        <v>159</v>
      </c>
      <c r="B1774" s="5">
        <v>43834</v>
      </c>
      <c r="C1774" t="s">
        <v>10</v>
      </c>
      <c r="D1774">
        <v>669</v>
      </c>
      <c r="E1774">
        <v>669</v>
      </c>
      <c r="F1774" s="5">
        <v>43831</v>
      </c>
      <c r="G1774">
        <v>669</v>
      </c>
      <c r="H1774" t="s">
        <v>57</v>
      </c>
    </row>
    <row r="1775" spans="1:8" x14ac:dyDescent="0.3">
      <c r="A1775">
        <v>159</v>
      </c>
      <c r="B1775" s="5">
        <v>43836</v>
      </c>
      <c r="C1775" t="s">
        <v>11</v>
      </c>
      <c r="D1775">
        <v>236</v>
      </c>
      <c r="E1775">
        <v>433</v>
      </c>
      <c r="F1775" s="5">
        <v>43831</v>
      </c>
      <c r="G1775">
        <v>-236</v>
      </c>
      <c r="H1775" t="s">
        <v>57</v>
      </c>
    </row>
    <row r="1776" spans="1:8" x14ac:dyDescent="0.3">
      <c r="A1776">
        <v>159</v>
      </c>
      <c r="B1776" s="5">
        <v>43846</v>
      </c>
      <c r="C1776" t="s">
        <v>12</v>
      </c>
      <c r="D1776">
        <v>734</v>
      </c>
      <c r="E1776">
        <v>-301</v>
      </c>
      <c r="F1776" s="5">
        <v>43831</v>
      </c>
      <c r="G1776">
        <v>-734</v>
      </c>
      <c r="H1776" t="s">
        <v>58</v>
      </c>
    </row>
    <row r="1777" spans="1:8" x14ac:dyDescent="0.3">
      <c r="A1777">
        <v>160</v>
      </c>
      <c r="B1777" s="5">
        <v>43847</v>
      </c>
      <c r="C1777" t="s">
        <v>10</v>
      </c>
      <c r="D1777">
        <v>843</v>
      </c>
      <c r="E1777">
        <v>843</v>
      </c>
      <c r="F1777" s="5">
        <v>43831</v>
      </c>
      <c r="G1777">
        <v>843</v>
      </c>
      <c r="H1777" t="s">
        <v>57</v>
      </c>
    </row>
    <row r="1778" spans="1:8" x14ac:dyDescent="0.3">
      <c r="A1778">
        <v>160</v>
      </c>
      <c r="B1778" s="5">
        <v>43865</v>
      </c>
      <c r="C1778" t="s">
        <v>10</v>
      </c>
      <c r="D1778">
        <v>734</v>
      </c>
      <c r="E1778">
        <v>1577</v>
      </c>
      <c r="F1778" s="5">
        <v>43862</v>
      </c>
      <c r="G1778">
        <v>734</v>
      </c>
      <c r="H1778" t="s">
        <v>57</v>
      </c>
    </row>
    <row r="1779" spans="1:8" x14ac:dyDescent="0.3">
      <c r="A1779">
        <v>160</v>
      </c>
      <c r="B1779" s="5">
        <v>43872</v>
      </c>
      <c r="C1779" t="s">
        <v>12</v>
      </c>
      <c r="D1779">
        <v>845</v>
      </c>
      <c r="E1779">
        <v>732</v>
      </c>
      <c r="F1779" s="5">
        <v>43862</v>
      </c>
      <c r="G1779">
        <v>-845</v>
      </c>
      <c r="H1779" t="s">
        <v>57</v>
      </c>
    </row>
    <row r="1780" spans="1:8" x14ac:dyDescent="0.3">
      <c r="A1780">
        <v>160</v>
      </c>
      <c r="B1780" s="5">
        <v>43872</v>
      </c>
      <c r="C1780" t="s">
        <v>12</v>
      </c>
      <c r="D1780">
        <v>982</v>
      </c>
      <c r="E1780">
        <v>-250</v>
      </c>
      <c r="F1780" s="5">
        <v>43862</v>
      </c>
      <c r="G1780">
        <v>-982</v>
      </c>
      <c r="H1780" t="s">
        <v>58</v>
      </c>
    </row>
    <row r="1781" spans="1:8" x14ac:dyDescent="0.3">
      <c r="A1781">
        <v>160</v>
      </c>
      <c r="B1781" s="5">
        <v>43874</v>
      </c>
      <c r="C1781" t="s">
        <v>10</v>
      </c>
      <c r="D1781">
        <v>18</v>
      </c>
      <c r="E1781">
        <v>-232</v>
      </c>
      <c r="F1781" s="5">
        <v>43862</v>
      </c>
      <c r="G1781">
        <v>18</v>
      </c>
      <c r="H1781" t="s">
        <v>58</v>
      </c>
    </row>
    <row r="1782" spans="1:8" x14ac:dyDescent="0.3">
      <c r="A1782">
        <v>160</v>
      </c>
      <c r="B1782" s="5">
        <v>43882</v>
      </c>
      <c r="C1782" t="s">
        <v>10</v>
      </c>
      <c r="D1782">
        <v>421</v>
      </c>
      <c r="E1782">
        <v>189</v>
      </c>
      <c r="F1782" s="5">
        <v>43862</v>
      </c>
      <c r="G1782">
        <v>421</v>
      </c>
      <c r="H1782" t="s">
        <v>57</v>
      </c>
    </row>
    <row r="1783" spans="1:8" x14ac:dyDescent="0.3">
      <c r="A1783">
        <v>160</v>
      </c>
      <c r="B1783" s="5">
        <v>43884</v>
      </c>
      <c r="C1783" t="s">
        <v>12</v>
      </c>
      <c r="D1783">
        <v>632</v>
      </c>
      <c r="E1783">
        <v>-443</v>
      </c>
      <c r="F1783" s="5">
        <v>43862</v>
      </c>
      <c r="G1783">
        <v>-632</v>
      </c>
      <c r="H1783" t="s">
        <v>58</v>
      </c>
    </row>
    <row r="1784" spans="1:8" x14ac:dyDescent="0.3">
      <c r="A1784">
        <v>160</v>
      </c>
      <c r="B1784" s="5">
        <v>43887</v>
      </c>
      <c r="C1784" t="s">
        <v>10</v>
      </c>
      <c r="D1784">
        <v>986</v>
      </c>
      <c r="E1784">
        <v>543</v>
      </c>
      <c r="F1784" s="5">
        <v>43862</v>
      </c>
      <c r="G1784">
        <v>986</v>
      </c>
      <c r="H1784" t="s">
        <v>57</v>
      </c>
    </row>
    <row r="1785" spans="1:8" x14ac:dyDescent="0.3">
      <c r="A1785">
        <v>160</v>
      </c>
      <c r="B1785" s="5">
        <v>43891</v>
      </c>
      <c r="C1785" t="s">
        <v>11</v>
      </c>
      <c r="D1785">
        <v>459</v>
      </c>
      <c r="E1785">
        <v>84</v>
      </c>
      <c r="F1785" s="5">
        <v>43891</v>
      </c>
      <c r="G1785">
        <v>-459</v>
      </c>
      <c r="H1785" t="s">
        <v>57</v>
      </c>
    </row>
    <row r="1786" spans="1:8" x14ac:dyDescent="0.3">
      <c r="A1786">
        <v>160</v>
      </c>
      <c r="B1786" s="5">
        <v>43913</v>
      </c>
      <c r="C1786" t="s">
        <v>10</v>
      </c>
      <c r="D1786">
        <v>767</v>
      </c>
      <c r="E1786">
        <v>851</v>
      </c>
      <c r="F1786" s="5">
        <v>43891</v>
      </c>
      <c r="G1786">
        <v>767</v>
      </c>
      <c r="H1786" t="s">
        <v>57</v>
      </c>
    </row>
    <row r="1787" spans="1:8" x14ac:dyDescent="0.3">
      <c r="A1787">
        <v>160</v>
      </c>
      <c r="B1787" s="5">
        <v>43918</v>
      </c>
      <c r="C1787" t="s">
        <v>12</v>
      </c>
      <c r="D1787">
        <v>920</v>
      </c>
      <c r="E1787">
        <v>-69</v>
      </c>
      <c r="F1787" s="5">
        <v>43891</v>
      </c>
      <c r="G1787">
        <v>-920</v>
      </c>
      <c r="H1787" t="s">
        <v>58</v>
      </c>
    </row>
    <row r="1788" spans="1:8" x14ac:dyDescent="0.3">
      <c r="A1788">
        <v>160</v>
      </c>
      <c r="B1788" s="5">
        <v>43925</v>
      </c>
      <c r="C1788" t="s">
        <v>11</v>
      </c>
      <c r="D1788">
        <v>633</v>
      </c>
      <c r="E1788">
        <v>-702</v>
      </c>
      <c r="F1788" s="5">
        <v>43922</v>
      </c>
      <c r="G1788">
        <v>-633</v>
      </c>
      <c r="H1788" t="s">
        <v>58</v>
      </c>
    </row>
    <row r="1789" spans="1:8" x14ac:dyDescent="0.3">
      <c r="A1789">
        <v>160</v>
      </c>
      <c r="B1789" s="5">
        <v>43932</v>
      </c>
      <c r="C1789" t="s">
        <v>10</v>
      </c>
      <c r="D1789">
        <v>75</v>
      </c>
      <c r="E1789">
        <v>-627</v>
      </c>
      <c r="F1789" s="5">
        <v>43922</v>
      </c>
      <c r="G1789">
        <v>75</v>
      </c>
      <c r="H1789" t="s">
        <v>58</v>
      </c>
    </row>
    <row r="1790" spans="1:8" x14ac:dyDescent="0.3">
      <c r="A1790">
        <v>160</v>
      </c>
      <c r="B1790" s="5">
        <v>43936</v>
      </c>
      <c r="C1790" t="s">
        <v>10</v>
      </c>
      <c r="D1790">
        <v>320</v>
      </c>
      <c r="E1790">
        <v>-307</v>
      </c>
      <c r="F1790" s="5">
        <v>43922</v>
      </c>
      <c r="G1790">
        <v>320</v>
      </c>
      <c r="H1790" t="s">
        <v>58</v>
      </c>
    </row>
    <row r="1791" spans="1:8" x14ac:dyDescent="0.3">
      <c r="A1791">
        <v>161</v>
      </c>
      <c r="B1791" s="5">
        <v>43838</v>
      </c>
      <c r="C1791" t="s">
        <v>10</v>
      </c>
      <c r="D1791">
        <v>526</v>
      </c>
      <c r="E1791">
        <v>526</v>
      </c>
      <c r="F1791" s="5">
        <v>43831</v>
      </c>
      <c r="G1791">
        <v>526</v>
      </c>
      <c r="H1791" t="s">
        <v>57</v>
      </c>
    </row>
    <row r="1792" spans="1:8" x14ac:dyDescent="0.3">
      <c r="A1792">
        <v>161</v>
      </c>
      <c r="B1792" s="5">
        <v>43838</v>
      </c>
      <c r="C1792" t="s">
        <v>12</v>
      </c>
      <c r="D1792">
        <v>914</v>
      </c>
      <c r="E1792">
        <v>-388</v>
      </c>
      <c r="F1792" s="5">
        <v>43831</v>
      </c>
      <c r="G1792">
        <v>-914</v>
      </c>
      <c r="H1792" t="s">
        <v>58</v>
      </c>
    </row>
    <row r="1793" spans="1:8" x14ac:dyDescent="0.3">
      <c r="A1793">
        <v>161</v>
      </c>
      <c r="B1793" s="5">
        <v>43839</v>
      </c>
      <c r="C1793" t="s">
        <v>11</v>
      </c>
      <c r="D1793">
        <v>160</v>
      </c>
      <c r="E1793">
        <v>-548</v>
      </c>
      <c r="F1793" s="5">
        <v>43831</v>
      </c>
      <c r="G1793">
        <v>-160</v>
      </c>
      <c r="H1793" t="s">
        <v>58</v>
      </c>
    </row>
    <row r="1794" spans="1:8" x14ac:dyDescent="0.3">
      <c r="A1794">
        <v>161</v>
      </c>
      <c r="B1794" s="5">
        <v>43845</v>
      </c>
      <c r="C1794" t="s">
        <v>12</v>
      </c>
      <c r="D1794">
        <v>67</v>
      </c>
      <c r="E1794">
        <v>-615</v>
      </c>
      <c r="F1794" s="5">
        <v>43831</v>
      </c>
      <c r="G1794">
        <v>-67</v>
      </c>
      <c r="H1794" t="s">
        <v>58</v>
      </c>
    </row>
    <row r="1795" spans="1:8" x14ac:dyDescent="0.3">
      <c r="A1795">
        <v>161</v>
      </c>
      <c r="B1795" s="5">
        <v>43851</v>
      </c>
      <c r="C1795" t="s">
        <v>12</v>
      </c>
      <c r="D1795">
        <v>50</v>
      </c>
      <c r="E1795">
        <v>-665</v>
      </c>
      <c r="F1795" s="5">
        <v>43831</v>
      </c>
      <c r="G1795">
        <v>-50</v>
      </c>
      <c r="H1795" t="s">
        <v>58</v>
      </c>
    </row>
    <row r="1796" spans="1:8" x14ac:dyDescent="0.3">
      <c r="A1796">
        <v>161</v>
      </c>
      <c r="B1796" s="5">
        <v>43855</v>
      </c>
      <c r="C1796" t="s">
        <v>12</v>
      </c>
      <c r="D1796">
        <v>177</v>
      </c>
      <c r="E1796">
        <v>-842</v>
      </c>
      <c r="F1796" s="5">
        <v>43831</v>
      </c>
      <c r="G1796">
        <v>-177</v>
      </c>
      <c r="H1796" t="s">
        <v>58</v>
      </c>
    </row>
    <row r="1797" spans="1:8" x14ac:dyDescent="0.3">
      <c r="A1797">
        <v>161</v>
      </c>
      <c r="B1797" s="5">
        <v>43859</v>
      </c>
      <c r="C1797" t="s">
        <v>11</v>
      </c>
      <c r="D1797">
        <v>279</v>
      </c>
      <c r="E1797">
        <v>-1121</v>
      </c>
      <c r="F1797" s="5">
        <v>43831</v>
      </c>
      <c r="G1797">
        <v>-279</v>
      </c>
      <c r="H1797" t="s">
        <v>58</v>
      </c>
    </row>
    <row r="1798" spans="1:8" x14ac:dyDescent="0.3">
      <c r="A1798">
        <v>161</v>
      </c>
      <c r="B1798" s="5">
        <v>43872</v>
      </c>
      <c r="C1798" t="s">
        <v>10</v>
      </c>
      <c r="D1798">
        <v>440</v>
      </c>
      <c r="E1798">
        <v>-681</v>
      </c>
      <c r="F1798" s="5">
        <v>43862</v>
      </c>
      <c r="G1798">
        <v>440</v>
      </c>
      <c r="H1798" t="s">
        <v>58</v>
      </c>
    </row>
    <row r="1799" spans="1:8" x14ac:dyDescent="0.3">
      <c r="A1799">
        <v>161</v>
      </c>
      <c r="B1799" s="5">
        <v>43873</v>
      </c>
      <c r="C1799" t="s">
        <v>11</v>
      </c>
      <c r="D1799">
        <v>743</v>
      </c>
      <c r="E1799">
        <v>-1424</v>
      </c>
      <c r="F1799" s="5">
        <v>43862</v>
      </c>
      <c r="G1799">
        <v>-743</v>
      </c>
      <c r="H1799" t="s">
        <v>58</v>
      </c>
    </row>
    <row r="1800" spans="1:8" x14ac:dyDescent="0.3">
      <c r="A1800">
        <v>161</v>
      </c>
      <c r="B1800" s="5">
        <v>43881</v>
      </c>
      <c r="C1800" t="s">
        <v>11</v>
      </c>
      <c r="D1800">
        <v>553</v>
      </c>
      <c r="E1800">
        <v>-1977</v>
      </c>
      <c r="F1800" s="5">
        <v>43862</v>
      </c>
      <c r="G1800">
        <v>-553</v>
      </c>
      <c r="H1800" t="s">
        <v>58</v>
      </c>
    </row>
    <row r="1801" spans="1:8" x14ac:dyDescent="0.3">
      <c r="A1801">
        <v>161</v>
      </c>
      <c r="B1801" s="5">
        <v>43884</v>
      </c>
      <c r="C1801" t="s">
        <v>10</v>
      </c>
      <c r="D1801">
        <v>380</v>
      </c>
      <c r="E1801">
        <v>-1597</v>
      </c>
      <c r="F1801" s="5">
        <v>43862</v>
      </c>
      <c r="G1801">
        <v>380</v>
      </c>
      <c r="H1801" t="s">
        <v>58</v>
      </c>
    </row>
    <row r="1802" spans="1:8" x14ac:dyDescent="0.3">
      <c r="A1802">
        <v>161</v>
      </c>
      <c r="B1802" s="5">
        <v>43890</v>
      </c>
      <c r="C1802" t="s">
        <v>10</v>
      </c>
      <c r="D1802">
        <v>636</v>
      </c>
      <c r="E1802">
        <v>-961</v>
      </c>
      <c r="F1802" s="5">
        <v>43862</v>
      </c>
      <c r="G1802">
        <v>636</v>
      </c>
      <c r="H1802" t="s">
        <v>58</v>
      </c>
    </row>
    <row r="1803" spans="1:8" x14ac:dyDescent="0.3">
      <c r="A1803">
        <v>161</v>
      </c>
      <c r="B1803" s="5">
        <v>43892</v>
      </c>
      <c r="C1803" t="s">
        <v>10</v>
      </c>
      <c r="D1803">
        <v>832</v>
      </c>
      <c r="E1803">
        <v>-129</v>
      </c>
      <c r="F1803" s="5">
        <v>43891</v>
      </c>
      <c r="G1803">
        <v>832</v>
      </c>
      <c r="H1803" t="s">
        <v>58</v>
      </c>
    </row>
    <row r="1804" spans="1:8" x14ac:dyDescent="0.3">
      <c r="A1804">
        <v>161</v>
      </c>
      <c r="B1804" s="5">
        <v>43901</v>
      </c>
      <c r="C1804" t="s">
        <v>10</v>
      </c>
      <c r="D1804">
        <v>342</v>
      </c>
      <c r="E1804">
        <v>213</v>
      </c>
      <c r="F1804" s="5">
        <v>43891</v>
      </c>
      <c r="G1804">
        <v>342</v>
      </c>
      <c r="H1804" t="s">
        <v>57</v>
      </c>
    </row>
    <row r="1805" spans="1:8" x14ac:dyDescent="0.3">
      <c r="A1805">
        <v>161</v>
      </c>
      <c r="B1805" s="5">
        <v>43905</v>
      </c>
      <c r="C1805" t="s">
        <v>10</v>
      </c>
      <c r="D1805">
        <v>177</v>
      </c>
      <c r="E1805">
        <v>390</v>
      </c>
      <c r="F1805" s="5">
        <v>43891</v>
      </c>
      <c r="G1805">
        <v>177</v>
      </c>
      <c r="H1805" t="s">
        <v>57</v>
      </c>
    </row>
    <row r="1806" spans="1:8" x14ac:dyDescent="0.3">
      <c r="A1806">
        <v>161</v>
      </c>
      <c r="B1806" s="5">
        <v>43906</v>
      </c>
      <c r="C1806" t="s">
        <v>11</v>
      </c>
      <c r="D1806">
        <v>379</v>
      </c>
      <c r="E1806">
        <v>11</v>
      </c>
      <c r="F1806" s="5">
        <v>43891</v>
      </c>
      <c r="G1806">
        <v>-379</v>
      </c>
      <c r="H1806" t="s">
        <v>57</v>
      </c>
    </row>
    <row r="1807" spans="1:8" x14ac:dyDescent="0.3">
      <c r="A1807">
        <v>161</v>
      </c>
      <c r="B1807" s="5">
        <v>43911</v>
      </c>
      <c r="C1807" t="s">
        <v>11</v>
      </c>
      <c r="D1807">
        <v>735</v>
      </c>
      <c r="E1807">
        <v>-724</v>
      </c>
      <c r="F1807" s="5">
        <v>43891</v>
      </c>
      <c r="G1807">
        <v>-735</v>
      </c>
      <c r="H1807" t="s">
        <v>58</v>
      </c>
    </row>
    <row r="1808" spans="1:8" x14ac:dyDescent="0.3">
      <c r="A1808">
        <v>161</v>
      </c>
      <c r="B1808" s="5">
        <v>43917</v>
      </c>
      <c r="C1808" t="s">
        <v>12</v>
      </c>
      <c r="D1808">
        <v>722</v>
      </c>
      <c r="E1808">
        <v>-1446</v>
      </c>
      <c r="F1808" s="5">
        <v>43891</v>
      </c>
      <c r="G1808">
        <v>-722</v>
      </c>
      <c r="H1808" t="s">
        <v>58</v>
      </c>
    </row>
    <row r="1809" spans="1:8" x14ac:dyDescent="0.3">
      <c r="A1809">
        <v>161</v>
      </c>
      <c r="B1809" s="5">
        <v>43920</v>
      </c>
      <c r="C1809" t="s">
        <v>12</v>
      </c>
      <c r="D1809">
        <v>243</v>
      </c>
      <c r="E1809">
        <v>-1689</v>
      </c>
      <c r="F1809" s="5">
        <v>43891</v>
      </c>
      <c r="G1809">
        <v>-243</v>
      </c>
      <c r="H1809" t="s">
        <v>58</v>
      </c>
    </row>
    <row r="1810" spans="1:8" x14ac:dyDescent="0.3">
      <c r="A1810">
        <v>161</v>
      </c>
      <c r="B1810" s="5">
        <v>43921</v>
      </c>
      <c r="C1810" t="s">
        <v>10</v>
      </c>
      <c r="D1810">
        <v>869</v>
      </c>
      <c r="E1810">
        <v>-820</v>
      </c>
      <c r="F1810" s="5">
        <v>43891</v>
      </c>
      <c r="G1810">
        <v>869</v>
      </c>
      <c r="H1810" t="s">
        <v>58</v>
      </c>
    </row>
    <row r="1811" spans="1:8" x14ac:dyDescent="0.3">
      <c r="A1811">
        <v>161</v>
      </c>
      <c r="B1811" s="5">
        <v>43921</v>
      </c>
      <c r="C1811" t="s">
        <v>10</v>
      </c>
      <c r="D1811">
        <v>529</v>
      </c>
      <c r="E1811">
        <v>-291</v>
      </c>
      <c r="F1811" s="5">
        <v>43891</v>
      </c>
      <c r="G1811">
        <v>529</v>
      </c>
      <c r="H1811" t="s">
        <v>58</v>
      </c>
    </row>
    <row r="1812" spans="1:8" x14ac:dyDescent="0.3">
      <c r="A1812">
        <v>162</v>
      </c>
      <c r="B1812" s="5">
        <v>43840</v>
      </c>
      <c r="C1812" t="s">
        <v>10</v>
      </c>
      <c r="D1812">
        <v>123</v>
      </c>
      <c r="E1812">
        <v>123</v>
      </c>
      <c r="F1812" s="5">
        <v>43831</v>
      </c>
      <c r="G1812">
        <v>123</v>
      </c>
      <c r="H1812" t="s">
        <v>57</v>
      </c>
    </row>
    <row r="1813" spans="1:8" x14ac:dyDescent="0.3">
      <c r="A1813">
        <v>162</v>
      </c>
      <c r="B1813" s="5">
        <v>43862</v>
      </c>
      <c r="C1813" t="s">
        <v>10</v>
      </c>
      <c r="D1813">
        <v>847</v>
      </c>
      <c r="E1813">
        <v>970</v>
      </c>
      <c r="F1813" s="5">
        <v>43862</v>
      </c>
      <c r="G1813">
        <v>847</v>
      </c>
      <c r="H1813" t="s">
        <v>57</v>
      </c>
    </row>
    <row r="1814" spans="1:8" x14ac:dyDescent="0.3">
      <c r="A1814">
        <v>162</v>
      </c>
      <c r="B1814" s="5">
        <v>43869</v>
      </c>
      <c r="C1814" t="s">
        <v>11</v>
      </c>
      <c r="D1814">
        <v>186</v>
      </c>
      <c r="E1814">
        <v>784</v>
      </c>
      <c r="F1814" s="5">
        <v>43862</v>
      </c>
      <c r="G1814">
        <v>-186</v>
      </c>
      <c r="H1814" t="s">
        <v>57</v>
      </c>
    </row>
    <row r="1815" spans="1:8" x14ac:dyDescent="0.3">
      <c r="A1815">
        <v>163</v>
      </c>
      <c r="B1815" s="5">
        <v>43844</v>
      </c>
      <c r="C1815" t="s">
        <v>10</v>
      </c>
      <c r="D1815">
        <v>523</v>
      </c>
      <c r="E1815">
        <v>523</v>
      </c>
      <c r="F1815" s="5">
        <v>43831</v>
      </c>
      <c r="G1815">
        <v>523</v>
      </c>
      <c r="H1815" t="s">
        <v>57</v>
      </c>
    </row>
    <row r="1816" spans="1:8" x14ac:dyDescent="0.3">
      <c r="A1816">
        <v>163</v>
      </c>
      <c r="B1816" s="5">
        <v>43848</v>
      </c>
      <c r="C1816" t="s">
        <v>11</v>
      </c>
      <c r="D1816">
        <v>596</v>
      </c>
      <c r="E1816">
        <v>-73</v>
      </c>
      <c r="F1816" s="5">
        <v>43831</v>
      </c>
      <c r="G1816">
        <v>-596</v>
      </c>
      <c r="H1816" t="s">
        <v>58</v>
      </c>
    </row>
    <row r="1817" spans="1:8" x14ac:dyDescent="0.3">
      <c r="A1817">
        <v>163</v>
      </c>
      <c r="B1817" s="5">
        <v>43870</v>
      </c>
      <c r="C1817" t="s">
        <v>11</v>
      </c>
      <c r="D1817">
        <v>118</v>
      </c>
      <c r="E1817">
        <v>-191</v>
      </c>
      <c r="F1817" s="5">
        <v>43862</v>
      </c>
      <c r="G1817">
        <v>-118</v>
      </c>
      <c r="H1817" t="s">
        <v>58</v>
      </c>
    </row>
    <row r="1818" spans="1:8" x14ac:dyDescent="0.3">
      <c r="A1818">
        <v>163</v>
      </c>
      <c r="B1818" s="5">
        <v>43873</v>
      </c>
      <c r="C1818" t="s">
        <v>11</v>
      </c>
      <c r="D1818">
        <v>137</v>
      </c>
      <c r="E1818">
        <v>-328</v>
      </c>
      <c r="F1818" s="5">
        <v>43862</v>
      </c>
      <c r="G1818">
        <v>-137</v>
      </c>
      <c r="H1818" t="s">
        <v>58</v>
      </c>
    </row>
    <row r="1819" spans="1:8" x14ac:dyDescent="0.3">
      <c r="A1819">
        <v>163</v>
      </c>
      <c r="B1819" s="5">
        <v>43892</v>
      </c>
      <c r="C1819" t="s">
        <v>12</v>
      </c>
      <c r="D1819">
        <v>197</v>
      </c>
      <c r="E1819">
        <v>-525</v>
      </c>
      <c r="F1819" s="5">
        <v>43891</v>
      </c>
      <c r="G1819">
        <v>-197</v>
      </c>
      <c r="H1819" t="s">
        <v>58</v>
      </c>
    </row>
    <row r="1820" spans="1:8" x14ac:dyDescent="0.3">
      <c r="A1820">
        <v>163</v>
      </c>
      <c r="B1820" s="5">
        <v>43899</v>
      </c>
      <c r="C1820" t="s">
        <v>12</v>
      </c>
      <c r="D1820">
        <v>747</v>
      </c>
      <c r="E1820">
        <v>-1272</v>
      </c>
      <c r="F1820" s="5">
        <v>43891</v>
      </c>
      <c r="G1820">
        <v>-747</v>
      </c>
      <c r="H1820" t="s">
        <v>58</v>
      </c>
    </row>
    <row r="1821" spans="1:8" x14ac:dyDescent="0.3">
      <c r="A1821">
        <v>163</v>
      </c>
      <c r="B1821" s="5">
        <v>43904</v>
      </c>
      <c r="C1821" t="s">
        <v>11</v>
      </c>
      <c r="D1821">
        <v>867</v>
      </c>
      <c r="E1821">
        <v>-2139</v>
      </c>
      <c r="F1821" s="5">
        <v>43891</v>
      </c>
      <c r="G1821">
        <v>-867</v>
      </c>
      <c r="H1821" t="s">
        <v>58</v>
      </c>
    </row>
    <row r="1822" spans="1:8" x14ac:dyDescent="0.3">
      <c r="A1822">
        <v>163</v>
      </c>
      <c r="B1822" s="5">
        <v>43916</v>
      </c>
      <c r="C1822" t="s">
        <v>12</v>
      </c>
      <c r="D1822">
        <v>792</v>
      </c>
      <c r="E1822">
        <v>-2931</v>
      </c>
      <c r="F1822" s="5">
        <v>43891</v>
      </c>
      <c r="G1822">
        <v>-792</v>
      </c>
      <c r="H1822" t="s">
        <v>58</v>
      </c>
    </row>
    <row r="1823" spans="1:8" x14ac:dyDescent="0.3">
      <c r="A1823">
        <v>163</v>
      </c>
      <c r="B1823" s="5">
        <v>43917</v>
      </c>
      <c r="C1823" t="s">
        <v>12</v>
      </c>
      <c r="D1823">
        <v>185</v>
      </c>
      <c r="E1823">
        <v>-3116</v>
      </c>
      <c r="F1823" s="5">
        <v>43891</v>
      </c>
      <c r="G1823">
        <v>-185</v>
      </c>
      <c r="H1823" t="s">
        <v>58</v>
      </c>
    </row>
    <row r="1824" spans="1:8" x14ac:dyDescent="0.3">
      <c r="A1824">
        <v>163</v>
      </c>
      <c r="B1824" s="5">
        <v>43923</v>
      </c>
      <c r="C1824" t="s">
        <v>11</v>
      </c>
      <c r="D1824">
        <v>579</v>
      </c>
      <c r="E1824">
        <v>-3695</v>
      </c>
      <c r="F1824" s="5">
        <v>43922</v>
      </c>
      <c r="G1824">
        <v>-579</v>
      </c>
      <c r="H1824" t="s">
        <v>58</v>
      </c>
    </row>
    <row r="1825" spans="1:8" x14ac:dyDescent="0.3">
      <c r="A1825">
        <v>163</v>
      </c>
      <c r="B1825" s="5">
        <v>43924</v>
      </c>
      <c r="C1825" t="s">
        <v>11</v>
      </c>
      <c r="D1825">
        <v>969</v>
      </c>
      <c r="E1825">
        <v>-4664</v>
      </c>
      <c r="F1825" s="5">
        <v>43922</v>
      </c>
      <c r="G1825">
        <v>-969</v>
      </c>
      <c r="H1825" t="s">
        <v>58</v>
      </c>
    </row>
    <row r="1826" spans="1:8" x14ac:dyDescent="0.3">
      <c r="A1826">
        <v>163</v>
      </c>
      <c r="B1826" s="5">
        <v>43925</v>
      </c>
      <c r="C1826" t="s">
        <v>10</v>
      </c>
      <c r="D1826">
        <v>622</v>
      </c>
      <c r="E1826">
        <v>-4042</v>
      </c>
      <c r="F1826" s="5">
        <v>43922</v>
      </c>
      <c r="G1826">
        <v>622</v>
      </c>
      <c r="H1826" t="s">
        <v>58</v>
      </c>
    </row>
    <row r="1827" spans="1:8" x14ac:dyDescent="0.3">
      <c r="A1827">
        <v>163</v>
      </c>
      <c r="B1827" s="5">
        <v>43927</v>
      </c>
      <c r="C1827" t="s">
        <v>10</v>
      </c>
      <c r="D1827">
        <v>581</v>
      </c>
      <c r="E1827">
        <v>-3461</v>
      </c>
      <c r="F1827" s="5">
        <v>43922</v>
      </c>
      <c r="G1827">
        <v>581</v>
      </c>
      <c r="H1827" t="s">
        <v>58</v>
      </c>
    </row>
    <row r="1828" spans="1:8" x14ac:dyDescent="0.3">
      <c r="A1828">
        <v>163</v>
      </c>
      <c r="B1828" s="5">
        <v>43928</v>
      </c>
      <c r="C1828" t="s">
        <v>10</v>
      </c>
      <c r="D1828">
        <v>406</v>
      </c>
      <c r="E1828">
        <v>-3055</v>
      </c>
      <c r="F1828" s="5">
        <v>43922</v>
      </c>
      <c r="G1828">
        <v>406</v>
      </c>
      <c r="H1828" t="s">
        <v>58</v>
      </c>
    </row>
    <row r="1829" spans="1:8" x14ac:dyDescent="0.3">
      <c r="A1829">
        <v>164</v>
      </c>
      <c r="B1829" s="5">
        <v>43840</v>
      </c>
      <c r="C1829" t="s">
        <v>10</v>
      </c>
      <c r="D1829">
        <v>548</v>
      </c>
      <c r="E1829">
        <v>548</v>
      </c>
      <c r="F1829" s="5">
        <v>43831</v>
      </c>
      <c r="G1829">
        <v>548</v>
      </c>
      <c r="H1829" t="s">
        <v>57</v>
      </c>
    </row>
    <row r="1830" spans="1:8" x14ac:dyDescent="0.3">
      <c r="A1830">
        <v>164</v>
      </c>
      <c r="B1830" s="5">
        <v>43877</v>
      </c>
      <c r="C1830" t="s">
        <v>10</v>
      </c>
      <c r="D1830">
        <v>409</v>
      </c>
      <c r="E1830">
        <v>957</v>
      </c>
      <c r="F1830" s="5">
        <v>43862</v>
      </c>
      <c r="G1830">
        <v>409</v>
      </c>
      <c r="H1830" t="s">
        <v>57</v>
      </c>
    </row>
    <row r="1831" spans="1:8" x14ac:dyDescent="0.3">
      <c r="A1831">
        <v>165</v>
      </c>
      <c r="B1831" s="5">
        <v>43853</v>
      </c>
      <c r="C1831" t="s">
        <v>10</v>
      </c>
      <c r="D1831">
        <v>42</v>
      </c>
      <c r="E1831">
        <v>42</v>
      </c>
      <c r="F1831" s="5">
        <v>43831</v>
      </c>
      <c r="G1831">
        <v>42</v>
      </c>
      <c r="H1831" t="s">
        <v>57</v>
      </c>
    </row>
    <row r="1832" spans="1:8" x14ac:dyDescent="0.3">
      <c r="A1832">
        <v>165</v>
      </c>
      <c r="B1832" s="5">
        <v>43854</v>
      </c>
      <c r="C1832" t="s">
        <v>11</v>
      </c>
      <c r="D1832">
        <v>393</v>
      </c>
      <c r="E1832">
        <v>-351</v>
      </c>
      <c r="F1832" s="5">
        <v>43831</v>
      </c>
      <c r="G1832">
        <v>-393</v>
      </c>
      <c r="H1832" t="s">
        <v>58</v>
      </c>
    </row>
    <row r="1833" spans="1:8" x14ac:dyDescent="0.3">
      <c r="A1833">
        <v>165</v>
      </c>
      <c r="B1833" s="5">
        <v>43855</v>
      </c>
      <c r="C1833" t="s">
        <v>10</v>
      </c>
      <c r="D1833">
        <v>391</v>
      </c>
      <c r="E1833">
        <v>40</v>
      </c>
      <c r="F1833" s="5">
        <v>43831</v>
      </c>
      <c r="G1833">
        <v>391</v>
      </c>
      <c r="H1833" t="s">
        <v>57</v>
      </c>
    </row>
    <row r="1834" spans="1:8" x14ac:dyDescent="0.3">
      <c r="A1834">
        <v>165</v>
      </c>
      <c r="B1834" s="5">
        <v>43856</v>
      </c>
      <c r="C1834" t="s">
        <v>10</v>
      </c>
      <c r="D1834">
        <v>439</v>
      </c>
      <c r="E1834">
        <v>479</v>
      </c>
      <c r="F1834" s="5">
        <v>43831</v>
      </c>
      <c r="G1834">
        <v>439</v>
      </c>
      <c r="H1834" t="s">
        <v>57</v>
      </c>
    </row>
    <row r="1835" spans="1:8" x14ac:dyDescent="0.3">
      <c r="A1835">
        <v>165</v>
      </c>
      <c r="B1835" s="5">
        <v>43858</v>
      </c>
      <c r="C1835" t="s">
        <v>11</v>
      </c>
      <c r="D1835">
        <v>540</v>
      </c>
      <c r="E1835">
        <v>-61</v>
      </c>
      <c r="F1835" s="5">
        <v>43831</v>
      </c>
      <c r="G1835">
        <v>-540</v>
      </c>
      <c r="H1835" t="s">
        <v>58</v>
      </c>
    </row>
    <row r="1836" spans="1:8" x14ac:dyDescent="0.3">
      <c r="A1836">
        <v>165</v>
      </c>
      <c r="B1836" s="5">
        <v>43863</v>
      </c>
      <c r="C1836" t="s">
        <v>10</v>
      </c>
      <c r="D1836">
        <v>185</v>
      </c>
      <c r="E1836">
        <v>124</v>
      </c>
      <c r="F1836" s="5">
        <v>43862</v>
      </c>
      <c r="G1836">
        <v>185</v>
      </c>
      <c r="H1836" t="s">
        <v>57</v>
      </c>
    </row>
    <row r="1837" spans="1:8" x14ac:dyDescent="0.3">
      <c r="A1837">
        <v>165</v>
      </c>
      <c r="B1837" s="5">
        <v>43869</v>
      </c>
      <c r="C1837" t="s">
        <v>10</v>
      </c>
      <c r="D1837">
        <v>250</v>
      </c>
      <c r="E1837">
        <v>374</v>
      </c>
      <c r="F1837" s="5">
        <v>43862</v>
      </c>
      <c r="G1837">
        <v>250</v>
      </c>
      <c r="H1837" t="s">
        <v>57</v>
      </c>
    </row>
    <row r="1838" spans="1:8" x14ac:dyDescent="0.3">
      <c r="A1838">
        <v>165</v>
      </c>
      <c r="B1838" s="5">
        <v>43875</v>
      </c>
      <c r="C1838" t="s">
        <v>11</v>
      </c>
      <c r="D1838">
        <v>593</v>
      </c>
      <c r="E1838">
        <v>-219</v>
      </c>
      <c r="F1838" s="5">
        <v>43862</v>
      </c>
      <c r="G1838">
        <v>-593</v>
      </c>
      <c r="H1838" t="s">
        <v>58</v>
      </c>
    </row>
    <row r="1839" spans="1:8" x14ac:dyDescent="0.3">
      <c r="A1839">
        <v>165</v>
      </c>
      <c r="B1839" s="5">
        <v>43886</v>
      </c>
      <c r="C1839" t="s">
        <v>12</v>
      </c>
      <c r="D1839">
        <v>869</v>
      </c>
      <c r="E1839">
        <v>-1088</v>
      </c>
      <c r="F1839" s="5">
        <v>43862</v>
      </c>
      <c r="G1839">
        <v>-869</v>
      </c>
      <c r="H1839" t="s">
        <v>58</v>
      </c>
    </row>
    <row r="1840" spans="1:8" x14ac:dyDescent="0.3">
      <c r="A1840">
        <v>165</v>
      </c>
      <c r="B1840" s="5">
        <v>43893</v>
      </c>
      <c r="C1840" t="s">
        <v>12</v>
      </c>
      <c r="D1840">
        <v>901</v>
      </c>
      <c r="E1840">
        <v>-1989</v>
      </c>
      <c r="F1840" s="5">
        <v>43891</v>
      </c>
      <c r="G1840">
        <v>-901</v>
      </c>
      <c r="H1840" t="s">
        <v>58</v>
      </c>
    </row>
    <row r="1841" spans="1:8" x14ac:dyDescent="0.3">
      <c r="A1841">
        <v>165</v>
      </c>
      <c r="B1841" s="5">
        <v>43895</v>
      </c>
      <c r="C1841" t="s">
        <v>12</v>
      </c>
      <c r="D1841">
        <v>199</v>
      </c>
      <c r="E1841">
        <v>-2188</v>
      </c>
      <c r="F1841" s="5">
        <v>43891</v>
      </c>
      <c r="G1841">
        <v>-199</v>
      </c>
      <c r="H1841" t="s">
        <v>58</v>
      </c>
    </row>
    <row r="1842" spans="1:8" x14ac:dyDescent="0.3">
      <c r="A1842">
        <v>165</v>
      </c>
      <c r="B1842" s="5">
        <v>43907</v>
      </c>
      <c r="C1842" t="s">
        <v>11</v>
      </c>
      <c r="D1842">
        <v>230</v>
      </c>
      <c r="E1842">
        <v>-2418</v>
      </c>
      <c r="F1842" s="5">
        <v>43891</v>
      </c>
      <c r="G1842">
        <v>-230</v>
      </c>
      <c r="H1842" t="s">
        <v>58</v>
      </c>
    </row>
    <row r="1843" spans="1:8" x14ac:dyDescent="0.3">
      <c r="A1843">
        <v>165</v>
      </c>
      <c r="B1843" s="5">
        <v>43907</v>
      </c>
      <c r="C1843" t="s">
        <v>11</v>
      </c>
      <c r="D1843">
        <v>714</v>
      </c>
      <c r="E1843">
        <v>-3132</v>
      </c>
      <c r="F1843" s="5">
        <v>43891</v>
      </c>
      <c r="G1843">
        <v>-714</v>
      </c>
      <c r="H1843" t="s">
        <v>58</v>
      </c>
    </row>
    <row r="1844" spans="1:8" x14ac:dyDescent="0.3">
      <c r="A1844">
        <v>165</v>
      </c>
      <c r="B1844" s="5">
        <v>43911</v>
      </c>
      <c r="C1844" t="s">
        <v>11</v>
      </c>
      <c r="D1844">
        <v>784</v>
      </c>
      <c r="E1844">
        <v>-3916</v>
      </c>
      <c r="F1844" s="5">
        <v>43891</v>
      </c>
      <c r="G1844">
        <v>-784</v>
      </c>
      <c r="H1844" t="s">
        <v>58</v>
      </c>
    </row>
    <row r="1845" spans="1:8" x14ac:dyDescent="0.3">
      <c r="A1845">
        <v>165</v>
      </c>
      <c r="B1845" s="5">
        <v>43912</v>
      </c>
      <c r="C1845" t="s">
        <v>10</v>
      </c>
      <c r="D1845">
        <v>215</v>
      </c>
      <c r="E1845">
        <v>-3701</v>
      </c>
      <c r="F1845" s="5">
        <v>43891</v>
      </c>
      <c r="G1845">
        <v>215</v>
      </c>
      <c r="H1845" t="s">
        <v>58</v>
      </c>
    </row>
    <row r="1846" spans="1:8" x14ac:dyDescent="0.3">
      <c r="A1846">
        <v>165</v>
      </c>
      <c r="B1846" s="5">
        <v>43923</v>
      </c>
      <c r="C1846" t="s">
        <v>10</v>
      </c>
      <c r="D1846">
        <v>763</v>
      </c>
      <c r="E1846">
        <v>-2938</v>
      </c>
      <c r="F1846" s="5">
        <v>43922</v>
      </c>
      <c r="G1846">
        <v>763</v>
      </c>
      <c r="H1846" t="s">
        <v>58</v>
      </c>
    </row>
    <row r="1847" spans="1:8" x14ac:dyDescent="0.3">
      <c r="A1847">
        <v>165</v>
      </c>
      <c r="B1847" s="5">
        <v>43923</v>
      </c>
      <c r="C1847" t="s">
        <v>10</v>
      </c>
      <c r="D1847">
        <v>353</v>
      </c>
      <c r="E1847">
        <v>-2585</v>
      </c>
      <c r="F1847" s="5">
        <v>43922</v>
      </c>
      <c r="G1847">
        <v>353</v>
      </c>
      <c r="H1847" t="s">
        <v>58</v>
      </c>
    </row>
    <row r="1848" spans="1:8" x14ac:dyDescent="0.3">
      <c r="A1848">
        <v>165</v>
      </c>
      <c r="B1848" s="5">
        <v>43927</v>
      </c>
      <c r="C1848" t="s">
        <v>12</v>
      </c>
      <c r="D1848">
        <v>985</v>
      </c>
      <c r="E1848">
        <v>-3570</v>
      </c>
      <c r="F1848" s="5">
        <v>43922</v>
      </c>
      <c r="G1848">
        <v>-985</v>
      </c>
      <c r="H1848" t="s">
        <v>58</v>
      </c>
    </row>
    <row r="1849" spans="1:8" x14ac:dyDescent="0.3">
      <c r="A1849">
        <v>165</v>
      </c>
      <c r="B1849" s="5">
        <v>43931</v>
      </c>
      <c r="C1849" t="s">
        <v>12</v>
      </c>
      <c r="D1849">
        <v>297</v>
      </c>
      <c r="E1849">
        <v>-3867</v>
      </c>
      <c r="F1849" s="5">
        <v>43922</v>
      </c>
      <c r="G1849">
        <v>-297</v>
      </c>
      <c r="H1849" t="s">
        <v>58</v>
      </c>
    </row>
    <row r="1850" spans="1:8" x14ac:dyDescent="0.3">
      <c r="A1850">
        <v>165</v>
      </c>
      <c r="B1850" s="5">
        <v>43933</v>
      </c>
      <c r="C1850" t="s">
        <v>12</v>
      </c>
      <c r="D1850">
        <v>164</v>
      </c>
      <c r="E1850">
        <v>-4031</v>
      </c>
      <c r="F1850" s="5">
        <v>43922</v>
      </c>
      <c r="G1850">
        <v>-164</v>
      </c>
      <c r="H1850" t="s">
        <v>58</v>
      </c>
    </row>
    <row r="1851" spans="1:8" x14ac:dyDescent="0.3">
      <c r="A1851">
        <v>165</v>
      </c>
      <c r="B1851" s="5">
        <v>43938</v>
      </c>
      <c r="C1851" t="s">
        <v>10</v>
      </c>
      <c r="D1851">
        <v>197</v>
      </c>
      <c r="E1851">
        <v>-3834</v>
      </c>
      <c r="F1851" s="5">
        <v>43922</v>
      </c>
      <c r="G1851">
        <v>197</v>
      </c>
      <c r="H1851" t="s">
        <v>58</v>
      </c>
    </row>
    <row r="1852" spans="1:8" x14ac:dyDescent="0.3">
      <c r="A1852">
        <v>165</v>
      </c>
      <c r="B1852" s="5">
        <v>43942</v>
      </c>
      <c r="C1852" t="s">
        <v>12</v>
      </c>
      <c r="D1852">
        <v>97</v>
      </c>
      <c r="E1852">
        <v>-3931</v>
      </c>
      <c r="F1852" s="5">
        <v>43922</v>
      </c>
      <c r="G1852">
        <v>-97</v>
      </c>
      <c r="H1852" t="s">
        <v>58</v>
      </c>
    </row>
    <row r="1853" spans="1:8" x14ac:dyDescent="0.3">
      <c r="A1853">
        <v>166</v>
      </c>
      <c r="B1853" s="5">
        <v>43852</v>
      </c>
      <c r="C1853" t="s">
        <v>10</v>
      </c>
      <c r="D1853">
        <v>957</v>
      </c>
      <c r="E1853">
        <v>957</v>
      </c>
      <c r="F1853" s="5">
        <v>43831</v>
      </c>
      <c r="G1853">
        <v>957</v>
      </c>
      <c r="H1853" t="s">
        <v>57</v>
      </c>
    </row>
    <row r="1854" spans="1:8" x14ac:dyDescent="0.3">
      <c r="A1854">
        <v>166</v>
      </c>
      <c r="B1854" s="5">
        <v>43874</v>
      </c>
      <c r="C1854" t="s">
        <v>10</v>
      </c>
      <c r="D1854">
        <v>589</v>
      </c>
      <c r="E1854">
        <v>1546</v>
      </c>
      <c r="F1854" s="5">
        <v>43862</v>
      </c>
      <c r="G1854">
        <v>589</v>
      </c>
      <c r="H1854" t="s">
        <v>57</v>
      </c>
    </row>
    <row r="1855" spans="1:8" x14ac:dyDescent="0.3">
      <c r="A1855">
        <v>166</v>
      </c>
      <c r="B1855" s="5">
        <v>43901</v>
      </c>
      <c r="C1855" t="s">
        <v>10</v>
      </c>
      <c r="D1855">
        <v>285</v>
      </c>
      <c r="E1855">
        <v>1831</v>
      </c>
      <c r="F1855" s="5">
        <v>43891</v>
      </c>
      <c r="G1855">
        <v>285</v>
      </c>
      <c r="H1855" t="s">
        <v>57</v>
      </c>
    </row>
    <row r="1856" spans="1:8" x14ac:dyDescent="0.3">
      <c r="A1856">
        <v>166</v>
      </c>
      <c r="B1856" s="5">
        <v>43915</v>
      </c>
      <c r="C1856" t="s">
        <v>12</v>
      </c>
      <c r="D1856">
        <v>528</v>
      </c>
      <c r="E1856">
        <v>1303</v>
      </c>
      <c r="F1856" s="5">
        <v>43891</v>
      </c>
      <c r="G1856">
        <v>-528</v>
      </c>
      <c r="H1856" t="s">
        <v>57</v>
      </c>
    </row>
    <row r="1857" spans="1:8" x14ac:dyDescent="0.3">
      <c r="A1857">
        <v>166</v>
      </c>
      <c r="B1857" s="5">
        <v>43927</v>
      </c>
      <c r="C1857" t="s">
        <v>10</v>
      </c>
      <c r="D1857">
        <v>185</v>
      </c>
      <c r="E1857">
        <v>1488</v>
      </c>
      <c r="F1857" s="5">
        <v>43922</v>
      </c>
      <c r="G1857">
        <v>185</v>
      </c>
      <c r="H1857" t="s">
        <v>57</v>
      </c>
    </row>
    <row r="1858" spans="1:8" x14ac:dyDescent="0.3">
      <c r="A1858">
        <v>166</v>
      </c>
      <c r="B1858" s="5">
        <v>43934</v>
      </c>
      <c r="C1858" t="s">
        <v>10</v>
      </c>
      <c r="D1858">
        <v>295</v>
      </c>
      <c r="E1858">
        <v>1783</v>
      </c>
      <c r="F1858" s="5">
        <v>43922</v>
      </c>
      <c r="G1858">
        <v>295</v>
      </c>
      <c r="H1858" t="s">
        <v>57</v>
      </c>
    </row>
    <row r="1859" spans="1:8" x14ac:dyDescent="0.3">
      <c r="A1859">
        <v>167</v>
      </c>
      <c r="B1859" s="5">
        <v>43860</v>
      </c>
      <c r="C1859" t="s">
        <v>10</v>
      </c>
      <c r="D1859">
        <v>51</v>
      </c>
      <c r="E1859">
        <v>51</v>
      </c>
      <c r="F1859" s="5">
        <v>43831</v>
      </c>
      <c r="G1859">
        <v>51</v>
      </c>
      <c r="H1859" t="s">
        <v>57</v>
      </c>
    </row>
    <row r="1860" spans="1:8" x14ac:dyDescent="0.3">
      <c r="A1860">
        <v>167</v>
      </c>
      <c r="B1860" s="5">
        <v>43864</v>
      </c>
      <c r="C1860" t="s">
        <v>10</v>
      </c>
      <c r="D1860">
        <v>545</v>
      </c>
      <c r="E1860">
        <v>596</v>
      </c>
      <c r="F1860" s="5">
        <v>43862</v>
      </c>
      <c r="G1860">
        <v>545</v>
      </c>
      <c r="H1860" t="s">
        <v>57</v>
      </c>
    </row>
    <row r="1861" spans="1:8" x14ac:dyDescent="0.3">
      <c r="A1861">
        <v>167</v>
      </c>
      <c r="B1861" s="5">
        <v>43865</v>
      </c>
      <c r="C1861" t="s">
        <v>11</v>
      </c>
      <c r="D1861">
        <v>12</v>
      </c>
      <c r="E1861">
        <v>584</v>
      </c>
      <c r="F1861" s="5">
        <v>43862</v>
      </c>
      <c r="G1861">
        <v>-12</v>
      </c>
      <c r="H1861" t="s">
        <v>57</v>
      </c>
    </row>
    <row r="1862" spans="1:8" x14ac:dyDescent="0.3">
      <c r="A1862">
        <v>167</v>
      </c>
      <c r="B1862" s="5">
        <v>43867</v>
      </c>
      <c r="C1862" t="s">
        <v>10</v>
      </c>
      <c r="D1862">
        <v>101</v>
      </c>
      <c r="E1862">
        <v>685</v>
      </c>
      <c r="F1862" s="5">
        <v>43862</v>
      </c>
      <c r="G1862">
        <v>101</v>
      </c>
      <c r="H1862" t="s">
        <v>57</v>
      </c>
    </row>
    <row r="1863" spans="1:8" x14ac:dyDescent="0.3">
      <c r="A1863">
        <v>167</v>
      </c>
      <c r="B1863" s="5">
        <v>43870</v>
      </c>
      <c r="C1863" t="s">
        <v>10</v>
      </c>
      <c r="D1863">
        <v>669</v>
      </c>
      <c r="E1863">
        <v>1354</v>
      </c>
      <c r="F1863" s="5">
        <v>43862</v>
      </c>
      <c r="G1863">
        <v>669</v>
      </c>
      <c r="H1863" t="s">
        <v>57</v>
      </c>
    </row>
    <row r="1864" spans="1:8" x14ac:dyDescent="0.3">
      <c r="A1864">
        <v>167</v>
      </c>
      <c r="B1864" s="5">
        <v>43882</v>
      </c>
      <c r="C1864" t="s">
        <v>12</v>
      </c>
      <c r="D1864">
        <v>88</v>
      </c>
      <c r="E1864">
        <v>1266</v>
      </c>
      <c r="F1864" s="5">
        <v>43862</v>
      </c>
      <c r="G1864">
        <v>-88</v>
      </c>
      <c r="H1864" t="s">
        <v>57</v>
      </c>
    </row>
    <row r="1865" spans="1:8" x14ac:dyDescent="0.3">
      <c r="A1865">
        <v>167</v>
      </c>
      <c r="B1865" s="5">
        <v>43890</v>
      </c>
      <c r="C1865" t="s">
        <v>11</v>
      </c>
      <c r="D1865">
        <v>692</v>
      </c>
      <c r="E1865">
        <v>574</v>
      </c>
      <c r="F1865" s="5">
        <v>43862</v>
      </c>
      <c r="G1865">
        <v>-692</v>
      </c>
      <c r="H1865" t="s">
        <v>57</v>
      </c>
    </row>
    <row r="1866" spans="1:8" x14ac:dyDescent="0.3">
      <c r="A1866">
        <v>167</v>
      </c>
      <c r="B1866" s="5">
        <v>43892</v>
      </c>
      <c r="C1866" t="s">
        <v>12</v>
      </c>
      <c r="D1866">
        <v>6</v>
      </c>
      <c r="E1866">
        <v>568</v>
      </c>
      <c r="F1866" s="5">
        <v>43891</v>
      </c>
      <c r="G1866">
        <v>-6</v>
      </c>
      <c r="H1866" t="s">
        <v>57</v>
      </c>
    </row>
    <row r="1867" spans="1:8" x14ac:dyDescent="0.3">
      <c r="A1867">
        <v>167</v>
      </c>
      <c r="B1867" s="5">
        <v>43893</v>
      </c>
      <c r="C1867" t="s">
        <v>10</v>
      </c>
      <c r="D1867">
        <v>14</v>
      </c>
      <c r="E1867">
        <v>582</v>
      </c>
      <c r="F1867" s="5">
        <v>43891</v>
      </c>
      <c r="G1867">
        <v>14</v>
      </c>
      <c r="H1867" t="s">
        <v>57</v>
      </c>
    </row>
    <row r="1868" spans="1:8" x14ac:dyDescent="0.3">
      <c r="A1868">
        <v>167</v>
      </c>
      <c r="B1868" s="5">
        <v>43897</v>
      </c>
      <c r="C1868" t="s">
        <v>11</v>
      </c>
      <c r="D1868">
        <v>244</v>
      </c>
      <c r="E1868">
        <v>338</v>
      </c>
      <c r="F1868" s="5">
        <v>43891</v>
      </c>
      <c r="G1868">
        <v>-244</v>
      </c>
      <c r="H1868" t="s">
        <v>57</v>
      </c>
    </row>
    <row r="1869" spans="1:8" x14ac:dyDescent="0.3">
      <c r="A1869">
        <v>167</v>
      </c>
      <c r="B1869" s="5">
        <v>43901</v>
      </c>
      <c r="C1869" t="s">
        <v>12</v>
      </c>
      <c r="D1869">
        <v>804</v>
      </c>
      <c r="E1869">
        <v>-466</v>
      </c>
      <c r="F1869" s="5">
        <v>43891</v>
      </c>
      <c r="G1869">
        <v>-804</v>
      </c>
      <c r="H1869" t="s">
        <v>58</v>
      </c>
    </row>
    <row r="1870" spans="1:8" x14ac:dyDescent="0.3">
      <c r="A1870">
        <v>167</v>
      </c>
      <c r="B1870" s="5">
        <v>43903</v>
      </c>
      <c r="C1870" t="s">
        <v>11</v>
      </c>
      <c r="D1870">
        <v>49</v>
      </c>
      <c r="E1870">
        <v>-515</v>
      </c>
      <c r="F1870" s="5">
        <v>43891</v>
      </c>
      <c r="G1870">
        <v>-49</v>
      </c>
      <c r="H1870" t="s">
        <v>58</v>
      </c>
    </row>
    <row r="1871" spans="1:8" x14ac:dyDescent="0.3">
      <c r="A1871">
        <v>167</v>
      </c>
      <c r="B1871" s="5">
        <v>43906</v>
      </c>
      <c r="C1871" t="s">
        <v>11</v>
      </c>
      <c r="D1871">
        <v>51</v>
      </c>
      <c r="E1871">
        <v>-566</v>
      </c>
      <c r="F1871" s="5">
        <v>43891</v>
      </c>
      <c r="G1871">
        <v>-51</v>
      </c>
      <c r="H1871" t="s">
        <v>58</v>
      </c>
    </row>
    <row r="1872" spans="1:8" x14ac:dyDescent="0.3">
      <c r="A1872">
        <v>167</v>
      </c>
      <c r="B1872" s="5">
        <v>43923</v>
      </c>
      <c r="C1872" t="s">
        <v>12</v>
      </c>
      <c r="D1872">
        <v>711</v>
      </c>
      <c r="E1872">
        <v>-1277</v>
      </c>
      <c r="F1872" s="5">
        <v>43922</v>
      </c>
      <c r="G1872">
        <v>-711</v>
      </c>
      <c r="H1872" t="s">
        <v>58</v>
      </c>
    </row>
    <row r="1873" spans="1:8" x14ac:dyDescent="0.3">
      <c r="A1873">
        <v>167</v>
      </c>
      <c r="B1873" s="5">
        <v>43928</v>
      </c>
      <c r="C1873" t="s">
        <v>10</v>
      </c>
      <c r="D1873">
        <v>766</v>
      </c>
      <c r="E1873">
        <v>-511</v>
      </c>
      <c r="F1873" s="5">
        <v>43922</v>
      </c>
      <c r="G1873">
        <v>766</v>
      </c>
      <c r="H1873" t="s">
        <v>58</v>
      </c>
    </row>
    <row r="1874" spans="1:8" x14ac:dyDescent="0.3">
      <c r="A1874">
        <v>167</v>
      </c>
      <c r="B1874" s="5">
        <v>43939</v>
      </c>
      <c r="C1874" t="s">
        <v>10</v>
      </c>
      <c r="D1874">
        <v>942</v>
      </c>
      <c r="E1874">
        <v>431</v>
      </c>
      <c r="F1874" s="5">
        <v>43922</v>
      </c>
      <c r="G1874">
        <v>942</v>
      </c>
      <c r="H1874" t="s">
        <v>57</v>
      </c>
    </row>
    <row r="1875" spans="1:8" x14ac:dyDescent="0.3">
      <c r="A1875">
        <v>167</v>
      </c>
      <c r="B1875" s="5">
        <v>43942</v>
      </c>
      <c r="C1875" t="s">
        <v>11</v>
      </c>
      <c r="D1875">
        <v>163</v>
      </c>
      <c r="E1875">
        <v>268</v>
      </c>
      <c r="F1875" s="5">
        <v>43922</v>
      </c>
      <c r="G1875">
        <v>-163</v>
      </c>
      <c r="H1875" t="s">
        <v>57</v>
      </c>
    </row>
    <row r="1876" spans="1:8" x14ac:dyDescent="0.3">
      <c r="A1876">
        <v>167</v>
      </c>
      <c r="B1876" s="5">
        <v>43942</v>
      </c>
      <c r="C1876" t="s">
        <v>10</v>
      </c>
      <c r="D1876">
        <v>153</v>
      </c>
      <c r="E1876">
        <v>421</v>
      </c>
      <c r="F1876" s="5">
        <v>43922</v>
      </c>
      <c r="G1876">
        <v>153</v>
      </c>
      <c r="H1876" t="s">
        <v>57</v>
      </c>
    </row>
    <row r="1877" spans="1:8" x14ac:dyDescent="0.3">
      <c r="A1877">
        <v>167</v>
      </c>
      <c r="B1877" s="5">
        <v>43944</v>
      </c>
      <c r="C1877" t="s">
        <v>12</v>
      </c>
      <c r="D1877">
        <v>180</v>
      </c>
      <c r="E1877">
        <v>241</v>
      </c>
      <c r="F1877" s="5">
        <v>43922</v>
      </c>
      <c r="G1877">
        <v>-180</v>
      </c>
      <c r="H1877" t="s">
        <v>57</v>
      </c>
    </row>
    <row r="1878" spans="1:8" x14ac:dyDescent="0.3">
      <c r="A1878">
        <v>167</v>
      </c>
      <c r="B1878" s="5">
        <v>43946</v>
      </c>
      <c r="C1878" t="s">
        <v>12</v>
      </c>
      <c r="D1878">
        <v>989</v>
      </c>
      <c r="E1878">
        <v>-748</v>
      </c>
      <c r="F1878" s="5">
        <v>43922</v>
      </c>
      <c r="G1878">
        <v>-989</v>
      </c>
      <c r="H1878" t="s">
        <v>58</v>
      </c>
    </row>
    <row r="1879" spans="1:8" x14ac:dyDescent="0.3">
      <c r="A1879">
        <v>168</v>
      </c>
      <c r="B1879" s="5">
        <v>43843</v>
      </c>
      <c r="C1879" t="s">
        <v>10</v>
      </c>
      <c r="D1879">
        <v>114</v>
      </c>
      <c r="E1879">
        <v>114</v>
      </c>
      <c r="F1879" s="5">
        <v>43831</v>
      </c>
      <c r="G1879">
        <v>114</v>
      </c>
      <c r="H1879" t="s">
        <v>57</v>
      </c>
    </row>
    <row r="1880" spans="1:8" x14ac:dyDescent="0.3">
      <c r="A1880">
        <v>168</v>
      </c>
      <c r="B1880" s="5">
        <v>43864</v>
      </c>
      <c r="C1880" t="s">
        <v>10</v>
      </c>
      <c r="D1880">
        <v>187</v>
      </c>
      <c r="E1880">
        <v>301</v>
      </c>
      <c r="F1880" s="5">
        <v>43862</v>
      </c>
      <c r="G1880">
        <v>187</v>
      </c>
      <c r="H1880" t="s">
        <v>57</v>
      </c>
    </row>
    <row r="1881" spans="1:8" x14ac:dyDescent="0.3">
      <c r="A1881">
        <v>168</v>
      </c>
      <c r="B1881" s="5">
        <v>43885</v>
      </c>
      <c r="C1881" t="s">
        <v>11</v>
      </c>
      <c r="D1881">
        <v>919</v>
      </c>
      <c r="E1881">
        <v>-618</v>
      </c>
      <c r="F1881" s="5">
        <v>43862</v>
      </c>
      <c r="G1881">
        <v>-919</v>
      </c>
      <c r="H1881" t="s">
        <v>58</v>
      </c>
    </row>
    <row r="1882" spans="1:8" x14ac:dyDescent="0.3">
      <c r="A1882">
        <v>168</v>
      </c>
      <c r="B1882" s="5">
        <v>43886</v>
      </c>
      <c r="C1882" t="s">
        <v>11</v>
      </c>
      <c r="D1882">
        <v>183</v>
      </c>
      <c r="E1882">
        <v>-801</v>
      </c>
      <c r="F1882" s="5">
        <v>43862</v>
      </c>
      <c r="G1882">
        <v>-183</v>
      </c>
      <c r="H1882" t="s">
        <v>58</v>
      </c>
    </row>
    <row r="1883" spans="1:8" x14ac:dyDescent="0.3">
      <c r="A1883">
        <v>169</v>
      </c>
      <c r="B1883" s="5">
        <v>43840</v>
      </c>
      <c r="C1883" t="s">
        <v>10</v>
      </c>
      <c r="D1883">
        <v>628</v>
      </c>
      <c r="E1883">
        <v>628</v>
      </c>
      <c r="F1883" s="5">
        <v>43831</v>
      </c>
      <c r="G1883">
        <v>628</v>
      </c>
      <c r="H1883" t="s">
        <v>57</v>
      </c>
    </row>
    <row r="1884" spans="1:8" x14ac:dyDescent="0.3">
      <c r="A1884">
        <v>169</v>
      </c>
      <c r="B1884" s="5">
        <v>43844</v>
      </c>
      <c r="C1884" t="s">
        <v>12</v>
      </c>
      <c r="D1884">
        <v>601</v>
      </c>
      <c r="E1884">
        <v>27</v>
      </c>
      <c r="F1884" s="5">
        <v>43831</v>
      </c>
      <c r="G1884">
        <v>-601</v>
      </c>
      <c r="H1884" t="s">
        <v>57</v>
      </c>
    </row>
    <row r="1885" spans="1:8" x14ac:dyDescent="0.3">
      <c r="A1885">
        <v>169</v>
      </c>
      <c r="B1885" s="5">
        <v>43849</v>
      </c>
      <c r="C1885" t="s">
        <v>11</v>
      </c>
      <c r="D1885">
        <v>268</v>
      </c>
      <c r="E1885">
        <v>-241</v>
      </c>
      <c r="F1885" s="5">
        <v>43831</v>
      </c>
      <c r="G1885">
        <v>-268</v>
      </c>
      <c r="H1885" t="s">
        <v>58</v>
      </c>
    </row>
    <row r="1886" spans="1:8" x14ac:dyDescent="0.3">
      <c r="A1886">
        <v>169</v>
      </c>
      <c r="B1886" s="5">
        <v>43855</v>
      </c>
      <c r="C1886" t="s">
        <v>11</v>
      </c>
      <c r="D1886">
        <v>985</v>
      </c>
      <c r="E1886">
        <v>-1226</v>
      </c>
      <c r="F1886" s="5">
        <v>43831</v>
      </c>
      <c r="G1886">
        <v>-985</v>
      </c>
      <c r="H1886" t="s">
        <v>58</v>
      </c>
    </row>
    <row r="1887" spans="1:8" x14ac:dyDescent="0.3">
      <c r="A1887">
        <v>169</v>
      </c>
      <c r="B1887" s="5">
        <v>43859</v>
      </c>
      <c r="C1887" t="s">
        <v>10</v>
      </c>
      <c r="D1887">
        <v>657</v>
      </c>
      <c r="E1887">
        <v>-569</v>
      </c>
      <c r="F1887" s="5">
        <v>43831</v>
      </c>
      <c r="G1887">
        <v>657</v>
      </c>
      <c r="H1887" t="s">
        <v>58</v>
      </c>
    </row>
    <row r="1888" spans="1:8" x14ac:dyDescent="0.3">
      <c r="A1888">
        <v>169</v>
      </c>
      <c r="B1888" s="5">
        <v>43867</v>
      </c>
      <c r="C1888" t="s">
        <v>10</v>
      </c>
      <c r="D1888">
        <v>176</v>
      </c>
      <c r="E1888">
        <v>-393</v>
      </c>
      <c r="F1888" s="5">
        <v>43862</v>
      </c>
      <c r="G1888">
        <v>176</v>
      </c>
      <c r="H1888" t="s">
        <v>58</v>
      </c>
    </row>
    <row r="1889" spans="1:8" x14ac:dyDescent="0.3">
      <c r="A1889">
        <v>169</v>
      </c>
      <c r="B1889" s="5">
        <v>43880</v>
      </c>
      <c r="C1889" t="s">
        <v>12</v>
      </c>
      <c r="D1889">
        <v>417</v>
      </c>
      <c r="E1889">
        <v>-810</v>
      </c>
      <c r="F1889" s="5">
        <v>43862</v>
      </c>
      <c r="G1889">
        <v>-417</v>
      </c>
      <c r="H1889" t="s">
        <v>58</v>
      </c>
    </row>
    <row r="1890" spans="1:8" x14ac:dyDescent="0.3">
      <c r="A1890">
        <v>169</v>
      </c>
      <c r="B1890" s="5">
        <v>43887</v>
      </c>
      <c r="C1890" t="s">
        <v>10</v>
      </c>
      <c r="D1890">
        <v>59</v>
      </c>
      <c r="E1890">
        <v>-751</v>
      </c>
      <c r="F1890" s="5">
        <v>43862</v>
      </c>
      <c r="G1890">
        <v>59</v>
      </c>
      <c r="H1890" t="s">
        <v>58</v>
      </c>
    </row>
    <row r="1891" spans="1:8" x14ac:dyDescent="0.3">
      <c r="A1891">
        <v>169</v>
      </c>
      <c r="B1891" s="5">
        <v>43889</v>
      </c>
      <c r="C1891" t="s">
        <v>12</v>
      </c>
      <c r="D1891">
        <v>439</v>
      </c>
      <c r="E1891">
        <v>-1190</v>
      </c>
      <c r="F1891" s="5">
        <v>43862</v>
      </c>
      <c r="G1891">
        <v>-439</v>
      </c>
      <c r="H1891" t="s">
        <v>58</v>
      </c>
    </row>
    <row r="1892" spans="1:8" x14ac:dyDescent="0.3">
      <c r="A1892">
        <v>169</v>
      </c>
      <c r="B1892" s="5">
        <v>43899</v>
      </c>
      <c r="C1892" t="s">
        <v>10</v>
      </c>
      <c r="D1892">
        <v>737</v>
      </c>
      <c r="E1892">
        <v>-453</v>
      </c>
      <c r="F1892" s="5">
        <v>43891</v>
      </c>
      <c r="G1892">
        <v>737</v>
      </c>
      <c r="H1892" t="s">
        <v>58</v>
      </c>
    </row>
    <row r="1893" spans="1:8" x14ac:dyDescent="0.3">
      <c r="A1893">
        <v>169</v>
      </c>
      <c r="B1893" s="5">
        <v>43905</v>
      </c>
      <c r="C1893" t="s">
        <v>12</v>
      </c>
      <c r="D1893">
        <v>3</v>
      </c>
      <c r="E1893">
        <v>-456</v>
      </c>
      <c r="F1893" s="5">
        <v>43891</v>
      </c>
      <c r="G1893">
        <v>-3</v>
      </c>
      <c r="H1893" t="s">
        <v>58</v>
      </c>
    </row>
    <row r="1894" spans="1:8" x14ac:dyDescent="0.3">
      <c r="A1894">
        <v>169</v>
      </c>
      <c r="B1894" s="5">
        <v>43906</v>
      </c>
      <c r="C1894" t="s">
        <v>10</v>
      </c>
      <c r="D1894">
        <v>529</v>
      </c>
      <c r="E1894">
        <v>73</v>
      </c>
      <c r="F1894" s="5">
        <v>43891</v>
      </c>
      <c r="G1894">
        <v>529</v>
      </c>
      <c r="H1894" t="s">
        <v>57</v>
      </c>
    </row>
    <row r="1895" spans="1:8" x14ac:dyDescent="0.3">
      <c r="A1895">
        <v>169</v>
      </c>
      <c r="B1895" s="5">
        <v>43912</v>
      </c>
      <c r="C1895" t="s">
        <v>11</v>
      </c>
      <c r="D1895">
        <v>64</v>
      </c>
      <c r="E1895">
        <v>9</v>
      </c>
      <c r="F1895" s="5">
        <v>43891</v>
      </c>
      <c r="G1895">
        <v>-64</v>
      </c>
      <c r="H1895" t="s">
        <v>57</v>
      </c>
    </row>
    <row r="1896" spans="1:8" x14ac:dyDescent="0.3">
      <c r="A1896">
        <v>169</v>
      </c>
      <c r="B1896" s="5">
        <v>43929</v>
      </c>
      <c r="C1896" t="s">
        <v>10</v>
      </c>
      <c r="D1896">
        <v>897</v>
      </c>
      <c r="E1896">
        <v>906</v>
      </c>
      <c r="F1896" s="5">
        <v>43922</v>
      </c>
      <c r="G1896">
        <v>897</v>
      </c>
      <c r="H1896" t="s">
        <v>57</v>
      </c>
    </row>
    <row r="1897" spans="1:8" x14ac:dyDescent="0.3">
      <c r="A1897">
        <v>170</v>
      </c>
      <c r="B1897" s="5">
        <v>43844</v>
      </c>
      <c r="C1897" t="s">
        <v>10</v>
      </c>
      <c r="D1897">
        <v>788</v>
      </c>
      <c r="E1897">
        <v>788</v>
      </c>
      <c r="F1897" s="5">
        <v>43831</v>
      </c>
      <c r="G1897">
        <v>788</v>
      </c>
      <c r="H1897" t="s">
        <v>57</v>
      </c>
    </row>
    <row r="1898" spans="1:8" x14ac:dyDescent="0.3">
      <c r="A1898">
        <v>170</v>
      </c>
      <c r="B1898" s="5">
        <v>43851</v>
      </c>
      <c r="C1898" t="s">
        <v>10</v>
      </c>
      <c r="D1898">
        <v>339</v>
      </c>
      <c r="E1898">
        <v>1127</v>
      </c>
      <c r="F1898" s="5">
        <v>43831</v>
      </c>
      <c r="G1898">
        <v>339</v>
      </c>
      <c r="H1898" t="s">
        <v>57</v>
      </c>
    </row>
    <row r="1899" spans="1:8" x14ac:dyDescent="0.3">
      <c r="A1899">
        <v>170</v>
      </c>
      <c r="B1899" s="5">
        <v>43858</v>
      </c>
      <c r="C1899" t="s">
        <v>12</v>
      </c>
      <c r="D1899">
        <v>759</v>
      </c>
      <c r="E1899">
        <v>368</v>
      </c>
      <c r="F1899" s="5">
        <v>43831</v>
      </c>
      <c r="G1899">
        <v>-759</v>
      </c>
      <c r="H1899" t="s">
        <v>57</v>
      </c>
    </row>
    <row r="1900" spans="1:8" x14ac:dyDescent="0.3">
      <c r="A1900">
        <v>170</v>
      </c>
      <c r="B1900" s="5">
        <v>43860</v>
      </c>
      <c r="C1900" t="s">
        <v>12</v>
      </c>
      <c r="D1900">
        <v>406</v>
      </c>
      <c r="E1900">
        <v>-38</v>
      </c>
      <c r="F1900" s="5">
        <v>43831</v>
      </c>
      <c r="G1900">
        <v>-406</v>
      </c>
      <c r="H1900" t="s">
        <v>58</v>
      </c>
    </row>
    <row r="1901" spans="1:8" x14ac:dyDescent="0.3">
      <c r="A1901">
        <v>170</v>
      </c>
      <c r="B1901" s="5">
        <v>43872</v>
      </c>
      <c r="C1901" t="s">
        <v>11</v>
      </c>
      <c r="D1901">
        <v>335</v>
      </c>
      <c r="E1901">
        <v>-373</v>
      </c>
      <c r="F1901" s="5">
        <v>43862</v>
      </c>
      <c r="G1901">
        <v>-335</v>
      </c>
      <c r="H1901" t="s">
        <v>58</v>
      </c>
    </row>
    <row r="1902" spans="1:8" x14ac:dyDescent="0.3">
      <c r="A1902">
        <v>170</v>
      </c>
      <c r="B1902" s="5">
        <v>43903</v>
      </c>
      <c r="C1902" t="s">
        <v>11</v>
      </c>
      <c r="D1902">
        <v>773</v>
      </c>
      <c r="E1902">
        <v>-1146</v>
      </c>
      <c r="F1902" s="5">
        <v>43891</v>
      </c>
      <c r="G1902">
        <v>-773</v>
      </c>
      <c r="H1902" t="s">
        <v>58</v>
      </c>
    </row>
    <row r="1903" spans="1:8" x14ac:dyDescent="0.3">
      <c r="A1903">
        <v>170</v>
      </c>
      <c r="B1903" s="5">
        <v>43905</v>
      </c>
      <c r="C1903" t="s">
        <v>10</v>
      </c>
      <c r="D1903">
        <v>675</v>
      </c>
      <c r="E1903">
        <v>-471</v>
      </c>
      <c r="F1903" s="5">
        <v>43891</v>
      </c>
      <c r="G1903">
        <v>675</v>
      </c>
      <c r="H1903" t="s">
        <v>58</v>
      </c>
    </row>
    <row r="1904" spans="1:8" x14ac:dyDescent="0.3">
      <c r="A1904">
        <v>170</v>
      </c>
      <c r="B1904" s="5">
        <v>43905</v>
      </c>
      <c r="C1904" t="s">
        <v>10</v>
      </c>
      <c r="D1904">
        <v>560</v>
      </c>
      <c r="E1904">
        <v>89</v>
      </c>
      <c r="F1904" s="5">
        <v>43891</v>
      </c>
      <c r="G1904">
        <v>560</v>
      </c>
      <c r="H1904" t="s">
        <v>57</v>
      </c>
    </row>
    <row r="1905" spans="1:8" x14ac:dyDescent="0.3">
      <c r="A1905">
        <v>170</v>
      </c>
      <c r="B1905" s="5">
        <v>43910</v>
      </c>
      <c r="C1905" t="s">
        <v>12</v>
      </c>
      <c r="D1905">
        <v>226</v>
      </c>
      <c r="E1905">
        <v>-137</v>
      </c>
      <c r="F1905" s="5">
        <v>43891</v>
      </c>
      <c r="G1905">
        <v>-226</v>
      </c>
      <c r="H1905" t="s">
        <v>58</v>
      </c>
    </row>
    <row r="1906" spans="1:8" x14ac:dyDescent="0.3">
      <c r="A1906">
        <v>170</v>
      </c>
      <c r="B1906" s="5">
        <v>43923</v>
      </c>
      <c r="C1906" t="s">
        <v>11</v>
      </c>
      <c r="D1906">
        <v>392</v>
      </c>
      <c r="E1906">
        <v>-529</v>
      </c>
      <c r="F1906" s="5">
        <v>43922</v>
      </c>
      <c r="G1906">
        <v>-392</v>
      </c>
      <c r="H1906" t="s">
        <v>58</v>
      </c>
    </row>
    <row r="1907" spans="1:8" x14ac:dyDescent="0.3">
      <c r="A1907">
        <v>170</v>
      </c>
      <c r="B1907" s="5">
        <v>43924</v>
      </c>
      <c r="C1907" t="s">
        <v>10</v>
      </c>
      <c r="D1907">
        <v>296</v>
      </c>
      <c r="E1907">
        <v>-233</v>
      </c>
      <c r="F1907" s="5">
        <v>43922</v>
      </c>
      <c r="G1907">
        <v>296</v>
      </c>
      <c r="H1907" t="s">
        <v>58</v>
      </c>
    </row>
    <row r="1908" spans="1:8" x14ac:dyDescent="0.3">
      <c r="A1908">
        <v>170</v>
      </c>
      <c r="B1908" s="5">
        <v>43925</v>
      </c>
      <c r="C1908" t="s">
        <v>11</v>
      </c>
      <c r="D1908">
        <v>617</v>
      </c>
      <c r="E1908">
        <v>-850</v>
      </c>
      <c r="F1908" s="5">
        <v>43922</v>
      </c>
      <c r="G1908">
        <v>-617</v>
      </c>
      <c r="H1908" t="s">
        <v>58</v>
      </c>
    </row>
    <row r="1909" spans="1:8" x14ac:dyDescent="0.3">
      <c r="A1909">
        <v>171</v>
      </c>
      <c r="B1909" s="5">
        <v>43847</v>
      </c>
      <c r="C1909" t="s">
        <v>10</v>
      </c>
      <c r="D1909">
        <v>471</v>
      </c>
      <c r="E1909">
        <v>471</v>
      </c>
      <c r="F1909" s="5">
        <v>43831</v>
      </c>
      <c r="G1909">
        <v>471</v>
      </c>
      <c r="H1909" t="s">
        <v>57</v>
      </c>
    </row>
    <row r="1910" spans="1:8" x14ac:dyDescent="0.3">
      <c r="A1910">
        <v>171</v>
      </c>
      <c r="B1910" s="5">
        <v>43851</v>
      </c>
      <c r="C1910" t="s">
        <v>11</v>
      </c>
      <c r="D1910">
        <v>795</v>
      </c>
      <c r="E1910">
        <v>-324</v>
      </c>
      <c r="F1910" s="5">
        <v>43831</v>
      </c>
      <c r="G1910">
        <v>-795</v>
      </c>
      <c r="H1910" t="s">
        <v>58</v>
      </c>
    </row>
    <row r="1911" spans="1:8" x14ac:dyDescent="0.3">
      <c r="A1911">
        <v>171</v>
      </c>
      <c r="B1911" s="5">
        <v>43851</v>
      </c>
      <c r="C1911" t="s">
        <v>11</v>
      </c>
      <c r="D1911">
        <v>270</v>
      </c>
      <c r="E1911">
        <v>-594</v>
      </c>
      <c r="F1911" s="5">
        <v>43831</v>
      </c>
      <c r="G1911">
        <v>-270</v>
      </c>
      <c r="H1911" t="s">
        <v>58</v>
      </c>
    </row>
    <row r="1912" spans="1:8" x14ac:dyDescent="0.3">
      <c r="A1912">
        <v>171</v>
      </c>
      <c r="B1912" s="5">
        <v>43853</v>
      </c>
      <c r="C1912" t="s">
        <v>10</v>
      </c>
      <c r="D1912">
        <v>397</v>
      </c>
      <c r="E1912">
        <v>-197</v>
      </c>
      <c r="F1912" s="5">
        <v>43831</v>
      </c>
      <c r="G1912">
        <v>397</v>
      </c>
      <c r="H1912" t="s">
        <v>58</v>
      </c>
    </row>
    <row r="1913" spans="1:8" x14ac:dyDescent="0.3">
      <c r="A1913">
        <v>171</v>
      </c>
      <c r="B1913" s="5">
        <v>43863</v>
      </c>
      <c r="C1913" t="s">
        <v>12</v>
      </c>
      <c r="D1913">
        <v>989</v>
      </c>
      <c r="E1913">
        <v>-1186</v>
      </c>
      <c r="F1913" s="5">
        <v>43862</v>
      </c>
      <c r="G1913">
        <v>-989</v>
      </c>
      <c r="H1913" t="s">
        <v>58</v>
      </c>
    </row>
    <row r="1914" spans="1:8" x14ac:dyDescent="0.3">
      <c r="A1914">
        <v>171</v>
      </c>
      <c r="B1914" s="5">
        <v>43873</v>
      </c>
      <c r="C1914" t="s">
        <v>10</v>
      </c>
      <c r="D1914">
        <v>451</v>
      </c>
      <c r="E1914">
        <v>-735</v>
      </c>
      <c r="F1914" s="5">
        <v>43862</v>
      </c>
      <c r="G1914">
        <v>451</v>
      </c>
      <c r="H1914" t="s">
        <v>58</v>
      </c>
    </row>
    <row r="1915" spans="1:8" x14ac:dyDescent="0.3">
      <c r="A1915">
        <v>171</v>
      </c>
      <c r="B1915" s="5">
        <v>43885</v>
      </c>
      <c r="C1915" t="s">
        <v>12</v>
      </c>
      <c r="D1915">
        <v>721</v>
      </c>
      <c r="E1915">
        <v>-1456</v>
      </c>
      <c r="F1915" s="5">
        <v>43862</v>
      </c>
      <c r="G1915">
        <v>-721</v>
      </c>
      <c r="H1915" t="s">
        <v>58</v>
      </c>
    </row>
    <row r="1916" spans="1:8" x14ac:dyDescent="0.3">
      <c r="A1916">
        <v>171</v>
      </c>
      <c r="B1916" s="5">
        <v>43887</v>
      </c>
      <c r="C1916" t="s">
        <v>10</v>
      </c>
      <c r="D1916">
        <v>699</v>
      </c>
      <c r="E1916">
        <v>-757</v>
      </c>
      <c r="F1916" s="5">
        <v>43862</v>
      </c>
      <c r="G1916">
        <v>699</v>
      </c>
      <c r="H1916" t="s">
        <v>58</v>
      </c>
    </row>
    <row r="1917" spans="1:8" x14ac:dyDescent="0.3">
      <c r="A1917">
        <v>171</v>
      </c>
      <c r="B1917" s="5">
        <v>43890</v>
      </c>
      <c r="C1917" t="s">
        <v>12</v>
      </c>
      <c r="D1917">
        <v>643</v>
      </c>
      <c r="E1917">
        <v>-1400</v>
      </c>
      <c r="F1917" s="5">
        <v>43862</v>
      </c>
      <c r="G1917">
        <v>-643</v>
      </c>
      <c r="H1917" t="s">
        <v>58</v>
      </c>
    </row>
    <row r="1918" spans="1:8" x14ac:dyDescent="0.3">
      <c r="A1918">
        <v>171</v>
      </c>
      <c r="B1918" s="5">
        <v>43908</v>
      </c>
      <c r="C1918" t="s">
        <v>12</v>
      </c>
      <c r="D1918">
        <v>201</v>
      </c>
      <c r="E1918">
        <v>-1601</v>
      </c>
      <c r="F1918" s="5">
        <v>43891</v>
      </c>
      <c r="G1918">
        <v>-201</v>
      </c>
      <c r="H1918" t="s">
        <v>58</v>
      </c>
    </row>
    <row r="1919" spans="1:8" x14ac:dyDescent="0.3">
      <c r="A1919">
        <v>171</v>
      </c>
      <c r="B1919" s="5">
        <v>43912</v>
      </c>
      <c r="C1919" t="s">
        <v>12</v>
      </c>
      <c r="D1919">
        <v>765</v>
      </c>
      <c r="E1919">
        <v>-2366</v>
      </c>
      <c r="F1919" s="5">
        <v>43891</v>
      </c>
      <c r="G1919">
        <v>-765</v>
      </c>
      <c r="H1919" t="s">
        <v>58</v>
      </c>
    </row>
    <row r="1920" spans="1:8" x14ac:dyDescent="0.3">
      <c r="A1920">
        <v>171</v>
      </c>
      <c r="B1920" s="5">
        <v>43914</v>
      </c>
      <c r="C1920" t="s">
        <v>10</v>
      </c>
      <c r="D1920">
        <v>445</v>
      </c>
      <c r="E1920">
        <v>-1921</v>
      </c>
      <c r="F1920" s="5">
        <v>43891</v>
      </c>
      <c r="G1920">
        <v>445</v>
      </c>
      <c r="H1920" t="s">
        <v>58</v>
      </c>
    </row>
    <row r="1921" spans="1:8" x14ac:dyDescent="0.3">
      <c r="A1921">
        <v>171</v>
      </c>
      <c r="B1921" s="5">
        <v>43924</v>
      </c>
      <c r="C1921" t="s">
        <v>12</v>
      </c>
      <c r="D1921">
        <v>297</v>
      </c>
      <c r="E1921">
        <v>-2218</v>
      </c>
      <c r="F1921" s="5">
        <v>43922</v>
      </c>
      <c r="G1921">
        <v>-297</v>
      </c>
      <c r="H1921" t="s">
        <v>58</v>
      </c>
    </row>
    <row r="1922" spans="1:8" x14ac:dyDescent="0.3">
      <c r="A1922">
        <v>171</v>
      </c>
      <c r="B1922" s="5">
        <v>43927</v>
      </c>
      <c r="C1922" t="s">
        <v>10</v>
      </c>
      <c r="D1922">
        <v>548</v>
      </c>
      <c r="E1922">
        <v>-1670</v>
      </c>
      <c r="F1922" s="5">
        <v>43922</v>
      </c>
      <c r="G1922">
        <v>548</v>
      </c>
      <c r="H1922" t="s">
        <v>58</v>
      </c>
    </row>
    <row r="1923" spans="1:8" x14ac:dyDescent="0.3">
      <c r="A1923">
        <v>171</v>
      </c>
      <c r="B1923" s="5">
        <v>43933</v>
      </c>
      <c r="C1923" t="s">
        <v>10</v>
      </c>
      <c r="D1923">
        <v>759</v>
      </c>
      <c r="E1923">
        <v>-911</v>
      </c>
      <c r="F1923" s="5">
        <v>43922</v>
      </c>
      <c r="G1923">
        <v>759</v>
      </c>
      <c r="H1923" t="s">
        <v>58</v>
      </c>
    </row>
    <row r="1924" spans="1:8" x14ac:dyDescent="0.3">
      <c r="A1924">
        <v>172</v>
      </c>
      <c r="B1924" s="5">
        <v>43842</v>
      </c>
      <c r="C1924" t="s">
        <v>10</v>
      </c>
      <c r="D1924">
        <v>548</v>
      </c>
      <c r="E1924">
        <v>548</v>
      </c>
      <c r="F1924" s="5">
        <v>43831</v>
      </c>
      <c r="G1924">
        <v>548</v>
      </c>
      <c r="H1924" t="s">
        <v>57</v>
      </c>
    </row>
    <row r="1925" spans="1:8" x14ac:dyDescent="0.3">
      <c r="A1925">
        <v>172</v>
      </c>
      <c r="B1925" s="5">
        <v>43844</v>
      </c>
      <c r="C1925" t="s">
        <v>12</v>
      </c>
      <c r="D1925">
        <v>966</v>
      </c>
      <c r="E1925">
        <v>-418</v>
      </c>
      <c r="F1925" s="5">
        <v>43831</v>
      </c>
      <c r="G1925">
        <v>-966</v>
      </c>
      <c r="H1925" t="s">
        <v>58</v>
      </c>
    </row>
    <row r="1926" spans="1:8" x14ac:dyDescent="0.3">
      <c r="A1926">
        <v>172</v>
      </c>
      <c r="B1926" s="5">
        <v>43861</v>
      </c>
      <c r="C1926" t="s">
        <v>10</v>
      </c>
      <c r="D1926">
        <v>244</v>
      </c>
      <c r="E1926">
        <v>-174</v>
      </c>
      <c r="F1926" s="5">
        <v>43831</v>
      </c>
      <c r="G1926">
        <v>244</v>
      </c>
      <c r="H1926" t="s">
        <v>58</v>
      </c>
    </row>
    <row r="1927" spans="1:8" x14ac:dyDescent="0.3">
      <c r="A1927">
        <v>172</v>
      </c>
      <c r="B1927" s="5">
        <v>43900</v>
      </c>
      <c r="C1927" t="s">
        <v>10</v>
      </c>
      <c r="D1927">
        <v>59</v>
      </c>
      <c r="E1927">
        <v>-115</v>
      </c>
      <c r="F1927" s="5">
        <v>43891</v>
      </c>
      <c r="G1927">
        <v>59</v>
      </c>
      <c r="H1927" t="s">
        <v>58</v>
      </c>
    </row>
    <row r="1928" spans="1:8" x14ac:dyDescent="0.3">
      <c r="A1928">
        <v>172</v>
      </c>
      <c r="B1928" s="5">
        <v>43903</v>
      </c>
      <c r="C1928" t="s">
        <v>12</v>
      </c>
      <c r="D1928">
        <v>446</v>
      </c>
      <c r="E1928">
        <v>-561</v>
      </c>
      <c r="F1928" s="5">
        <v>43891</v>
      </c>
      <c r="G1928">
        <v>-446</v>
      </c>
      <c r="H1928" t="s">
        <v>58</v>
      </c>
    </row>
    <row r="1929" spans="1:8" x14ac:dyDescent="0.3">
      <c r="A1929">
        <v>172</v>
      </c>
      <c r="B1929" s="5">
        <v>43906</v>
      </c>
      <c r="C1929" t="s">
        <v>12</v>
      </c>
      <c r="D1929">
        <v>477</v>
      </c>
      <c r="E1929">
        <v>-1038</v>
      </c>
      <c r="F1929" s="5">
        <v>43891</v>
      </c>
      <c r="G1929">
        <v>-477</v>
      </c>
      <c r="H1929" t="s">
        <v>58</v>
      </c>
    </row>
    <row r="1930" spans="1:8" x14ac:dyDescent="0.3">
      <c r="A1930">
        <v>173</v>
      </c>
      <c r="B1930" s="5">
        <v>43844</v>
      </c>
      <c r="C1930" t="s">
        <v>10</v>
      </c>
      <c r="D1930">
        <v>720</v>
      </c>
      <c r="E1930">
        <v>720</v>
      </c>
      <c r="F1930" s="5">
        <v>43831</v>
      </c>
      <c r="G1930">
        <v>720</v>
      </c>
      <c r="H1930" t="s">
        <v>57</v>
      </c>
    </row>
    <row r="1931" spans="1:8" x14ac:dyDescent="0.3">
      <c r="A1931">
        <v>173</v>
      </c>
      <c r="B1931" s="5">
        <v>43855</v>
      </c>
      <c r="C1931" t="s">
        <v>10</v>
      </c>
      <c r="D1931">
        <v>578</v>
      </c>
      <c r="E1931">
        <v>1298</v>
      </c>
      <c r="F1931" s="5">
        <v>43831</v>
      </c>
      <c r="G1931">
        <v>578</v>
      </c>
      <c r="H1931" t="s">
        <v>57</v>
      </c>
    </row>
    <row r="1932" spans="1:8" x14ac:dyDescent="0.3">
      <c r="A1932">
        <v>173</v>
      </c>
      <c r="B1932" s="5">
        <v>43865</v>
      </c>
      <c r="C1932" t="s">
        <v>10</v>
      </c>
      <c r="D1932">
        <v>486</v>
      </c>
      <c r="E1932">
        <v>1784</v>
      </c>
      <c r="F1932" s="5">
        <v>43862</v>
      </c>
      <c r="G1932">
        <v>486</v>
      </c>
      <c r="H1932" t="s">
        <v>57</v>
      </c>
    </row>
    <row r="1933" spans="1:8" x14ac:dyDescent="0.3">
      <c r="A1933">
        <v>173</v>
      </c>
      <c r="B1933" s="5">
        <v>43875</v>
      </c>
      <c r="C1933" t="s">
        <v>12</v>
      </c>
      <c r="D1933">
        <v>383</v>
      </c>
      <c r="E1933">
        <v>1401</v>
      </c>
      <c r="F1933" s="5">
        <v>43862</v>
      </c>
      <c r="G1933">
        <v>-383</v>
      </c>
      <c r="H1933" t="s">
        <v>57</v>
      </c>
    </row>
    <row r="1934" spans="1:8" x14ac:dyDescent="0.3">
      <c r="A1934">
        <v>173</v>
      </c>
      <c r="B1934" s="5">
        <v>43888</v>
      </c>
      <c r="C1934" t="s">
        <v>11</v>
      </c>
      <c r="D1934">
        <v>3</v>
      </c>
      <c r="E1934">
        <v>1398</v>
      </c>
      <c r="F1934" s="5">
        <v>43862</v>
      </c>
      <c r="G1934">
        <v>-3</v>
      </c>
      <c r="H1934" t="s">
        <v>57</v>
      </c>
    </row>
    <row r="1935" spans="1:8" x14ac:dyDescent="0.3">
      <c r="A1935">
        <v>173</v>
      </c>
      <c r="B1935" s="5">
        <v>43895</v>
      </c>
      <c r="C1935" t="s">
        <v>12</v>
      </c>
      <c r="D1935">
        <v>708</v>
      </c>
      <c r="E1935">
        <v>690</v>
      </c>
      <c r="F1935" s="5">
        <v>43891</v>
      </c>
      <c r="G1935">
        <v>-708</v>
      </c>
      <c r="H1935" t="s">
        <v>57</v>
      </c>
    </row>
    <row r="1936" spans="1:8" x14ac:dyDescent="0.3">
      <c r="A1936">
        <v>173</v>
      </c>
      <c r="B1936" s="5">
        <v>43897</v>
      </c>
      <c r="C1936" t="s">
        <v>10</v>
      </c>
      <c r="D1936">
        <v>660</v>
      </c>
      <c r="E1936">
        <v>1350</v>
      </c>
      <c r="F1936" s="5">
        <v>43891</v>
      </c>
      <c r="G1936">
        <v>660</v>
      </c>
      <c r="H1936" t="s">
        <v>57</v>
      </c>
    </row>
    <row r="1937" spans="1:8" x14ac:dyDescent="0.3">
      <c r="A1937">
        <v>173</v>
      </c>
      <c r="B1937" s="5">
        <v>43899</v>
      </c>
      <c r="C1937" t="s">
        <v>10</v>
      </c>
      <c r="D1937">
        <v>124</v>
      </c>
      <c r="E1937">
        <v>1474</v>
      </c>
      <c r="F1937" s="5">
        <v>43891</v>
      </c>
      <c r="G1937">
        <v>124</v>
      </c>
      <c r="H1937" t="s">
        <v>57</v>
      </c>
    </row>
    <row r="1938" spans="1:8" x14ac:dyDescent="0.3">
      <c r="A1938">
        <v>173</v>
      </c>
      <c r="B1938" s="5">
        <v>43913</v>
      </c>
      <c r="C1938" t="s">
        <v>11</v>
      </c>
      <c r="D1938">
        <v>562</v>
      </c>
      <c r="E1938">
        <v>912</v>
      </c>
      <c r="F1938" s="5">
        <v>43891</v>
      </c>
      <c r="G1938">
        <v>-562</v>
      </c>
      <c r="H1938" t="s">
        <v>57</v>
      </c>
    </row>
    <row r="1939" spans="1:8" x14ac:dyDescent="0.3">
      <c r="A1939">
        <v>173</v>
      </c>
      <c r="B1939" s="5">
        <v>43928</v>
      </c>
      <c r="C1939" t="s">
        <v>12</v>
      </c>
      <c r="D1939">
        <v>791</v>
      </c>
      <c r="E1939">
        <v>121</v>
      </c>
      <c r="F1939" s="5">
        <v>43922</v>
      </c>
      <c r="G1939">
        <v>-791</v>
      </c>
      <c r="H1939" t="s">
        <v>57</v>
      </c>
    </row>
    <row r="1940" spans="1:8" x14ac:dyDescent="0.3">
      <c r="A1940">
        <v>174</v>
      </c>
      <c r="B1940" s="5">
        <v>43841</v>
      </c>
      <c r="C1940" t="s">
        <v>10</v>
      </c>
      <c r="D1940">
        <v>163</v>
      </c>
      <c r="E1940">
        <v>163</v>
      </c>
      <c r="F1940" s="5">
        <v>43831</v>
      </c>
      <c r="G1940">
        <v>163</v>
      </c>
      <c r="H1940" t="s">
        <v>57</v>
      </c>
    </row>
    <row r="1941" spans="1:8" x14ac:dyDescent="0.3">
      <c r="A1941">
        <v>174</v>
      </c>
      <c r="B1941" s="5">
        <v>43841</v>
      </c>
      <c r="C1941" t="s">
        <v>10</v>
      </c>
      <c r="D1941">
        <v>979</v>
      </c>
      <c r="E1941">
        <v>1142</v>
      </c>
      <c r="F1941" s="5">
        <v>43831</v>
      </c>
      <c r="G1941">
        <v>979</v>
      </c>
      <c r="H1941" t="s">
        <v>57</v>
      </c>
    </row>
    <row r="1942" spans="1:8" x14ac:dyDescent="0.3">
      <c r="A1942">
        <v>174</v>
      </c>
      <c r="B1942" s="5">
        <v>43872</v>
      </c>
      <c r="C1942" t="s">
        <v>12</v>
      </c>
      <c r="D1942">
        <v>821</v>
      </c>
      <c r="E1942">
        <v>321</v>
      </c>
      <c r="F1942" s="5">
        <v>43862</v>
      </c>
      <c r="G1942">
        <v>-821</v>
      </c>
      <c r="H1942" t="s">
        <v>57</v>
      </c>
    </row>
    <row r="1943" spans="1:8" x14ac:dyDescent="0.3">
      <c r="A1943">
        <v>174</v>
      </c>
      <c r="B1943" s="5">
        <v>43884</v>
      </c>
      <c r="C1943" t="s">
        <v>11</v>
      </c>
      <c r="D1943">
        <v>637</v>
      </c>
      <c r="E1943">
        <v>-316</v>
      </c>
      <c r="F1943" s="5">
        <v>43862</v>
      </c>
      <c r="G1943">
        <v>-637</v>
      </c>
      <c r="H1943" t="s">
        <v>58</v>
      </c>
    </row>
    <row r="1944" spans="1:8" x14ac:dyDescent="0.3">
      <c r="A1944">
        <v>174</v>
      </c>
      <c r="B1944" s="5">
        <v>43886</v>
      </c>
      <c r="C1944" t="s">
        <v>10</v>
      </c>
      <c r="D1944">
        <v>218</v>
      </c>
      <c r="E1944">
        <v>-98</v>
      </c>
      <c r="F1944" s="5">
        <v>43862</v>
      </c>
      <c r="G1944">
        <v>218</v>
      </c>
      <c r="H1944" t="s">
        <v>58</v>
      </c>
    </row>
    <row r="1945" spans="1:8" x14ac:dyDescent="0.3">
      <c r="A1945">
        <v>174</v>
      </c>
      <c r="B1945" s="5">
        <v>43900</v>
      </c>
      <c r="C1945" t="s">
        <v>12</v>
      </c>
      <c r="D1945">
        <v>540</v>
      </c>
      <c r="E1945">
        <v>-638</v>
      </c>
      <c r="F1945" s="5">
        <v>43891</v>
      </c>
      <c r="G1945">
        <v>-540</v>
      </c>
      <c r="H1945" t="s">
        <v>58</v>
      </c>
    </row>
    <row r="1946" spans="1:8" x14ac:dyDescent="0.3">
      <c r="A1946">
        <v>174</v>
      </c>
      <c r="B1946" s="5">
        <v>43905</v>
      </c>
      <c r="C1946" t="s">
        <v>12</v>
      </c>
      <c r="D1946">
        <v>855</v>
      </c>
      <c r="E1946">
        <v>-1493</v>
      </c>
      <c r="F1946" s="5">
        <v>43891</v>
      </c>
      <c r="G1946">
        <v>-855</v>
      </c>
      <c r="H1946" t="s">
        <v>58</v>
      </c>
    </row>
    <row r="1947" spans="1:8" x14ac:dyDescent="0.3">
      <c r="A1947">
        <v>174</v>
      </c>
      <c r="B1947" s="5">
        <v>43908</v>
      </c>
      <c r="C1947" t="s">
        <v>12</v>
      </c>
      <c r="D1947">
        <v>607</v>
      </c>
      <c r="E1947">
        <v>-2100</v>
      </c>
      <c r="F1947" s="5">
        <v>43891</v>
      </c>
      <c r="G1947">
        <v>-607</v>
      </c>
      <c r="H1947" t="s">
        <v>58</v>
      </c>
    </row>
    <row r="1948" spans="1:8" x14ac:dyDescent="0.3">
      <c r="A1948">
        <v>174</v>
      </c>
      <c r="B1948" s="5">
        <v>43910</v>
      </c>
      <c r="C1948" t="s">
        <v>10</v>
      </c>
      <c r="D1948">
        <v>965</v>
      </c>
      <c r="E1948">
        <v>-1135</v>
      </c>
      <c r="F1948" s="5">
        <v>43891</v>
      </c>
      <c r="G1948">
        <v>965</v>
      </c>
      <c r="H1948" t="s">
        <v>58</v>
      </c>
    </row>
    <row r="1949" spans="1:8" x14ac:dyDescent="0.3">
      <c r="A1949">
        <v>174</v>
      </c>
      <c r="B1949" s="5">
        <v>43923</v>
      </c>
      <c r="C1949" t="s">
        <v>10</v>
      </c>
      <c r="D1949">
        <v>936</v>
      </c>
      <c r="E1949">
        <v>-199</v>
      </c>
      <c r="F1949" s="5">
        <v>43922</v>
      </c>
      <c r="G1949">
        <v>936</v>
      </c>
      <c r="H1949" t="s">
        <v>58</v>
      </c>
    </row>
    <row r="1950" spans="1:8" x14ac:dyDescent="0.3">
      <c r="A1950">
        <v>174</v>
      </c>
      <c r="B1950" s="5">
        <v>43929</v>
      </c>
      <c r="C1950" t="s">
        <v>10</v>
      </c>
      <c r="D1950">
        <v>843</v>
      </c>
      <c r="E1950">
        <v>644</v>
      </c>
      <c r="F1950" s="5">
        <v>43922</v>
      </c>
      <c r="G1950">
        <v>843</v>
      </c>
      <c r="H1950" t="s">
        <v>57</v>
      </c>
    </row>
    <row r="1951" spans="1:8" x14ac:dyDescent="0.3">
      <c r="A1951">
        <v>175</v>
      </c>
      <c r="B1951" s="5">
        <v>43844</v>
      </c>
      <c r="C1951" t="s">
        <v>10</v>
      </c>
      <c r="D1951">
        <v>300</v>
      </c>
      <c r="E1951">
        <v>300</v>
      </c>
      <c r="F1951" s="5">
        <v>43831</v>
      </c>
      <c r="G1951">
        <v>300</v>
      </c>
      <c r="H1951" t="s">
        <v>57</v>
      </c>
    </row>
    <row r="1952" spans="1:8" x14ac:dyDescent="0.3">
      <c r="A1952">
        <v>175</v>
      </c>
      <c r="B1952" s="5">
        <v>43845</v>
      </c>
      <c r="C1952" t="s">
        <v>10</v>
      </c>
      <c r="D1952">
        <v>546</v>
      </c>
      <c r="E1952">
        <v>846</v>
      </c>
      <c r="F1952" s="5">
        <v>43831</v>
      </c>
      <c r="G1952">
        <v>546</v>
      </c>
      <c r="H1952" t="s">
        <v>57</v>
      </c>
    </row>
    <row r="1953" spans="1:8" x14ac:dyDescent="0.3">
      <c r="A1953">
        <v>175</v>
      </c>
      <c r="B1953" s="5">
        <v>43850</v>
      </c>
      <c r="C1953" t="s">
        <v>10</v>
      </c>
      <c r="D1953">
        <v>53</v>
      </c>
      <c r="E1953">
        <v>899</v>
      </c>
      <c r="F1953" s="5">
        <v>43831</v>
      </c>
      <c r="G1953">
        <v>53</v>
      </c>
      <c r="H1953" t="s">
        <v>57</v>
      </c>
    </row>
    <row r="1954" spans="1:8" x14ac:dyDescent="0.3">
      <c r="A1954">
        <v>175</v>
      </c>
      <c r="B1954" s="5">
        <v>43851</v>
      </c>
      <c r="C1954" t="s">
        <v>11</v>
      </c>
      <c r="D1954">
        <v>35</v>
      </c>
      <c r="E1954">
        <v>864</v>
      </c>
      <c r="F1954" s="5">
        <v>43831</v>
      </c>
      <c r="G1954">
        <v>-35</v>
      </c>
      <c r="H1954" t="s">
        <v>57</v>
      </c>
    </row>
    <row r="1955" spans="1:8" x14ac:dyDescent="0.3">
      <c r="A1955">
        <v>175</v>
      </c>
      <c r="B1955" s="5">
        <v>43852</v>
      </c>
      <c r="C1955" t="s">
        <v>10</v>
      </c>
      <c r="D1955">
        <v>99</v>
      </c>
      <c r="E1955">
        <v>963</v>
      </c>
      <c r="F1955" s="5">
        <v>43831</v>
      </c>
      <c r="G1955">
        <v>99</v>
      </c>
      <c r="H1955" t="s">
        <v>57</v>
      </c>
    </row>
    <row r="1956" spans="1:8" x14ac:dyDescent="0.3">
      <c r="A1956">
        <v>175</v>
      </c>
      <c r="B1956" s="5">
        <v>43854</v>
      </c>
      <c r="C1956" t="s">
        <v>12</v>
      </c>
      <c r="D1956">
        <v>754</v>
      </c>
      <c r="E1956">
        <v>209</v>
      </c>
      <c r="F1956" s="5">
        <v>43831</v>
      </c>
      <c r="G1956">
        <v>-754</v>
      </c>
      <c r="H1956" t="s">
        <v>57</v>
      </c>
    </row>
    <row r="1957" spans="1:8" x14ac:dyDescent="0.3">
      <c r="A1957">
        <v>175</v>
      </c>
      <c r="B1957" s="5">
        <v>43861</v>
      </c>
      <c r="C1957" t="s">
        <v>11</v>
      </c>
      <c r="D1957">
        <v>535</v>
      </c>
      <c r="E1957">
        <v>-326</v>
      </c>
      <c r="F1957" s="5">
        <v>43831</v>
      </c>
      <c r="G1957">
        <v>-535</v>
      </c>
      <c r="H1957" t="s">
        <v>58</v>
      </c>
    </row>
    <row r="1958" spans="1:8" x14ac:dyDescent="0.3">
      <c r="A1958">
        <v>175</v>
      </c>
      <c r="B1958" s="5">
        <v>43865</v>
      </c>
      <c r="C1958" t="s">
        <v>10</v>
      </c>
      <c r="D1958">
        <v>242</v>
      </c>
      <c r="E1958">
        <v>-84</v>
      </c>
      <c r="F1958" s="5">
        <v>43862</v>
      </c>
      <c r="G1958">
        <v>242</v>
      </c>
      <c r="H1958" t="s">
        <v>58</v>
      </c>
    </row>
    <row r="1959" spans="1:8" x14ac:dyDescent="0.3">
      <c r="A1959">
        <v>175</v>
      </c>
      <c r="B1959" s="5">
        <v>43881</v>
      </c>
      <c r="C1959" t="s">
        <v>11</v>
      </c>
      <c r="D1959">
        <v>671</v>
      </c>
      <c r="E1959">
        <v>-755</v>
      </c>
      <c r="F1959" s="5">
        <v>43862</v>
      </c>
      <c r="G1959">
        <v>-671</v>
      </c>
      <c r="H1959" t="s">
        <v>58</v>
      </c>
    </row>
    <row r="1960" spans="1:8" x14ac:dyDescent="0.3">
      <c r="A1960">
        <v>175</v>
      </c>
      <c r="B1960" s="5">
        <v>43896</v>
      </c>
      <c r="C1960" t="s">
        <v>11</v>
      </c>
      <c r="D1960">
        <v>505</v>
      </c>
      <c r="E1960">
        <v>-1260</v>
      </c>
      <c r="F1960" s="5">
        <v>43891</v>
      </c>
      <c r="G1960">
        <v>-505</v>
      </c>
      <c r="H1960" t="s">
        <v>58</v>
      </c>
    </row>
    <row r="1961" spans="1:8" x14ac:dyDescent="0.3">
      <c r="A1961">
        <v>175</v>
      </c>
      <c r="B1961" s="5">
        <v>43898</v>
      </c>
      <c r="C1961" t="s">
        <v>12</v>
      </c>
      <c r="D1961">
        <v>336</v>
      </c>
      <c r="E1961">
        <v>-1596</v>
      </c>
      <c r="F1961" s="5">
        <v>43891</v>
      </c>
      <c r="G1961">
        <v>-336</v>
      </c>
      <c r="H1961" t="s">
        <v>58</v>
      </c>
    </row>
    <row r="1962" spans="1:8" x14ac:dyDescent="0.3">
      <c r="A1962">
        <v>175</v>
      </c>
      <c r="B1962" s="5">
        <v>43900</v>
      </c>
      <c r="C1962" t="s">
        <v>12</v>
      </c>
      <c r="D1962">
        <v>201</v>
      </c>
      <c r="E1962">
        <v>-1797</v>
      </c>
      <c r="F1962" s="5">
        <v>43891</v>
      </c>
      <c r="G1962">
        <v>-201</v>
      </c>
      <c r="H1962" t="s">
        <v>58</v>
      </c>
    </row>
    <row r="1963" spans="1:8" x14ac:dyDescent="0.3">
      <c r="A1963">
        <v>175</v>
      </c>
      <c r="B1963" s="5">
        <v>43905</v>
      </c>
      <c r="C1963" t="s">
        <v>12</v>
      </c>
      <c r="D1963">
        <v>135</v>
      </c>
      <c r="E1963">
        <v>-1932</v>
      </c>
      <c r="F1963" s="5">
        <v>43891</v>
      </c>
      <c r="G1963">
        <v>-135</v>
      </c>
      <c r="H1963" t="s">
        <v>58</v>
      </c>
    </row>
    <row r="1964" spans="1:8" x14ac:dyDescent="0.3">
      <c r="A1964">
        <v>175</v>
      </c>
      <c r="B1964" s="5">
        <v>43907</v>
      </c>
      <c r="C1964" t="s">
        <v>10</v>
      </c>
      <c r="D1964">
        <v>110</v>
      </c>
      <c r="E1964">
        <v>-1822</v>
      </c>
      <c r="F1964" s="5">
        <v>43891</v>
      </c>
      <c r="G1964">
        <v>110</v>
      </c>
      <c r="H1964" t="s">
        <v>58</v>
      </c>
    </row>
    <row r="1965" spans="1:8" x14ac:dyDescent="0.3">
      <c r="A1965">
        <v>175</v>
      </c>
      <c r="B1965" s="5">
        <v>43926</v>
      </c>
      <c r="C1965" t="s">
        <v>11</v>
      </c>
      <c r="D1965">
        <v>897</v>
      </c>
      <c r="E1965">
        <v>-2719</v>
      </c>
      <c r="F1965" s="5">
        <v>43922</v>
      </c>
      <c r="G1965">
        <v>-897</v>
      </c>
      <c r="H1965" t="s">
        <v>58</v>
      </c>
    </row>
    <row r="1966" spans="1:8" x14ac:dyDescent="0.3">
      <c r="A1966">
        <v>175</v>
      </c>
      <c r="B1966" s="5">
        <v>43926</v>
      </c>
      <c r="C1966" t="s">
        <v>10</v>
      </c>
      <c r="D1966">
        <v>989</v>
      </c>
      <c r="E1966">
        <v>-1730</v>
      </c>
      <c r="F1966" s="5">
        <v>43922</v>
      </c>
      <c r="G1966">
        <v>989</v>
      </c>
      <c r="H1966" t="s">
        <v>58</v>
      </c>
    </row>
    <row r="1967" spans="1:8" x14ac:dyDescent="0.3">
      <c r="A1967">
        <v>175</v>
      </c>
      <c r="B1967" s="5">
        <v>43927</v>
      </c>
      <c r="C1967" t="s">
        <v>10</v>
      </c>
      <c r="D1967">
        <v>181</v>
      </c>
      <c r="E1967">
        <v>-1549</v>
      </c>
      <c r="F1967" s="5">
        <v>43922</v>
      </c>
      <c r="G1967">
        <v>181</v>
      </c>
      <c r="H1967" t="s">
        <v>58</v>
      </c>
    </row>
    <row r="1968" spans="1:8" x14ac:dyDescent="0.3">
      <c r="A1968">
        <v>176</v>
      </c>
      <c r="B1968" s="5">
        <v>43856</v>
      </c>
      <c r="C1968" t="s">
        <v>10</v>
      </c>
      <c r="D1968">
        <v>655</v>
      </c>
      <c r="E1968">
        <v>655</v>
      </c>
      <c r="F1968" s="5">
        <v>43831</v>
      </c>
      <c r="G1968">
        <v>655</v>
      </c>
      <c r="H1968" t="s">
        <v>57</v>
      </c>
    </row>
    <row r="1969" spans="1:8" x14ac:dyDescent="0.3">
      <c r="A1969">
        <v>176</v>
      </c>
      <c r="B1969" s="5">
        <v>43865</v>
      </c>
      <c r="C1969" t="s">
        <v>12</v>
      </c>
      <c r="D1969">
        <v>828</v>
      </c>
      <c r="E1969">
        <v>-173</v>
      </c>
      <c r="F1969" s="5">
        <v>43862</v>
      </c>
      <c r="G1969">
        <v>-828</v>
      </c>
      <c r="H1969" t="s">
        <v>58</v>
      </c>
    </row>
    <row r="1970" spans="1:8" x14ac:dyDescent="0.3">
      <c r="A1970">
        <v>176</v>
      </c>
      <c r="B1970" s="5">
        <v>43874</v>
      </c>
      <c r="C1970" t="s">
        <v>10</v>
      </c>
      <c r="D1970">
        <v>434</v>
      </c>
      <c r="E1970">
        <v>261</v>
      </c>
      <c r="F1970" s="5">
        <v>43862</v>
      </c>
      <c r="G1970">
        <v>434</v>
      </c>
      <c r="H1970" t="s">
        <v>57</v>
      </c>
    </row>
    <row r="1971" spans="1:8" x14ac:dyDescent="0.3">
      <c r="A1971">
        <v>176</v>
      </c>
      <c r="B1971" s="5">
        <v>43877</v>
      </c>
      <c r="C1971" t="s">
        <v>10</v>
      </c>
      <c r="D1971">
        <v>344</v>
      </c>
      <c r="E1971">
        <v>605</v>
      </c>
      <c r="F1971" s="5">
        <v>43862</v>
      </c>
      <c r="G1971">
        <v>344</v>
      </c>
      <c r="H1971" t="s">
        <v>57</v>
      </c>
    </row>
    <row r="1972" spans="1:8" x14ac:dyDescent="0.3">
      <c r="A1972">
        <v>176</v>
      </c>
      <c r="B1972" s="5">
        <v>43905</v>
      </c>
      <c r="C1972" t="s">
        <v>12</v>
      </c>
      <c r="D1972">
        <v>103</v>
      </c>
      <c r="E1972">
        <v>502</v>
      </c>
      <c r="F1972" s="5">
        <v>43891</v>
      </c>
      <c r="G1972">
        <v>-103</v>
      </c>
      <c r="H1972" t="s">
        <v>57</v>
      </c>
    </row>
    <row r="1973" spans="1:8" x14ac:dyDescent="0.3">
      <c r="A1973">
        <v>176</v>
      </c>
      <c r="B1973" s="5">
        <v>43914</v>
      </c>
      <c r="C1973" t="s">
        <v>11</v>
      </c>
      <c r="D1973">
        <v>968</v>
      </c>
      <c r="E1973">
        <v>-466</v>
      </c>
      <c r="F1973" s="5">
        <v>43891</v>
      </c>
      <c r="G1973">
        <v>-968</v>
      </c>
      <c r="H1973" t="s">
        <v>58</v>
      </c>
    </row>
    <row r="1974" spans="1:8" x14ac:dyDescent="0.3">
      <c r="A1974">
        <v>176</v>
      </c>
      <c r="B1974" s="5">
        <v>43917</v>
      </c>
      <c r="C1974" t="s">
        <v>12</v>
      </c>
      <c r="D1974">
        <v>65</v>
      </c>
      <c r="E1974">
        <v>-531</v>
      </c>
      <c r="F1974" s="5">
        <v>43891</v>
      </c>
      <c r="G1974">
        <v>-65</v>
      </c>
      <c r="H1974" t="s">
        <v>58</v>
      </c>
    </row>
    <row r="1975" spans="1:8" x14ac:dyDescent="0.3">
      <c r="A1975">
        <v>176</v>
      </c>
      <c r="B1975" s="5">
        <v>43923</v>
      </c>
      <c r="C1975" t="s">
        <v>12</v>
      </c>
      <c r="D1975">
        <v>536</v>
      </c>
      <c r="E1975">
        <v>-1067</v>
      </c>
      <c r="F1975" s="5">
        <v>43922</v>
      </c>
      <c r="G1975">
        <v>-536</v>
      </c>
      <c r="H1975" t="s">
        <v>58</v>
      </c>
    </row>
    <row r="1976" spans="1:8" x14ac:dyDescent="0.3">
      <c r="A1976">
        <v>177</v>
      </c>
      <c r="B1976" s="5">
        <v>43850</v>
      </c>
      <c r="C1976" t="s">
        <v>10</v>
      </c>
      <c r="D1976">
        <v>351</v>
      </c>
      <c r="E1976">
        <v>351</v>
      </c>
      <c r="F1976" s="5">
        <v>43831</v>
      </c>
      <c r="G1976">
        <v>351</v>
      </c>
      <c r="H1976" t="s">
        <v>57</v>
      </c>
    </row>
    <row r="1977" spans="1:8" x14ac:dyDescent="0.3">
      <c r="A1977">
        <v>177</v>
      </c>
      <c r="B1977" s="5">
        <v>43852</v>
      </c>
      <c r="C1977" t="s">
        <v>10</v>
      </c>
      <c r="D1977">
        <v>54</v>
      </c>
      <c r="E1977">
        <v>405</v>
      </c>
      <c r="F1977" s="5">
        <v>43831</v>
      </c>
      <c r="G1977">
        <v>54</v>
      </c>
      <c r="H1977" t="s">
        <v>57</v>
      </c>
    </row>
    <row r="1978" spans="1:8" x14ac:dyDescent="0.3">
      <c r="A1978">
        <v>177</v>
      </c>
      <c r="B1978" s="5">
        <v>43862</v>
      </c>
      <c r="C1978" t="s">
        <v>12</v>
      </c>
      <c r="D1978">
        <v>645</v>
      </c>
      <c r="E1978">
        <v>-240</v>
      </c>
      <c r="F1978" s="5">
        <v>43862</v>
      </c>
      <c r="G1978">
        <v>-645</v>
      </c>
      <c r="H1978" t="s">
        <v>58</v>
      </c>
    </row>
    <row r="1979" spans="1:8" x14ac:dyDescent="0.3">
      <c r="A1979">
        <v>177</v>
      </c>
      <c r="B1979" s="5">
        <v>43869</v>
      </c>
      <c r="C1979" t="s">
        <v>10</v>
      </c>
      <c r="D1979">
        <v>802</v>
      </c>
      <c r="E1979">
        <v>562</v>
      </c>
      <c r="F1979" s="5">
        <v>43862</v>
      </c>
      <c r="G1979">
        <v>802</v>
      </c>
      <c r="H1979" t="s">
        <v>57</v>
      </c>
    </row>
    <row r="1980" spans="1:8" x14ac:dyDescent="0.3">
      <c r="A1980">
        <v>177</v>
      </c>
      <c r="B1980" s="5">
        <v>43881</v>
      </c>
      <c r="C1980" t="s">
        <v>10</v>
      </c>
      <c r="D1980">
        <v>135</v>
      </c>
      <c r="E1980">
        <v>697</v>
      </c>
      <c r="F1980" s="5">
        <v>43862</v>
      </c>
      <c r="G1980">
        <v>135</v>
      </c>
      <c r="H1980" t="s">
        <v>57</v>
      </c>
    </row>
    <row r="1981" spans="1:8" x14ac:dyDescent="0.3">
      <c r="A1981">
        <v>177</v>
      </c>
      <c r="B1981" s="5">
        <v>43883</v>
      </c>
      <c r="C1981" t="s">
        <v>12</v>
      </c>
      <c r="D1981">
        <v>853</v>
      </c>
      <c r="E1981">
        <v>-156</v>
      </c>
      <c r="F1981" s="5">
        <v>43862</v>
      </c>
      <c r="G1981">
        <v>-853</v>
      </c>
      <c r="H1981" t="s">
        <v>58</v>
      </c>
    </row>
    <row r="1982" spans="1:8" x14ac:dyDescent="0.3">
      <c r="A1982">
        <v>177</v>
      </c>
      <c r="B1982" s="5">
        <v>43895</v>
      </c>
      <c r="C1982" t="s">
        <v>12</v>
      </c>
      <c r="D1982">
        <v>681</v>
      </c>
      <c r="E1982">
        <v>-837</v>
      </c>
      <c r="F1982" s="5">
        <v>43891</v>
      </c>
      <c r="G1982">
        <v>-681</v>
      </c>
      <c r="H1982" t="s">
        <v>58</v>
      </c>
    </row>
    <row r="1983" spans="1:8" x14ac:dyDescent="0.3">
      <c r="A1983">
        <v>177</v>
      </c>
      <c r="B1983" s="5">
        <v>43899</v>
      </c>
      <c r="C1983" t="s">
        <v>10</v>
      </c>
      <c r="D1983">
        <v>706</v>
      </c>
      <c r="E1983">
        <v>-131</v>
      </c>
      <c r="F1983" s="5">
        <v>43891</v>
      </c>
      <c r="G1983">
        <v>706</v>
      </c>
      <c r="H1983" t="s">
        <v>58</v>
      </c>
    </row>
    <row r="1984" spans="1:8" x14ac:dyDescent="0.3">
      <c r="A1984">
        <v>177</v>
      </c>
      <c r="B1984" s="5">
        <v>43902</v>
      </c>
      <c r="C1984" t="s">
        <v>11</v>
      </c>
      <c r="D1984">
        <v>832</v>
      </c>
      <c r="E1984">
        <v>-963</v>
      </c>
      <c r="F1984" s="5">
        <v>43891</v>
      </c>
      <c r="G1984">
        <v>-832</v>
      </c>
      <c r="H1984" t="s">
        <v>58</v>
      </c>
    </row>
    <row r="1985" spans="1:8" x14ac:dyDescent="0.3">
      <c r="A1985">
        <v>177</v>
      </c>
      <c r="B1985" s="5">
        <v>43904</v>
      </c>
      <c r="C1985" t="s">
        <v>11</v>
      </c>
      <c r="D1985">
        <v>78</v>
      </c>
      <c r="E1985">
        <v>-1041</v>
      </c>
      <c r="F1985" s="5">
        <v>43891</v>
      </c>
      <c r="G1985">
        <v>-78</v>
      </c>
      <c r="H1985" t="s">
        <v>58</v>
      </c>
    </row>
    <row r="1986" spans="1:8" x14ac:dyDescent="0.3">
      <c r="A1986">
        <v>177</v>
      </c>
      <c r="B1986" s="5">
        <v>43908</v>
      </c>
      <c r="C1986" t="s">
        <v>11</v>
      </c>
      <c r="D1986">
        <v>960</v>
      </c>
      <c r="E1986">
        <v>-2001</v>
      </c>
      <c r="F1986" s="5">
        <v>43891</v>
      </c>
      <c r="G1986">
        <v>-960</v>
      </c>
      <c r="H1986" t="s">
        <v>58</v>
      </c>
    </row>
    <row r="1987" spans="1:8" x14ac:dyDescent="0.3">
      <c r="A1987">
        <v>177</v>
      </c>
      <c r="B1987" s="5">
        <v>43910</v>
      </c>
      <c r="C1987" t="s">
        <v>10</v>
      </c>
      <c r="D1987">
        <v>948</v>
      </c>
      <c r="E1987">
        <v>-1053</v>
      </c>
      <c r="F1987" s="5">
        <v>43891</v>
      </c>
      <c r="G1987">
        <v>948</v>
      </c>
      <c r="H1987" t="s">
        <v>58</v>
      </c>
    </row>
    <row r="1988" spans="1:8" x14ac:dyDescent="0.3">
      <c r="A1988">
        <v>177</v>
      </c>
      <c r="B1988" s="5">
        <v>43911</v>
      </c>
      <c r="C1988" t="s">
        <v>10</v>
      </c>
      <c r="D1988">
        <v>411</v>
      </c>
      <c r="E1988">
        <v>-642</v>
      </c>
      <c r="F1988" s="5">
        <v>43891</v>
      </c>
      <c r="G1988">
        <v>411</v>
      </c>
      <c r="H1988" t="s">
        <v>58</v>
      </c>
    </row>
    <row r="1989" spans="1:8" x14ac:dyDescent="0.3">
      <c r="A1989">
        <v>177</v>
      </c>
      <c r="B1989" s="5">
        <v>43913</v>
      </c>
      <c r="C1989" t="s">
        <v>10</v>
      </c>
      <c r="D1989">
        <v>772</v>
      </c>
      <c r="E1989">
        <v>130</v>
      </c>
      <c r="F1989" s="5">
        <v>43891</v>
      </c>
      <c r="G1989">
        <v>772</v>
      </c>
      <c r="H1989" t="s">
        <v>57</v>
      </c>
    </row>
    <row r="1990" spans="1:8" x14ac:dyDescent="0.3">
      <c r="A1990">
        <v>177</v>
      </c>
      <c r="B1990" s="5">
        <v>43918</v>
      </c>
      <c r="C1990" t="s">
        <v>10</v>
      </c>
      <c r="D1990">
        <v>499</v>
      </c>
      <c r="E1990">
        <v>629</v>
      </c>
      <c r="F1990" s="5">
        <v>43891</v>
      </c>
      <c r="G1990">
        <v>499</v>
      </c>
      <c r="H1990" t="s">
        <v>57</v>
      </c>
    </row>
    <row r="1991" spans="1:8" x14ac:dyDescent="0.3">
      <c r="A1991">
        <v>177</v>
      </c>
      <c r="B1991" s="5">
        <v>43920</v>
      </c>
      <c r="C1991" t="s">
        <v>10</v>
      </c>
      <c r="D1991">
        <v>171</v>
      </c>
      <c r="E1991">
        <v>800</v>
      </c>
      <c r="F1991" s="5">
        <v>43891</v>
      </c>
      <c r="G1991">
        <v>171</v>
      </c>
      <c r="H1991" t="s">
        <v>57</v>
      </c>
    </row>
    <row r="1992" spans="1:8" x14ac:dyDescent="0.3">
      <c r="A1992">
        <v>177</v>
      </c>
      <c r="B1992" s="5">
        <v>43922</v>
      </c>
      <c r="C1992" t="s">
        <v>11</v>
      </c>
      <c r="D1992">
        <v>985</v>
      </c>
      <c r="E1992">
        <v>-185</v>
      </c>
      <c r="F1992" s="5">
        <v>43922</v>
      </c>
      <c r="G1992">
        <v>-985</v>
      </c>
      <c r="H1992" t="s">
        <v>58</v>
      </c>
    </row>
    <row r="1993" spans="1:8" x14ac:dyDescent="0.3">
      <c r="A1993">
        <v>177</v>
      </c>
      <c r="B1993" s="5">
        <v>43936</v>
      </c>
      <c r="C1993" t="s">
        <v>11</v>
      </c>
      <c r="D1993">
        <v>789</v>
      </c>
      <c r="E1993">
        <v>-974</v>
      </c>
      <c r="F1993" s="5">
        <v>43922</v>
      </c>
      <c r="G1993">
        <v>-789</v>
      </c>
      <c r="H1993" t="s">
        <v>58</v>
      </c>
    </row>
    <row r="1994" spans="1:8" x14ac:dyDescent="0.3">
      <c r="A1994">
        <v>178</v>
      </c>
      <c r="B1994" s="5">
        <v>43853</v>
      </c>
      <c r="C1994" t="s">
        <v>10</v>
      </c>
      <c r="D1994">
        <v>176</v>
      </c>
      <c r="E1994">
        <v>176</v>
      </c>
      <c r="F1994" s="5">
        <v>43831</v>
      </c>
      <c r="G1994">
        <v>176</v>
      </c>
      <c r="H1994" t="s">
        <v>57</v>
      </c>
    </row>
    <row r="1995" spans="1:8" x14ac:dyDescent="0.3">
      <c r="A1995">
        <v>178</v>
      </c>
      <c r="B1995" s="5">
        <v>43853</v>
      </c>
      <c r="C1995" t="s">
        <v>10</v>
      </c>
      <c r="D1995">
        <v>76</v>
      </c>
      <c r="E1995">
        <v>252</v>
      </c>
      <c r="F1995" s="5">
        <v>43831</v>
      </c>
      <c r="G1995">
        <v>76</v>
      </c>
      <c r="H1995" t="s">
        <v>57</v>
      </c>
    </row>
    <row r="1996" spans="1:8" x14ac:dyDescent="0.3">
      <c r="A1996">
        <v>178</v>
      </c>
      <c r="B1996" s="5">
        <v>43864</v>
      </c>
      <c r="C1996" t="s">
        <v>12</v>
      </c>
      <c r="D1996">
        <v>234</v>
      </c>
      <c r="E1996">
        <v>18</v>
      </c>
      <c r="F1996" s="5">
        <v>43862</v>
      </c>
      <c r="G1996">
        <v>-234</v>
      </c>
      <c r="H1996" t="s">
        <v>57</v>
      </c>
    </row>
    <row r="1997" spans="1:8" x14ac:dyDescent="0.3">
      <c r="A1997">
        <v>178</v>
      </c>
      <c r="B1997" s="5">
        <v>43871</v>
      </c>
      <c r="C1997" t="s">
        <v>10</v>
      </c>
      <c r="D1997">
        <v>23</v>
      </c>
      <c r="E1997">
        <v>41</v>
      </c>
      <c r="F1997" s="5">
        <v>43862</v>
      </c>
      <c r="G1997">
        <v>23</v>
      </c>
      <c r="H1997" t="s">
        <v>57</v>
      </c>
    </row>
    <row r="1998" spans="1:8" x14ac:dyDescent="0.3">
      <c r="A1998">
        <v>178</v>
      </c>
      <c r="B1998" s="5">
        <v>43875</v>
      </c>
      <c r="C1998" t="s">
        <v>11</v>
      </c>
      <c r="D1998">
        <v>97</v>
      </c>
      <c r="E1998">
        <v>-56</v>
      </c>
      <c r="F1998" s="5">
        <v>43862</v>
      </c>
      <c r="G1998">
        <v>-97</v>
      </c>
      <c r="H1998" t="s">
        <v>58</v>
      </c>
    </row>
    <row r="1999" spans="1:8" x14ac:dyDescent="0.3">
      <c r="A1999">
        <v>178</v>
      </c>
      <c r="B1999" s="5">
        <v>43878</v>
      </c>
      <c r="C1999" t="s">
        <v>10</v>
      </c>
      <c r="D1999">
        <v>443</v>
      </c>
      <c r="E1999">
        <v>387</v>
      </c>
      <c r="F1999" s="5">
        <v>43862</v>
      </c>
      <c r="G1999">
        <v>443</v>
      </c>
      <c r="H1999" t="s">
        <v>57</v>
      </c>
    </row>
    <row r="2000" spans="1:8" x14ac:dyDescent="0.3">
      <c r="A2000">
        <v>178</v>
      </c>
      <c r="B2000" s="5">
        <v>43900</v>
      </c>
      <c r="C2000" t="s">
        <v>12</v>
      </c>
      <c r="D2000">
        <v>387</v>
      </c>
      <c r="E2000">
        <v>0</v>
      </c>
      <c r="F2000" s="5">
        <v>43891</v>
      </c>
      <c r="G2000">
        <v>-387</v>
      </c>
      <c r="H2000" t="s">
        <v>57</v>
      </c>
    </row>
    <row r="2001" spans="1:8" x14ac:dyDescent="0.3">
      <c r="A2001">
        <v>178</v>
      </c>
      <c r="B2001" s="5">
        <v>43900</v>
      </c>
      <c r="C2001" t="s">
        <v>10</v>
      </c>
      <c r="D2001">
        <v>800</v>
      </c>
      <c r="E2001">
        <v>800</v>
      </c>
      <c r="F2001" s="5">
        <v>43891</v>
      </c>
      <c r="G2001">
        <v>800</v>
      </c>
      <c r="H2001" t="s">
        <v>57</v>
      </c>
    </row>
    <row r="2002" spans="1:8" x14ac:dyDescent="0.3">
      <c r="A2002">
        <v>178</v>
      </c>
      <c r="B2002" s="5">
        <v>43907</v>
      </c>
      <c r="C2002" t="s">
        <v>12</v>
      </c>
      <c r="D2002">
        <v>147</v>
      </c>
      <c r="E2002">
        <v>653</v>
      </c>
      <c r="F2002" s="5">
        <v>43891</v>
      </c>
      <c r="G2002">
        <v>-147</v>
      </c>
      <c r="H2002" t="s">
        <v>57</v>
      </c>
    </row>
    <row r="2003" spans="1:8" x14ac:dyDescent="0.3">
      <c r="A2003">
        <v>178</v>
      </c>
      <c r="B2003" s="5">
        <v>43909</v>
      </c>
      <c r="C2003" t="s">
        <v>11</v>
      </c>
      <c r="D2003">
        <v>244</v>
      </c>
      <c r="E2003">
        <v>409</v>
      </c>
      <c r="F2003" s="5">
        <v>43891</v>
      </c>
      <c r="G2003">
        <v>-244</v>
      </c>
      <c r="H2003" t="s">
        <v>57</v>
      </c>
    </row>
    <row r="2004" spans="1:8" x14ac:dyDescent="0.3">
      <c r="A2004">
        <v>178</v>
      </c>
      <c r="B2004" s="5">
        <v>43915</v>
      </c>
      <c r="C2004" t="s">
        <v>12</v>
      </c>
      <c r="D2004">
        <v>19</v>
      </c>
      <c r="E2004">
        <v>390</v>
      </c>
      <c r="F2004" s="5">
        <v>43891</v>
      </c>
      <c r="G2004">
        <v>-19</v>
      </c>
      <c r="H2004" t="s">
        <v>57</v>
      </c>
    </row>
    <row r="2005" spans="1:8" x14ac:dyDescent="0.3">
      <c r="A2005">
        <v>178</v>
      </c>
      <c r="B2005" s="5">
        <v>43929</v>
      </c>
      <c r="C2005" t="s">
        <v>12</v>
      </c>
      <c r="D2005">
        <v>500</v>
      </c>
      <c r="E2005">
        <v>-110</v>
      </c>
      <c r="F2005" s="5">
        <v>43922</v>
      </c>
      <c r="G2005">
        <v>-500</v>
      </c>
      <c r="H2005" t="s">
        <v>58</v>
      </c>
    </row>
    <row r="2006" spans="1:8" x14ac:dyDescent="0.3">
      <c r="A2006">
        <v>178</v>
      </c>
      <c r="B2006" s="5">
        <v>43936</v>
      </c>
      <c r="C2006" t="s">
        <v>11</v>
      </c>
      <c r="D2006">
        <v>898</v>
      </c>
      <c r="E2006">
        <v>-1008</v>
      </c>
      <c r="F2006" s="5">
        <v>43922</v>
      </c>
      <c r="G2006">
        <v>-898</v>
      </c>
      <c r="H2006" t="s">
        <v>58</v>
      </c>
    </row>
    <row r="2007" spans="1:8" x14ac:dyDescent="0.3">
      <c r="A2007">
        <v>178</v>
      </c>
      <c r="B2007" s="5">
        <v>43940</v>
      </c>
      <c r="C2007" t="s">
        <v>11</v>
      </c>
      <c r="D2007">
        <v>975</v>
      </c>
      <c r="E2007">
        <v>-1983</v>
      </c>
      <c r="F2007" s="5">
        <v>43922</v>
      </c>
      <c r="G2007">
        <v>-975</v>
      </c>
      <c r="H2007" t="s">
        <v>58</v>
      </c>
    </row>
    <row r="2008" spans="1:8" x14ac:dyDescent="0.3">
      <c r="A2008">
        <v>179</v>
      </c>
      <c r="B2008" s="5">
        <v>43835</v>
      </c>
      <c r="C2008" t="s">
        <v>10</v>
      </c>
      <c r="D2008">
        <v>19</v>
      </c>
      <c r="E2008">
        <v>19</v>
      </c>
      <c r="F2008" s="5">
        <v>43831</v>
      </c>
      <c r="G2008">
        <v>19</v>
      </c>
      <c r="H2008" t="s">
        <v>57</v>
      </c>
    </row>
    <row r="2009" spans="1:8" x14ac:dyDescent="0.3">
      <c r="A2009">
        <v>179</v>
      </c>
      <c r="B2009" s="5">
        <v>43841</v>
      </c>
      <c r="C2009" t="s">
        <v>11</v>
      </c>
      <c r="D2009">
        <v>892</v>
      </c>
      <c r="E2009">
        <v>-873</v>
      </c>
      <c r="F2009" s="5">
        <v>43831</v>
      </c>
      <c r="G2009">
        <v>-892</v>
      </c>
      <c r="H2009" t="s">
        <v>58</v>
      </c>
    </row>
    <row r="2010" spans="1:8" x14ac:dyDescent="0.3">
      <c r="A2010">
        <v>179</v>
      </c>
      <c r="B2010" s="5">
        <v>43843</v>
      </c>
      <c r="C2010" t="s">
        <v>10</v>
      </c>
      <c r="D2010">
        <v>470</v>
      </c>
      <c r="E2010">
        <v>-403</v>
      </c>
      <c r="F2010" s="5">
        <v>43831</v>
      </c>
      <c r="G2010">
        <v>470</v>
      </c>
      <c r="H2010" t="s">
        <v>58</v>
      </c>
    </row>
    <row r="2011" spans="1:8" x14ac:dyDescent="0.3">
      <c r="A2011">
        <v>179</v>
      </c>
      <c r="B2011" s="5">
        <v>43844</v>
      </c>
      <c r="C2011" t="s">
        <v>11</v>
      </c>
      <c r="D2011">
        <v>882</v>
      </c>
      <c r="E2011">
        <v>-1285</v>
      </c>
      <c r="F2011" s="5">
        <v>43831</v>
      </c>
      <c r="G2011">
        <v>-882</v>
      </c>
      <c r="H2011" t="s">
        <v>58</v>
      </c>
    </row>
    <row r="2012" spans="1:8" x14ac:dyDescent="0.3">
      <c r="A2012">
        <v>179</v>
      </c>
      <c r="B2012" s="5">
        <v>43856</v>
      </c>
      <c r="C2012" t="s">
        <v>10</v>
      </c>
      <c r="D2012">
        <v>58</v>
      </c>
      <c r="E2012">
        <v>-1227</v>
      </c>
      <c r="F2012" s="5">
        <v>43831</v>
      </c>
      <c r="G2012">
        <v>58</v>
      </c>
      <c r="H2012" t="s">
        <v>58</v>
      </c>
    </row>
    <row r="2013" spans="1:8" x14ac:dyDescent="0.3">
      <c r="A2013">
        <v>179</v>
      </c>
      <c r="B2013" s="5">
        <v>43856</v>
      </c>
      <c r="C2013" t="s">
        <v>12</v>
      </c>
      <c r="D2013">
        <v>488</v>
      </c>
      <c r="E2013">
        <v>-1715</v>
      </c>
      <c r="F2013" s="5">
        <v>43831</v>
      </c>
      <c r="G2013">
        <v>-488</v>
      </c>
      <c r="H2013" t="s">
        <v>58</v>
      </c>
    </row>
    <row r="2014" spans="1:8" x14ac:dyDescent="0.3">
      <c r="A2014">
        <v>179</v>
      </c>
      <c r="B2014" s="5">
        <v>43858</v>
      </c>
      <c r="C2014" t="s">
        <v>12</v>
      </c>
      <c r="D2014">
        <v>39</v>
      </c>
      <c r="E2014">
        <v>-1754</v>
      </c>
      <c r="F2014" s="5">
        <v>43831</v>
      </c>
      <c r="G2014">
        <v>-39</v>
      </c>
      <c r="H2014" t="s">
        <v>58</v>
      </c>
    </row>
    <row r="2015" spans="1:8" x14ac:dyDescent="0.3">
      <c r="A2015">
        <v>179</v>
      </c>
      <c r="B2015" s="5">
        <v>43862</v>
      </c>
      <c r="C2015" t="s">
        <v>11</v>
      </c>
      <c r="D2015">
        <v>752</v>
      </c>
      <c r="E2015">
        <v>-2506</v>
      </c>
      <c r="F2015" s="5">
        <v>43862</v>
      </c>
      <c r="G2015">
        <v>-752</v>
      </c>
      <c r="H2015" t="s">
        <v>58</v>
      </c>
    </row>
    <row r="2016" spans="1:8" x14ac:dyDescent="0.3">
      <c r="A2016">
        <v>179</v>
      </c>
      <c r="B2016" s="5">
        <v>43866</v>
      </c>
      <c r="C2016" t="s">
        <v>12</v>
      </c>
      <c r="D2016">
        <v>106</v>
      </c>
      <c r="E2016">
        <v>-2612</v>
      </c>
      <c r="F2016" s="5">
        <v>43862</v>
      </c>
      <c r="G2016">
        <v>-106</v>
      </c>
      <c r="H2016" t="s">
        <v>58</v>
      </c>
    </row>
    <row r="2017" spans="1:8" x14ac:dyDescent="0.3">
      <c r="A2017">
        <v>179</v>
      </c>
      <c r="B2017" s="5">
        <v>43870</v>
      </c>
      <c r="C2017" t="s">
        <v>11</v>
      </c>
      <c r="D2017">
        <v>638</v>
      </c>
      <c r="E2017">
        <v>-3250</v>
      </c>
      <c r="F2017" s="5">
        <v>43862</v>
      </c>
      <c r="G2017">
        <v>-638</v>
      </c>
      <c r="H2017" t="s">
        <v>58</v>
      </c>
    </row>
    <row r="2018" spans="1:8" x14ac:dyDescent="0.3">
      <c r="A2018">
        <v>179</v>
      </c>
      <c r="B2018" s="5">
        <v>43871</v>
      </c>
      <c r="C2018" t="s">
        <v>11</v>
      </c>
      <c r="D2018">
        <v>384</v>
      </c>
      <c r="E2018">
        <v>-3634</v>
      </c>
      <c r="F2018" s="5">
        <v>43862</v>
      </c>
      <c r="G2018">
        <v>-384</v>
      </c>
      <c r="H2018" t="s">
        <v>58</v>
      </c>
    </row>
    <row r="2019" spans="1:8" x14ac:dyDescent="0.3">
      <c r="A2019">
        <v>179</v>
      </c>
      <c r="B2019" s="5">
        <v>43876</v>
      </c>
      <c r="C2019" t="s">
        <v>12</v>
      </c>
      <c r="D2019">
        <v>443</v>
      </c>
      <c r="E2019">
        <v>-4077</v>
      </c>
      <c r="F2019" s="5">
        <v>43862</v>
      </c>
      <c r="G2019">
        <v>-443</v>
      </c>
      <c r="H2019" t="s">
        <v>58</v>
      </c>
    </row>
    <row r="2020" spans="1:8" x14ac:dyDescent="0.3">
      <c r="A2020">
        <v>179</v>
      </c>
      <c r="B2020" s="5">
        <v>43876</v>
      </c>
      <c r="C2020" t="s">
        <v>10</v>
      </c>
      <c r="D2020">
        <v>691</v>
      </c>
      <c r="E2020">
        <v>-3386</v>
      </c>
      <c r="F2020" s="5">
        <v>43862</v>
      </c>
      <c r="G2020">
        <v>691</v>
      </c>
      <c r="H2020" t="s">
        <v>58</v>
      </c>
    </row>
    <row r="2021" spans="1:8" x14ac:dyDescent="0.3">
      <c r="A2021">
        <v>179</v>
      </c>
      <c r="B2021" s="5">
        <v>43895</v>
      </c>
      <c r="C2021" t="s">
        <v>11</v>
      </c>
      <c r="D2021">
        <v>300</v>
      </c>
      <c r="E2021">
        <v>-3686</v>
      </c>
      <c r="F2021" s="5">
        <v>43891</v>
      </c>
      <c r="G2021">
        <v>-300</v>
      </c>
      <c r="H2021" t="s">
        <v>58</v>
      </c>
    </row>
    <row r="2022" spans="1:8" x14ac:dyDescent="0.3">
      <c r="A2022">
        <v>179</v>
      </c>
      <c r="B2022" s="5">
        <v>43895</v>
      </c>
      <c r="C2022" t="s">
        <v>12</v>
      </c>
      <c r="D2022">
        <v>740</v>
      </c>
      <c r="E2022">
        <v>-4426</v>
      </c>
      <c r="F2022" s="5">
        <v>43891</v>
      </c>
      <c r="G2022">
        <v>-740</v>
      </c>
      <c r="H2022" t="s">
        <v>58</v>
      </c>
    </row>
    <row r="2023" spans="1:8" x14ac:dyDescent="0.3">
      <c r="A2023">
        <v>179</v>
      </c>
      <c r="B2023" s="5">
        <v>43901</v>
      </c>
      <c r="C2023" t="s">
        <v>12</v>
      </c>
      <c r="D2023">
        <v>831</v>
      </c>
      <c r="E2023">
        <v>-5257</v>
      </c>
      <c r="F2023" s="5">
        <v>43891</v>
      </c>
      <c r="G2023">
        <v>-831</v>
      </c>
      <c r="H2023" t="s">
        <v>58</v>
      </c>
    </row>
    <row r="2024" spans="1:8" x14ac:dyDescent="0.3">
      <c r="A2024">
        <v>179</v>
      </c>
      <c r="B2024" s="5">
        <v>43904</v>
      </c>
      <c r="C2024" t="s">
        <v>11</v>
      </c>
      <c r="D2024">
        <v>688</v>
      </c>
      <c r="E2024">
        <v>-5945</v>
      </c>
      <c r="F2024" s="5">
        <v>43891</v>
      </c>
      <c r="G2024">
        <v>-688</v>
      </c>
      <c r="H2024" t="s">
        <v>58</v>
      </c>
    </row>
    <row r="2025" spans="1:8" x14ac:dyDescent="0.3">
      <c r="A2025">
        <v>179</v>
      </c>
      <c r="B2025" s="5">
        <v>43907</v>
      </c>
      <c r="C2025" t="s">
        <v>12</v>
      </c>
      <c r="D2025">
        <v>283</v>
      </c>
      <c r="E2025">
        <v>-6228</v>
      </c>
      <c r="F2025" s="5">
        <v>43891</v>
      </c>
      <c r="G2025">
        <v>-283</v>
      </c>
      <c r="H2025" t="s">
        <v>58</v>
      </c>
    </row>
    <row r="2026" spans="1:8" x14ac:dyDescent="0.3">
      <c r="A2026">
        <v>179</v>
      </c>
      <c r="B2026" s="5">
        <v>43909</v>
      </c>
      <c r="C2026" t="s">
        <v>11</v>
      </c>
      <c r="D2026">
        <v>597</v>
      </c>
      <c r="E2026">
        <v>-6825</v>
      </c>
      <c r="F2026" s="5">
        <v>43891</v>
      </c>
      <c r="G2026">
        <v>-597</v>
      </c>
      <c r="H2026" t="s">
        <v>58</v>
      </c>
    </row>
    <row r="2027" spans="1:8" x14ac:dyDescent="0.3">
      <c r="A2027">
        <v>179</v>
      </c>
      <c r="B2027" s="5">
        <v>43910</v>
      </c>
      <c r="C2027" t="s">
        <v>10</v>
      </c>
      <c r="D2027">
        <v>516</v>
      </c>
      <c r="E2027">
        <v>-6309</v>
      </c>
      <c r="F2027" s="5">
        <v>43891</v>
      </c>
      <c r="G2027">
        <v>516</v>
      </c>
      <c r="H2027" t="s">
        <v>58</v>
      </c>
    </row>
    <row r="2028" spans="1:8" x14ac:dyDescent="0.3">
      <c r="A2028">
        <v>179</v>
      </c>
      <c r="B2028" s="5">
        <v>43917</v>
      </c>
      <c r="C2028" t="s">
        <v>11</v>
      </c>
      <c r="D2028">
        <v>969</v>
      </c>
      <c r="E2028">
        <v>-7278</v>
      </c>
      <c r="F2028" s="5">
        <v>43891</v>
      </c>
      <c r="G2028">
        <v>-969</v>
      </c>
      <c r="H2028" t="s">
        <v>58</v>
      </c>
    </row>
    <row r="2029" spans="1:8" x14ac:dyDescent="0.3">
      <c r="A2029">
        <v>179</v>
      </c>
      <c r="B2029" s="5">
        <v>43921</v>
      </c>
      <c r="C2029" t="s">
        <v>12</v>
      </c>
      <c r="D2029">
        <v>675</v>
      </c>
      <c r="E2029">
        <v>-7953</v>
      </c>
      <c r="F2029" s="5">
        <v>43891</v>
      </c>
      <c r="G2029">
        <v>-675</v>
      </c>
      <c r="H2029" t="s">
        <v>58</v>
      </c>
    </row>
    <row r="2030" spans="1:8" x14ac:dyDescent="0.3">
      <c r="A2030">
        <v>180</v>
      </c>
      <c r="B2030" s="5">
        <v>43839</v>
      </c>
      <c r="C2030" t="s">
        <v>10</v>
      </c>
      <c r="D2030">
        <v>670</v>
      </c>
      <c r="E2030">
        <v>670</v>
      </c>
      <c r="F2030" s="5">
        <v>43831</v>
      </c>
      <c r="G2030">
        <v>670</v>
      </c>
      <c r="H2030" t="s">
        <v>57</v>
      </c>
    </row>
    <row r="2031" spans="1:8" x14ac:dyDescent="0.3">
      <c r="A2031">
        <v>180</v>
      </c>
      <c r="B2031" s="5">
        <v>43843</v>
      </c>
      <c r="C2031" t="s">
        <v>11</v>
      </c>
      <c r="D2031">
        <v>556</v>
      </c>
      <c r="E2031">
        <v>114</v>
      </c>
      <c r="F2031" s="5">
        <v>43831</v>
      </c>
      <c r="G2031">
        <v>-556</v>
      </c>
      <c r="H2031" t="s">
        <v>57</v>
      </c>
    </row>
    <row r="2032" spans="1:8" x14ac:dyDescent="0.3">
      <c r="A2032">
        <v>180</v>
      </c>
      <c r="B2032" s="5">
        <v>43855</v>
      </c>
      <c r="C2032" t="s">
        <v>12</v>
      </c>
      <c r="D2032">
        <v>952</v>
      </c>
      <c r="E2032">
        <v>-838</v>
      </c>
      <c r="F2032" s="5">
        <v>43831</v>
      </c>
      <c r="G2032">
        <v>-952</v>
      </c>
      <c r="H2032" t="s">
        <v>58</v>
      </c>
    </row>
    <row r="2033" spans="1:8" x14ac:dyDescent="0.3">
      <c r="A2033">
        <v>180</v>
      </c>
      <c r="B2033" s="5">
        <v>43887</v>
      </c>
      <c r="C2033" t="s">
        <v>12</v>
      </c>
      <c r="D2033">
        <v>970</v>
      </c>
      <c r="E2033">
        <v>-1808</v>
      </c>
      <c r="F2033" s="5">
        <v>43862</v>
      </c>
      <c r="G2033">
        <v>-970</v>
      </c>
      <c r="H2033" t="s">
        <v>58</v>
      </c>
    </row>
    <row r="2034" spans="1:8" x14ac:dyDescent="0.3">
      <c r="A2034">
        <v>180</v>
      </c>
      <c r="B2034" s="5">
        <v>43905</v>
      </c>
      <c r="C2034" t="s">
        <v>11</v>
      </c>
      <c r="D2034">
        <v>996</v>
      </c>
      <c r="E2034">
        <v>-2804</v>
      </c>
      <c r="F2034" s="5">
        <v>43891</v>
      </c>
      <c r="G2034">
        <v>-996</v>
      </c>
      <c r="H2034" t="s">
        <v>58</v>
      </c>
    </row>
    <row r="2035" spans="1:8" x14ac:dyDescent="0.3">
      <c r="A2035">
        <v>180</v>
      </c>
      <c r="B2035" s="5">
        <v>43926</v>
      </c>
      <c r="C2035" t="s">
        <v>12</v>
      </c>
      <c r="D2035">
        <v>371</v>
      </c>
      <c r="E2035">
        <v>-3175</v>
      </c>
      <c r="F2035" s="5">
        <v>43922</v>
      </c>
      <c r="G2035">
        <v>-371</v>
      </c>
      <c r="H2035" t="s">
        <v>58</v>
      </c>
    </row>
    <row r="2036" spans="1:8" x14ac:dyDescent="0.3">
      <c r="A2036">
        <v>181</v>
      </c>
      <c r="B2036" s="5">
        <v>43843</v>
      </c>
      <c r="C2036" t="s">
        <v>10</v>
      </c>
      <c r="D2036">
        <v>865</v>
      </c>
      <c r="E2036">
        <v>865</v>
      </c>
      <c r="F2036" s="5">
        <v>43831</v>
      </c>
      <c r="G2036">
        <v>865</v>
      </c>
      <c r="H2036" t="s">
        <v>57</v>
      </c>
    </row>
    <row r="2037" spans="1:8" x14ac:dyDescent="0.3">
      <c r="A2037">
        <v>181</v>
      </c>
      <c r="B2037" s="5">
        <v>43845</v>
      </c>
      <c r="C2037" t="s">
        <v>11</v>
      </c>
      <c r="D2037">
        <v>176</v>
      </c>
      <c r="E2037">
        <v>689</v>
      </c>
      <c r="F2037" s="5">
        <v>43831</v>
      </c>
      <c r="G2037">
        <v>-176</v>
      </c>
      <c r="H2037" t="s">
        <v>57</v>
      </c>
    </row>
    <row r="2038" spans="1:8" x14ac:dyDescent="0.3">
      <c r="A2038">
        <v>181</v>
      </c>
      <c r="B2038" s="5">
        <v>43847</v>
      </c>
      <c r="C2038" t="s">
        <v>12</v>
      </c>
      <c r="D2038">
        <v>370</v>
      </c>
      <c r="E2038">
        <v>319</v>
      </c>
      <c r="F2038" s="5">
        <v>43831</v>
      </c>
      <c r="G2038">
        <v>-370</v>
      </c>
      <c r="H2038" t="s">
        <v>57</v>
      </c>
    </row>
    <row r="2039" spans="1:8" x14ac:dyDescent="0.3">
      <c r="A2039">
        <v>181</v>
      </c>
      <c r="B2039" s="5">
        <v>43852</v>
      </c>
      <c r="C2039" t="s">
        <v>10</v>
      </c>
      <c r="D2039">
        <v>669</v>
      </c>
      <c r="E2039">
        <v>988</v>
      </c>
      <c r="F2039" s="5">
        <v>43831</v>
      </c>
      <c r="G2039">
        <v>669</v>
      </c>
      <c r="H2039" t="s">
        <v>57</v>
      </c>
    </row>
    <row r="2040" spans="1:8" x14ac:dyDescent="0.3">
      <c r="A2040">
        <v>181</v>
      </c>
      <c r="B2040" s="5">
        <v>43856</v>
      </c>
      <c r="C2040" t="s">
        <v>12</v>
      </c>
      <c r="D2040">
        <v>165</v>
      </c>
      <c r="E2040">
        <v>823</v>
      </c>
      <c r="F2040" s="5">
        <v>43831</v>
      </c>
      <c r="G2040">
        <v>-165</v>
      </c>
      <c r="H2040" t="s">
        <v>57</v>
      </c>
    </row>
    <row r="2041" spans="1:8" x14ac:dyDescent="0.3">
      <c r="A2041">
        <v>181</v>
      </c>
      <c r="B2041" s="5">
        <v>43859</v>
      </c>
      <c r="C2041" t="s">
        <v>12</v>
      </c>
      <c r="D2041">
        <v>870</v>
      </c>
      <c r="E2041">
        <v>-47</v>
      </c>
      <c r="F2041" s="5">
        <v>43831</v>
      </c>
      <c r="G2041">
        <v>-870</v>
      </c>
      <c r="H2041" t="s">
        <v>58</v>
      </c>
    </row>
    <row r="2042" spans="1:8" x14ac:dyDescent="0.3">
      <c r="A2042">
        <v>181</v>
      </c>
      <c r="B2042" s="5">
        <v>43867</v>
      </c>
      <c r="C2042" t="s">
        <v>11</v>
      </c>
      <c r="D2042">
        <v>712</v>
      </c>
      <c r="E2042">
        <v>-759</v>
      </c>
      <c r="F2042" s="5">
        <v>43862</v>
      </c>
      <c r="G2042">
        <v>-712</v>
      </c>
      <c r="H2042" t="s">
        <v>58</v>
      </c>
    </row>
    <row r="2043" spans="1:8" x14ac:dyDescent="0.3">
      <c r="A2043">
        <v>181</v>
      </c>
      <c r="B2043" s="5">
        <v>43871</v>
      </c>
      <c r="C2043" t="s">
        <v>11</v>
      </c>
      <c r="D2043">
        <v>674</v>
      </c>
      <c r="E2043">
        <v>-1433</v>
      </c>
      <c r="F2043" s="5">
        <v>43862</v>
      </c>
      <c r="G2043">
        <v>-674</v>
      </c>
      <c r="H2043" t="s">
        <v>58</v>
      </c>
    </row>
    <row r="2044" spans="1:8" x14ac:dyDescent="0.3">
      <c r="A2044">
        <v>181</v>
      </c>
      <c r="B2044" s="5">
        <v>43874</v>
      </c>
      <c r="C2044" t="s">
        <v>10</v>
      </c>
      <c r="D2044">
        <v>880</v>
      </c>
      <c r="E2044">
        <v>-553</v>
      </c>
      <c r="F2044" s="5">
        <v>43862</v>
      </c>
      <c r="G2044">
        <v>880</v>
      </c>
      <c r="H2044" t="s">
        <v>58</v>
      </c>
    </row>
    <row r="2045" spans="1:8" x14ac:dyDescent="0.3">
      <c r="A2045">
        <v>181</v>
      </c>
      <c r="B2045" s="5">
        <v>43878</v>
      </c>
      <c r="C2045" t="s">
        <v>11</v>
      </c>
      <c r="D2045">
        <v>673</v>
      </c>
      <c r="E2045">
        <v>-1226</v>
      </c>
      <c r="F2045" s="5">
        <v>43862</v>
      </c>
      <c r="G2045">
        <v>-673</v>
      </c>
      <c r="H2045" t="s">
        <v>58</v>
      </c>
    </row>
    <row r="2046" spans="1:8" x14ac:dyDescent="0.3">
      <c r="A2046">
        <v>181</v>
      </c>
      <c r="B2046" s="5">
        <v>43885</v>
      </c>
      <c r="C2046" t="s">
        <v>10</v>
      </c>
      <c r="D2046">
        <v>576</v>
      </c>
      <c r="E2046">
        <v>-650</v>
      </c>
      <c r="F2046" s="5">
        <v>43862</v>
      </c>
      <c r="G2046">
        <v>576</v>
      </c>
      <c r="H2046" t="s">
        <v>58</v>
      </c>
    </row>
    <row r="2047" spans="1:8" x14ac:dyDescent="0.3">
      <c r="A2047">
        <v>181</v>
      </c>
      <c r="B2047" s="5">
        <v>43886</v>
      </c>
      <c r="C2047" t="s">
        <v>10</v>
      </c>
      <c r="D2047">
        <v>596</v>
      </c>
      <c r="E2047">
        <v>-54</v>
      </c>
      <c r="F2047" s="5">
        <v>43862</v>
      </c>
      <c r="G2047">
        <v>596</v>
      </c>
      <c r="H2047" t="s">
        <v>58</v>
      </c>
    </row>
    <row r="2048" spans="1:8" x14ac:dyDescent="0.3">
      <c r="A2048">
        <v>181</v>
      </c>
      <c r="B2048" s="5">
        <v>43887</v>
      </c>
      <c r="C2048" t="s">
        <v>11</v>
      </c>
      <c r="D2048">
        <v>789</v>
      </c>
      <c r="E2048">
        <v>-843</v>
      </c>
      <c r="F2048" s="5">
        <v>43862</v>
      </c>
      <c r="G2048">
        <v>-789</v>
      </c>
      <c r="H2048" t="s">
        <v>58</v>
      </c>
    </row>
    <row r="2049" spans="1:8" x14ac:dyDescent="0.3">
      <c r="A2049">
        <v>181</v>
      </c>
      <c r="B2049" s="5">
        <v>43902</v>
      </c>
      <c r="C2049" t="s">
        <v>12</v>
      </c>
      <c r="D2049">
        <v>349</v>
      </c>
      <c r="E2049">
        <v>-1192</v>
      </c>
      <c r="F2049" s="5">
        <v>43891</v>
      </c>
      <c r="G2049">
        <v>-349</v>
      </c>
      <c r="H2049" t="s">
        <v>58</v>
      </c>
    </row>
    <row r="2050" spans="1:8" x14ac:dyDescent="0.3">
      <c r="A2050">
        <v>181</v>
      </c>
      <c r="B2050" s="5">
        <v>43912</v>
      </c>
      <c r="C2050" t="s">
        <v>12</v>
      </c>
      <c r="D2050">
        <v>365</v>
      </c>
      <c r="E2050">
        <v>-1557</v>
      </c>
      <c r="F2050" s="5">
        <v>43891</v>
      </c>
      <c r="G2050">
        <v>-365</v>
      </c>
      <c r="H2050" t="s">
        <v>58</v>
      </c>
    </row>
    <row r="2051" spans="1:8" x14ac:dyDescent="0.3">
      <c r="A2051">
        <v>181</v>
      </c>
      <c r="B2051" s="5">
        <v>43913</v>
      </c>
      <c r="C2051" t="s">
        <v>12</v>
      </c>
      <c r="D2051">
        <v>384</v>
      </c>
      <c r="E2051">
        <v>-1941</v>
      </c>
      <c r="F2051" s="5">
        <v>43891</v>
      </c>
      <c r="G2051">
        <v>-384</v>
      </c>
      <c r="H2051" t="s">
        <v>58</v>
      </c>
    </row>
    <row r="2052" spans="1:8" x14ac:dyDescent="0.3">
      <c r="A2052">
        <v>181</v>
      </c>
      <c r="B2052" s="5">
        <v>43914</v>
      </c>
      <c r="C2052" t="s">
        <v>11</v>
      </c>
      <c r="D2052">
        <v>339</v>
      </c>
      <c r="E2052">
        <v>-2280</v>
      </c>
      <c r="F2052" s="5">
        <v>43891</v>
      </c>
      <c r="G2052">
        <v>-339</v>
      </c>
      <c r="H2052" t="s">
        <v>58</v>
      </c>
    </row>
    <row r="2053" spans="1:8" x14ac:dyDescent="0.3">
      <c r="A2053">
        <v>181</v>
      </c>
      <c r="B2053" s="5">
        <v>43917</v>
      </c>
      <c r="C2053" t="s">
        <v>12</v>
      </c>
      <c r="D2053">
        <v>360</v>
      </c>
      <c r="E2053">
        <v>-2640</v>
      </c>
      <c r="F2053" s="5">
        <v>43891</v>
      </c>
      <c r="G2053">
        <v>-360</v>
      </c>
      <c r="H2053" t="s">
        <v>58</v>
      </c>
    </row>
    <row r="2054" spans="1:8" x14ac:dyDescent="0.3">
      <c r="A2054">
        <v>182</v>
      </c>
      <c r="B2054" s="5">
        <v>43838</v>
      </c>
      <c r="C2054" t="s">
        <v>10</v>
      </c>
      <c r="D2054">
        <v>97</v>
      </c>
      <c r="E2054">
        <v>97</v>
      </c>
      <c r="F2054" s="5">
        <v>43831</v>
      </c>
      <c r="G2054">
        <v>97</v>
      </c>
      <c r="H2054" t="s">
        <v>57</v>
      </c>
    </row>
    <row r="2055" spans="1:8" x14ac:dyDescent="0.3">
      <c r="A2055">
        <v>182</v>
      </c>
      <c r="B2055" s="5">
        <v>43865</v>
      </c>
      <c r="C2055" t="s">
        <v>11</v>
      </c>
      <c r="D2055">
        <v>868</v>
      </c>
      <c r="E2055">
        <v>-771</v>
      </c>
      <c r="F2055" s="5">
        <v>43862</v>
      </c>
      <c r="G2055">
        <v>-868</v>
      </c>
      <c r="H2055" t="s">
        <v>58</v>
      </c>
    </row>
    <row r="2056" spans="1:8" x14ac:dyDescent="0.3">
      <c r="A2056">
        <v>182</v>
      </c>
      <c r="B2056" s="5">
        <v>43884</v>
      </c>
      <c r="C2056" t="s">
        <v>10</v>
      </c>
      <c r="D2056">
        <v>447</v>
      </c>
      <c r="E2056">
        <v>-324</v>
      </c>
      <c r="F2056" s="5">
        <v>43862</v>
      </c>
      <c r="G2056">
        <v>447</v>
      </c>
      <c r="H2056" t="s">
        <v>58</v>
      </c>
    </row>
    <row r="2057" spans="1:8" x14ac:dyDescent="0.3">
      <c r="A2057">
        <v>182</v>
      </c>
      <c r="B2057" s="5">
        <v>43885</v>
      </c>
      <c r="C2057" t="s">
        <v>12</v>
      </c>
      <c r="D2057">
        <v>321</v>
      </c>
      <c r="E2057">
        <v>-645</v>
      </c>
      <c r="F2057" s="5">
        <v>43862</v>
      </c>
      <c r="G2057">
        <v>-321</v>
      </c>
      <c r="H2057" t="s">
        <v>58</v>
      </c>
    </row>
    <row r="2058" spans="1:8" x14ac:dyDescent="0.3">
      <c r="A2058">
        <v>182</v>
      </c>
      <c r="B2058" s="5">
        <v>43886</v>
      </c>
      <c r="C2058" t="s">
        <v>10</v>
      </c>
      <c r="D2058">
        <v>600</v>
      </c>
      <c r="E2058">
        <v>-45</v>
      </c>
      <c r="F2058" s="5">
        <v>43862</v>
      </c>
      <c r="G2058">
        <v>600</v>
      </c>
      <c r="H2058" t="s">
        <v>58</v>
      </c>
    </row>
    <row r="2059" spans="1:8" x14ac:dyDescent="0.3">
      <c r="A2059">
        <v>182</v>
      </c>
      <c r="B2059" s="5">
        <v>43906</v>
      </c>
      <c r="C2059" t="s">
        <v>12</v>
      </c>
      <c r="D2059">
        <v>798</v>
      </c>
      <c r="E2059">
        <v>-843</v>
      </c>
      <c r="F2059" s="5">
        <v>43891</v>
      </c>
      <c r="G2059">
        <v>-798</v>
      </c>
      <c r="H2059" t="s">
        <v>58</v>
      </c>
    </row>
    <row r="2060" spans="1:8" x14ac:dyDescent="0.3">
      <c r="A2060">
        <v>182</v>
      </c>
      <c r="B2060" s="5">
        <v>43922</v>
      </c>
      <c r="C2060" t="s">
        <v>12</v>
      </c>
      <c r="D2060">
        <v>239</v>
      </c>
      <c r="E2060">
        <v>-1082</v>
      </c>
      <c r="F2060" s="5">
        <v>43922</v>
      </c>
      <c r="G2060">
        <v>-239</v>
      </c>
      <c r="H2060" t="s">
        <v>58</v>
      </c>
    </row>
    <row r="2061" spans="1:8" x14ac:dyDescent="0.3">
      <c r="A2061">
        <v>182</v>
      </c>
      <c r="B2061" s="5">
        <v>43926</v>
      </c>
      <c r="C2061" t="s">
        <v>10</v>
      </c>
      <c r="D2061">
        <v>923</v>
      </c>
      <c r="E2061">
        <v>-159</v>
      </c>
      <c r="F2061" s="5">
        <v>43922</v>
      </c>
      <c r="G2061">
        <v>923</v>
      </c>
      <c r="H2061" t="s">
        <v>58</v>
      </c>
    </row>
    <row r="2062" spans="1:8" x14ac:dyDescent="0.3">
      <c r="A2062">
        <v>183</v>
      </c>
      <c r="B2062" s="5">
        <v>43852</v>
      </c>
      <c r="C2062" t="s">
        <v>10</v>
      </c>
      <c r="D2062">
        <v>101</v>
      </c>
      <c r="E2062">
        <v>101</v>
      </c>
      <c r="F2062" s="5">
        <v>43831</v>
      </c>
      <c r="G2062">
        <v>101</v>
      </c>
      <c r="H2062" t="s">
        <v>57</v>
      </c>
    </row>
    <row r="2063" spans="1:8" x14ac:dyDescent="0.3">
      <c r="A2063">
        <v>183</v>
      </c>
      <c r="B2063" s="5">
        <v>43858</v>
      </c>
      <c r="C2063" t="s">
        <v>11</v>
      </c>
      <c r="D2063">
        <v>392</v>
      </c>
      <c r="E2063">
        <v>-291</v>
      </c>
      <c r="F2063" s="5">
        <v>43831</v>
      </c>
      <c r="G2063">
        <v>-392</v>
      </c>
      <c r="H2063" t="s">
        <v>58</v>
      </c>
    </row>
    <row r="2064" spans="1:8" x14ac:dyDescent="0.3">
      <c r="A2064">
        <v>183</v>
      </c>
      <c r="B2064" s="5">
        <v>43859</v>
      </c>
      <c r="C2064" t="s">
        <v>10</v>
      </c>
      <c r="D2064">
        <v>743</v>
      </c>
      <c r="E2064">
        <v>452</v>
      </c>
      <c r="F2064" s="5">
        <v>43831</v>
      </c>
      <c r="G2064">
        <v>743</v>
      </c>
      <c r="H2064" t="s">
        <v>57</v>
      </c>
    </row>
    <row r="2065" spans="1:8" x14ac:dyDescent="0.3">
      <c r="A2065">
        <v>183</v>
      </c>
      <c r="B2065" s="5">
        <v>43861</v>
      </c>
      <c r="C2065" t="s">
        <v>12</v>
      </c>
      <c r="D2065">
        <v>992</v>
      </c>
      <c r="E2065">
        <v>-540</v>
      </c>
      <c r="F2065" s="5">
        <v>43831</v>
      </c>
      <c r="G2065">
        <v>-992</v>
      </c>
      <c r="H2065" t="s">
        <v>58</v>
      </c>
    </row>
    <row r="2066" spans="1:8" x14ac:dyDescent="0.3">
      <c r="A2066">
        <v>183</v>
      </c>
      <c r="B2066" s="5">
        <v>43870</v>
      </c>
      <c r="C2066" t="s">
        <v>11</v>
      </c>
      <c r="D2066">
        <v>37</v>
      </c>
      <c r="E2066">
        <v>-577</v>
      </c>
      <c r="F2066" s="5">
        <v>43862</v>
      </c>
      <c r="G2066">
        <v>-37</v>
      </c>
      <c r="H2066" t="s">
        <v>58</v>
      </c>
    </row>
    <row r="2067" spans="1:8" x14ac:dyDescent="0.3">
      <c r="A2067">
        <v>183</v>
      </c>
      <c r="B2067" s="5">
        <v>43870</v>
      </c>
      <c r="C2067" t="s">
        <v>12</v>
      </c>
      <c r="D2067">
        <v>435</v>
      </c>
      <c r="E2067">
        <v>-1012</v>
      </c>
      <c r="F2067" s="5">
        <v>43862</v>
      </c>
      <c r="G2067">
        <v>-435</v>
      </c>
      <c r="H2067" t="s">
        <v>58</v>
      </c>
    </row>
    <row r="2068" spans="1:8" x14ac:dyDescent="0.3">
      <c r="A2068">
        <v>183</v>
      </c>
      <c r="B2068" s="5">
        <v>43873</v>
      </c>
      <c r="C2068" t="s">
        <v>11</v>
      </c>
      <c r="D2068">
        <v>876</v>
      </c>
      <c r="E2068">
        <v>-1888</v>
      </c>
      <c r="F2068" s="5">
        <v>43862</v>
      </c>
      <c r="G2068">
        <v>-876</v>
      </c>
      <c r="H2068" t="s">
        <v>58</v>
      </c>
    </row>
    <row r="2069" spans="1:8" x14ac:dyDescent="0.3">
      <c r="A2069">
        <v>183</v>
      </c>
      <c r="B2069" s="5">
        <v>43874</v>
      </c>
      <c r="C2069" t="s">
        <v>12</v>
      </c>
      <c r="D2069">
        <v>983</v>
      </c>
      <c r="E2069">
        <v>-2871</v>
      </c>
      <c r="F2069" s="5">
        <v>43862</v>
      </c>
      <c r="G2069">
        <v>-983</v>
      </c>
      <c r="H2069" t="s">
        <v>58</v>
      </c>
    </row>
    <row r="2070" spans="1:8" x14ac:dyDescent="0.3">
      <c r="A2070">
        <v>183</v>
      </c>
      <c r="B2070" s="5">
        <v>43889</v>
      </c>
      <c r="C2070" t="s">
        <v>12</v>
      </c>
      <c r="D2070">
        <v>858</v>
      </c>
      <c r="E2070">
        <v>-3729</v>
      </c>
      <c r="F2070" s="5">
        <v>43862</v>
      </c>
      <c r="G2070">
        <v>-858</v>
      </c>
      <c r="H2070" t="s">
        <v>58</v>
      </c>
    </row>
    <row r="2071" spans="1:8" x14ac:dyDescent="0.3">
      <c r="A2071">
        <v>183</v>
      </c>
      <c r="B2071" s="5">
        <v>43897</v>
      </c>
      <c r="C2071" t="s">
        <v>11</v>
      </c>
      <c r="D2071">
        <v>862</v>
      </c>
      <c r="E2071">
        <v>-4591</v>
      </c>
      <c r="F2071" s="5">
        <v>43891</v>
      </c>
      <c r="G2071">
        <v>-862</v>
      </c>
      <c r="H2071" t="s">
        <v>58</v>
      </c>
    </row>
    <row r="2072" spans="1:8" x14ac:dyDescent="0.3">
      <c r="A2072">
        <v>183</v>
      </c>
      <c r="B2072" s="5">
        <v>43897</v>
      </c>
      <c r="C2072" t="s">
        <v>11</v>
      </c>
      <c r="D2072">
        <v>181</v>
      </c>
      <c r="E2072">
        <v>-4772</v>
      </c>
      <c r="F2072" s="5">
        <v>43891</v>
      </c>
      <c r="G2072">
        <v>-181</v>
      </c>
      <c r="H2072" t="s">
        <v>58</v>
      </c>
    </row>
    <row r="2073" spans="1:8" x14ac:dyDescent="0.3">
      <c r="A2073">
        <v>183</v>
      </c>
      <c r="B2073" s="5">
        <v>43899</v>
      </c>
      <c r="C2073" t="s">
        <v>12</v>
      </c>
      <c r="D2073">
        <v>275</v>
      </c>
      <c r="E2073">
        <v>-5047</v>
      </c>
      <c r="F2073" s="5">
        <v>43891</v>
      </c>
      <c r="G2073">
        <v>-275</v>
      </c>
      <c r="H2073" t="s">
        <v>58</v>
      </c>
    </row>
    <row r="2074" spans="1:8" x14ac:dyDescent="0.3">
      <c r="A2074">
        <v>183</v>
      </c>
      <c r="B2074" s="5">
        <v>43908</v>
      </c>
      <c r="C2074" t="s">
        <v>12</v>
      </c>
      <c r="D2074">
        <v>684</v>
      </c>
      <c r="E2074">
        <v>-5731</v>
      </c>
      <c r="F2074" s="5">
        <v>43891</v>
      </c>
      <c r="G2074">
        <v>-684</v>
      </c>
      <c r="H2074" t="s">
        <v>58</v>
      </c>
    </row>
    <row r="2075" spans="1:8" x14ac:dyDescent="0.3">
      <c r="A2075">
        <v>183</v>
      </c>
      <c r="B2075" s="5">
        <v>43913</v>
      </c>
      <c r="C2075" t="s">
        <v>12</v>
      </c>
      <c r="D2075">
        <v>352</v>
      </c>
      <c r="E2075">
        <v>-6083</v>
      </c>
      <c r="F2075" s="5">
        <v>43891</v>
      </c>
      <c r="G2075">
        <v>-352</v>
      </c>
      <c r="H2075" t="s">
        <v>58</v>
      </c>
    </row>
    <row r="2076" spans="1:8" x14ac:dyDescent="0.3">
      <c r="A2076">
        <v>183</v>
      </c>
      <c r="B2076" s="5">
        <v>43922</v>
      </c>
      <c r="C2076" t="s">
        <v>10</v>
      </c>
      <c r="D2076">
        <v>706</v>
      </c>
      <c r="E2076">
        <v>-5377</v>
      </c>
      <c r="F2076" s="5">
        <v>43922</v>
      </c>
      <c r="G2076">
        <v>706</v>
      </c>
      <c r="H2076" t="s">
        <v>58</v>
      </c>
    </row>
    <row r="2077" spans="1:8" x14ac:dyDescent="0.3">
      <c r="A2077">
        <v>183</v>
      </c>
      <c r="B2077" s="5">
        <v>43922</v>
      </c>
      <c r="C2077" t="s">
        <v>12</v>
      </c>
      <c r="D2077">
        <v>22</v>
      </c>
      <c r="E2077">
        <v>-5399</v>
      </c>
      <c r="F2077" s="5">
        <v>43922</v>
      </c>
      <c r="G2077">
        <v>-22</v>
      </c>
      <c r="H2077" t="s">
        <v>58</v>
      </c>
    </row>
    <row r="2078" spans="1:8" x14ac:dyDescent="0.3">
      <c r="A2078">
        <v>183</v>
      </c>
      <c r="B2078" s="5">
        <v>43931</v>
      </c>
      <c r="C2078" t="s">
        <v>10</v>
      </c>
      <c r="D2078">
        <v>173</v>
      </c>
      <c r="E2078">
        <v>-5226</v>
      </c>
      <c r="F2078" s="5">
        <v>43922</v>
      </c>
      <c r="G2078">
        <v>173</v>
      </c>
      <c r="H2078" t="s">
        <v>58</v>
      </c>
    </row>
    <row r="2079" spans="1:8" x14ac:dyDescent="0.3">
      <c r="A2079">
        <v>183</v>
      </c>
      <c r="B2079" s="5">
        <v>43932</v>
      </c>
      <c r="C2079" t="s">
        <v>12</v>
      </c>
      <c r="D2079">
        <v>738</v>
      </c>
      <c r="E2079">
        <v>-5964</v>
      </c>
      <c r="F2079" s="5">
        <v>43922</v>
      </c>
      <c r="G2079">
        <v>-738</v>
      </c>
      <c r="H2079" t="s">
        <v>58</v>
      </c>
    </row>
    <row r="2080" spans="1:8" x14ac:dyDescent="0.3">
      <c r="A2080">
        <v>183</v>
      </c>
      <c r="B2080" s="5">
        <v>43936</v>
      </c>
      <c r="C2080" t="s">
        <v>12</v>
      </c>
      <c r="D2080">
        <v>596</v>
      </c>
      <c r="E2080">
        <v>-6560</v>
      </c>
      <c r="F2080" s="5">
        <v>43922</v>
      </c>
      <c r="G2080">
        <v>-596</v>
      </c>
      <c r="H2080" t="s">
        <v>58</v>
      </c>
    </row>
    <row r="2081" spans="1:8" x14ac:dyDescent="0.3">
      <c r="A2081">
        <v>184</v>
      </c>
      <c r="B2081" s="5">
        <v>43857</v>
      </c>
      <c r="C2081" t="s">
        <v>10</v>
      </c>
      <c r="D2081">
        <v>472</v>
      </c>
      <c r="E2081">
        <v>472</v>
      </c>
      <c r="F2081" s="5">
        <v>43831</v>
      </c>
      <c r="G2081">
        <v>472</v>
      </c>
      <c r="H2081" t="s">
        <v>57</v>
      </c>
    </row>
    <row r="2082" spans="1:8" x14ac:dyDescent="0.3">
      <c r="A2082">
        <v>184</v>
      </c>
      <c r="B2082" s="5">
        <v>43863</v>
      </c>
      <c r="C2082" t="s">
        <v>10</v>
      </c>
      <c r="D2082">
        <v>952</v>
      </c>
      <c r="E2082">
        <v>1424</v>
      </c>
      <c r="F2082" s="5">
        <v>43862</v>
      </c>
      <c r="G2082">
        <v>952</v>
      </c>
      <c r="H2082" t="s">
        <v>57</v>
      </c>
    </row>
    <row r="2083" spans="1:8" x14ac:dyDescent="0.3">
      <c r="A2083">
        <v>184</v>
      </c>
      <c r="B2083" s="5">
        <v>43867</v>
      </c>
      <c r="C2083" t="s">
        <v>11</v>
      </c>
      <c r="D2083">
        <v>807</v>
      </c>
      <c r="E2083">
        <v>617</v>
      </c>
      <c r="F2083" s="5">
        <v>43862</v>
      </c>
      <c r="G2083">
        <v>-807</v>
      </c>
      <c r="H2083" t="s">
        <v>57</v>
      </c>
    </row>
    <row r="2084" spans="1:8" x14ac:dyDescent="0.3">
      <c r="A2084">
        <v>184</v>
      </c>
      <c r="B2084" s="5">
        <v>43871</v>
      </c>
      <c r="C2084" t="s">
        <v>12</v>
      </c>
      <c r="D2084">
        <v>61</v>
      </c>
      <c r="E2084">
        <v>556</v>
      </c>
      <c r="F2084" s="5">
        <v>43862</v>
      </c>
      <c r="G2084">
        <v>-61</v>
      </c>
      <c r="H2084" t="s">
        <v>57</v>
      </c>
    </row>
    <row r="2085" spans="1:8" x14ac:dyDescent="0.3">
      <c r="A2085">
        <v>184</v>
      </c>
      <c r="B2085" s="5">
        <v>43876</v>
      </c>
      <c r="C2085" t="s">
        <v>10</v>
      </c>
      <c r="D2085">
        <v>475</v>
      </c>
      <c r="E2085">
        <v>1031</v>
      </c>
      <c r="F2085" s="5">
        <v>43862</v>
      </c>
      <c r="G2085">
        <v>475</v>
      </c>
      <c r="H2085" t="s">
        <v>57</v>
      </c>
    </row>
    <row r="2086" spans="1:8" x14ac:dyDescent="0.3">
      <c r="A2086">
        <v>184</v>
      </c>
      <c r="B2086" s="5">
        <v>43876</v>
      </c>
      <c r="C2086" t="s">
        <v>11</v>
      </c>
      <c r="D2086">
        <v>713</v>
      </c>
      <c r="E2086">
        <v>318</v>
      </c>
      <c r="F2086" s="5">
        <v>43862</v>
      </c>
      <c r="G2086">
        <v>-713</v>
      </c>
      <c r="H2086" t="s">
        <v>57</v>
      </c>
    </row>
    <row r="2087" spans="1:8" x14ac:dyDescent="0.3">
      <c r="A2087">
        <v>184</v>
      </c>
      <c r="B2087" s="5">
        <v>43878</v>
      </c>
      <c r="C2087" t="s">
        <v>11</v>
      </c>
      <c r="D2087">
        <v>649</v>
      </c>
      <c r="E2087">
        <v>-331</v>
      </c>
      <c r="F2087" s="5">
        <v>43862</v>
      </c>
      <c r="G2087">
        <v>-649</v>
      </c>
      <c r="H2087" t="s">
        <v>58</v>
      </c>
    </row>
    <row r="2088" spans="1:8" x14ac:dyDescent="0.3">
      <c r="A2088">
        <v>184</v>
      </c>
      <c r="B2088" s="5">
        <v>43898</v>
      </c>
      <c r="C2088" t="s">
        <v>11</v>
      </c>
      <c r="D2088">
        <v>483</v>
      </c>
      <c r="E2088">
        <v>-814</v>
      </c>
      <c r="F2088" s="5">
        <v>43891</v>
      </c>
      <c r="G2088">
        <v>-483</v>
      </c>
      <c r="H2088" t="s">
        <v>58</v>
      </c>
    </row>
    <row r="2089" spans="1:8" x14ac:dyDescent="0.3">
      <c r="A2089">
        <v>184</v>
      </c>
      <c r="B2089" s="5">
        <v>43899</v>
      </c>
      <c r="C2089" t="s">
        <v>11</v>
      </c>
      <c r="D2089">
        <v>220</v>
      </c>
      <c r="E2089">
        <v>-1034</v>
      </c>
      <c r="F2089" s="5">
        <v>43891</v>
      </c>
      <c r="G2089">
        <v>-220</v>
      </c>
      <c r="H2089" t="s">
        <v>58</v>
      </c>
    </row>
    <row r="2090" spans="1:8" x14ac:dyDescent="0.3">
      <c r="A2090">
        <v>184</v>
      </c>
      <c r="B2090" s="5">
        <v>43900</v>
      </c>
      <c r="C2090" t="s">
        <v>11</v>
      </c>
      <c r="D2090">
        <v>541</v>
      </c>
      <c r="E2090">
        <v>-1575</v>
      </c>
      <c r="F2090" s="5">
        <v>43891</v>
      </c>
      <c r="G2090">
        <v>-541</v>
      </c>
      <c r="H2090" t="s">
        <v>58</v>
      </c>
    </row>
    <row r="2091" spans="1:8" x14ac:dyDescent="0.3">
      <c r="A2091">
        <v>184</v>
      </c>
      <c r="B2091" s="5">
        <v>43903</v>
      </c>
      <c r="C2091" t="s">
        <v>12</v>
      </c>
      <c r="D2091">
        <v>45</v>
      </c>
      <c r="E2091">
        <v>-1620</v>
      </c>
      <c r="F2091" s="5">
        <v>43891</v>
      </c>
      <c r="G2091">
        <v>-45</v>
      </c>
      <c r="H2091" t="s">
        <v>58</v>
      </c>
    </row>
    <row r="2092" spans="1:8" x14ac:dyDescent="0.3">
      <c r="A2092">
        <v>184</v>
      </c>
      <c r="B2092" s="5">
        <v>43916</v>
      </c>
      <c r="C2092" t="s">
        <v>12</v>
      </c>
      <c r="D2092">
        <v>910</v>
      </c>
      <c r="E2092">
        <v>-2530</v>
      </c>
      <c r="F2092" s="5">
        <v>43891</v>
      </c>
      <c r="G2092">
        <v>-910</v>
      </c>
      <c r="H2092" t="s">
        <v>58</v>
      </c>
    </row>
    <row r="2093" spans="1:8" x14ac:dyDescent="0.3">
      <c r="A2093">
        <v>184</v>
      </c>
      <c r="B2093" s="5">
        <v>43924</v>
      </c>
      <c r="C2093" t="s">
        <v>10</v>
      </c>
      <c r="D2093">
        <v>253</v>
      </c>
      <c r="E2093">
        <v>-2277</v>
      </c>
      <c r="F2093" s="5">
        <v>43922</v>
      </c>
      <c r="G2093">
        <v>253</v>
      </c>
      <c r="H2093" t="s">
        <v>58</v>
      </c>
    </row>
    <row r="2094" spans="1:8" x14ac:dyDescent="0.3">
      <c r="A2094">
        <v>184</v>
      </c>
      <c r="B2094" s="5">
        <v>43933</v>
      </c>
      <c r="C2094" t="s">
        <v>10</v>
      </c>
      <c r="D2094">
        <v>590</v>
      </c>
      <c r="E2094">
        <v>-1687</v>
      </c>
      <c r="F2094" s="5">
        <v>43922</v>
      </c>
      <c r="G2094">
        <v>590</v>
      </c>
      <c r="H2094" t="s">
        <v>58</v>
      </c>
    </row>
    <row r="2095" spans="1:8" x14ac:dyDescent="0.3">
      <c r="A2095">
        <v>184</v>
      </c>
      <c r="B2095" s="5">
        <v>43941</v>
      </c>
      <c r="C2095" t="s">
        <v>10</v>
      </c>
      <c r="D2095">
        <v>129</v>
      </c>
      <c r="E2095">
        <v>-1558</v>
      </c>
      <c r="F2095" s="5">
        <v>43922</v>
      </c>
      <c r="G2095">
        <v>129</v>
      </c>
      <c r="H2095" t="s">
        <v>58</v>
      </c>
    </row>
    <row r="2096" spans="1:8" x14ac:dyDescent="0.3">
      <c r="A2096">
        <v>184</v>
      </c>
      <c r="B2096" s="5">
        <v>43945</v>
      </c>
      <c r="C2096" t="s">
        <v>11</v>
      </c>
      <c r="D2096">
        <v>740</v>
      </c>
      <c r="E2096">
        <v>-2298</v>
      </c>
      <c r="F2096" s="5">
        <v>43922</v>
      </c>
      <c r="G2096">
        <v>-740</v>
      </c>
      <c r="H2096" t="s">
        <v>58</v>
      </c>
    </row>
    <row r="2097" spans="1:8" x14ac:dyDescent="0.3">
      <c r="A2097">
        <v>184</v>
      </c>
      <c r="B2097" s="5">
        <v>43945</v>
      </c>
      <c r="C2097" t="s">
        <v>12</v>
      </c>
      <c r="D2097">
        <v>880</v>
      </c>
      <c r="E2097">
        <v>-3178</v>
      </c>
      <c r="F2097" s="5">
        <v>43922</v>
      </c>
      <c r="G2097">
        <v>-880</v>
      </c>
      <c r="H2097" t="s">
        <v>58</v>
      </c>
    </row>
    <row r="2098" spans="1:8" x14ac:dyDescent="0.3">
      <c r="A2098">
        <v>185</v>
      </c>
      <c r="B2098" s="5">
        <v>43859</v>
      </c>
      <c r="C2098" t="s">
        <v>10</v>
      </c>
      <c r="D2098">
        <v>626</v>
      </c>
      <c r="E2098">
        <v>626</v>
      </c>
      <c r="F2098" s="5">
        <v>43831</v>
      </c>
      <c r="G2098">
        <v>626</v>
      </c>
      <c r="H2098" t="s">
        <v>57</v>
      </c>
    </row>
    <row r="2099" spans="1:8" x14ac:dyDescent="0.3">
      <c r="A2099">
        <v>185</v>
      </c>
      <c r="B2099" s="5">
        <v>43862</v>
      </c>
      <c r="C2099" t="s">
        <v>10</v>
      </c>
      <c r="D2099">
        <v>786</v>
      </c>
      <c r="E2099">
        <v>1412</v>
      </c>
      <c r="F2099" s="5">
        <v>43862</v>
      </c>
      <c r="G2099">
        <v>786</v>
      </c>
      <c r="H2099" t="s">
        <v>57</v>
      </c>
    </row>
    <row r="2100" spans="1:8" x14ac:dyDescent="0.3">
      <c r="A2100">
        <v>185</v>
      </c>
      <c r="B2100" s="5">
        <v>43865</v>
      </c>
      <c r="C2100" t="s">
        <v>11</v>
      </c>
      <c r="D2100">
        <v>193</v>
      </c>
      <c r="E2100">
        <v>1219</v>
      </c>
      <c r="F2100" s="5">
        <v>43862</v>
      </c>
      <c r="G2100">
        <v>-193</v>
      </c>
      <c r="H2100" t="s">
        <v>57</v>
      </c>
    </row>
    <row r="2101" spans="1:8" x14ac:dyDescent="0.3">
      <c r="A2101">
        <v>185</v>
      </c>
      <c r="B2101" s="5">
        <v>43871</v>
      </c>
      <c r="C2101" t="s">
        <v>12</v>
      </c>
      <c r="D2101">
        <v>143</v>
      </c>
      <c r="E2101">
        <v>1076</v>
      </c>
      <c r="F2101" s="5">
        <v>43862</v>
      </c>
      <c r="G2101">
        <v>-143</v>
      </c>
      <c r="H2101" t="s">
        <v>57</v>
      </c>
    </row>
    <row r="2102" spans="1:8" x14ac:dyDescent="0.3">
      <c r="A2102">
        <v>185</v>
      </c>
      <c r="B2102" s="5">
        <v>43875</v>
      </c>
      <c r="C2102" t="s">
        <v>12</v>
      </c>
      <c r="D2102">
        <v>640</v>
      </c>
      <c r="E2102">
        <v>436</v>
      </c>
      <c r="F2102" s="5">
        <v>43862</v>
      </c>
      <c r="G2102">
        <v>-640</v>
      </c>
      <c r="H2102" t="s">
        <v>57</v>
      </c>
    </row>
    <row r="2103" spans="1:8" x14ac:dyDescent="0.3">
      <c r="A2103">
        <v>185</v>
      </c>
      <c r="B2103" s="5">
        <v>43888</v>
      </c>
      <c r="C2103" t="s">
        <v>11</v>
      </c>
      <c r="D2103">
        <v>447</v>
      </c>
      <c r="E2103">
        <v>-11</v>
      </c>
      <c r="F2103" s="5">
        <v>43862</v>
      </c>
      <c r="G2103">
        <v>-447</v>
      </c>
      <c r="H2103" t="s">
        <v>58</v>
      </c>
    </row>
    <row r="2104" spans="1:8" x14ac:dyDescent="0.3">
      <c r="A2104">
        <v>185</v>
      </c>
      <c r="B2104" s="5">
        <v>43898</v>
      </c>
      <c r="C2104" t="s">
        <v>11</v>
      </c>
      <c r="D2104">
        <v>401</v>
      </c>
      <c r="E2104">
        <v>-412</v>
      </c>
      <c r="F2104" s="5">
        <v>43891</v>
      </c>
      <c r="G2104">
        <v>-401</v>
      </c>
      <c r="H2104" t="s">
        <v>58</v>
      </c>
    </row>
    <row r="2105" spans="1:8" x14ac:dyDescent="0.3">
      <c r="A2105">
        <v>185</v>
      </c>
      <c r="B2105" s="5">
        <v>43911</v>
      </c>
      <c r="C2105" t="s">
        <v>10</v>
      </c>
      <c r="D2105">
        <v>791</v>
      </c>
      <c r="E2105">
        <v>379</v>
      </c>
      <c r="F2105" s="5">
        <v>43891</v>
      </c>
      <c r="G2105">
        <v>791</v>
      </c>
      <c r="H2105" t="s">
        <v>57</v>
      </c>
    </row>
    <row r="2106" spans="1:8" x14ac:dyDescent="0.3">
      <c r="A2106">
        <v>185</v>
      </c>
      <c r="B2106" s="5">
        <v>43917</v>
      </c>
      <c r="C2106" t="s">
        <v>12</v>
      </c>
      <c r="D2106">
        <v>642</v>
      </c>
      <c r="E2106">
        <v>-263</v>
      </c>
      <c r="F2106" s="5">
        <v>43891</v>
      </c>
      <c r="G2106">
        <v>-642</v>
      </c>
      <c r="H2106" t="s">
        <v>58</v>
      </c>
    </row>
    <row r="2107" spans="1:8" x14ac:dyDescent="0.3">
      <c r="A2107">
        <v>185</v>
      </c>
      <c r="B2107" s="5">
        <v>43920</v>
      </c>
      <c r="C2107" t="s">
        <v>11</v>
      </c>
      <c r="D2107">
        <v>738</v>
      </c>
      <c r="E2107">
        <v>-1001</v>
      </c>
      <c r="F2107" s="5">
        <v>43891</v>
      </c>
      <c r="G2107">
        <v>-738</v>
      </c>
      <c r="H2107" t="s">
        <v>58</v>
      </c>
    </row>
    <row r="2108" spans="1:8" x14ac:dyDescent="0.3">
      <c r="A2108">
        <v>185</v>
      </c>
      <c r="B2108" s="5">
        <v>43928</v>
      </c>
      <c r="C2108" t="s">
        <v>11</v>
      </c>
      <c r="D2108">
        <v>366</v>
      </c>
      <c r="E2108">
        <v>-1367</v>
      </c>
      <c r="F2108" s="5">
        <v>43922</v>
      </c>
      <c r="G2108">
        <v>-366</v>
      </c>
      <c r="H2108" t="s">
        <v>58</v>
      </c>
    </row>
    <row r="2109" spans="1:8" x14ac:dyDescent="0.3">
      <c r="A2109">
        <v>185</v>
      </c>
      <c r="B2109" s="5">
        <v>43929</v>
      </c>
      <c r="C2109" t="s">
        <v>12</v>
      </c>
      <c r="D2109">
        <v>224</v>
      </c>
      <c r="E2109">
        <v>-1591</v>
      </c>
      <c r="F2109" s="5">
        <v>43922</v>
      </c>
      <c r="G2109">
        <v>-224</v>
      </c>
      <c r="H2109" t="s">
        <v>58</v>
      </c>
    </row>
    <row r="2110" spans="1:8" x14ac:dyDescent="0.3">
      <c r="A2110">
        <v>185</v>
      </c>
      <c r="B2110" s="5">
        <v>43929</v>
      </c>
      <c r="C2110" t="s">
        <v>11</v>
      </c>
      <c r="D2110">
        <v>521</v>
      </c>
      <c r="E2110">
        <v>-2112</v>
      </c>
      <c r="F2110" s="5">
        <v>43922</v>
      </c>
      <c r="G2110">
        <v>-521</v>
      </c>
      <c r="H2110" t="s">
        <v>58</v>
      </c>
    </row>
    <row r="2111" spans="1:8" x14ac:dyDescent="0.3">
      <c r="A2111">
        <v>185</v>
      </c>
      <c r="B2111" s="5">
        <v>43933</v>
      </c>
      <c r="C2111" t="s">
        <v>10</v>
      </c>
      <c r="D2111">
        <v>825</v>
      </c>
      <c r="E2111">
        <v>-1287</v>
      </c>
      <c r="F2111" s="5">
        <v>43922</v>
      </c>
      <c r="G2111">
        <v>825</v>
      </c>
      <c r="H2111" t="s">
        <v>58</v>
      </c>
    </row>
    <row r="2112" spans="1:8" x14ac:dyDescent="0.3">
      <c r="A2112">
        <v>185</v>
      </c>
      <c r="B2112" s="5">
        <v>43933</v>
      </c>
      <c r="C2112" t="s">
        <v>10</v>
      </c>
      <c r="D2112">
        <v>466</v>
      </c>
      <c r="E2112">
        <v>-821</v>
      </c>
      <c r="F2112" s="5">
        <v>43922</v>
      </c>
      <c r="G2112">
        <v>466</v>
      </c>
      <c r="H2112" t="s">
        <v>58</v>
      </c>
    </row>
    <row r="2113" spans="1:8" x14ac:dyDescent="0.3">
      <c r="A2113">
        <v>185</v>
      </c>
      <c r="B2113" s="5">
        <v>43936</v>
      </c>
      <c r="C2113" t="s">
        <v>12</v>
      </c>
      <c r="D2113">
        <v>917</v>
      </c>
      <c r="E2113">
        <v>-1738</v>
      </c>
      <c r="F2113" s="5">
        <v>43922</v>
      </c>
      <c r="G2113">
        <v>-917</v>
      </c>
      <c r="H2113" t="s">
        <v>58</v>
      </c>
    </row>
    <row r="2114" spans="1:8" x14ac:dyDescent="0.3">
      <c r="A2114">
        <v>185</v>
      </c>
      <c r="B2114" s="5">
        <v>43941</v>
      </c>
      <c r="C2114" t="s">
        <v>11</v>
      </c>
      <c r="D2114">
        <v>499</v>
      </c>
      <c r="E2114">
        <v>-2237</v>
      </c>
      <c r="F2114" s="5">
        <v>43922</v>
      </c>
      <c r="G2114">
        <v>-499</v>
      </c>
      <c r="H2114" t="s">
        <v>58</v>
      </c>
    </row>
    <row r="2115" spans="1:8" x14ac:dyDescent="0.3">
      <c r="A2115">
        <v>185</v>
      </c>
      <c r="B2115" s="5">
        <v>43943</v>
      </c>
      <c r="C2115" t="s">
        <v>10</v>
      </c>
      <c r="D2115">
        <v>884</v>
      </c>
      <c r="E2115">
        <v>-1353</v>
      </c>
      <c r="F2115" s="5">
        <v>43922</v>
      </c>
      <c r="G2115">
        <v>884</v>
      </c>
      <c r="H2115" t="s">
        <v>58</v>
      </c>
    </row>
    <row r="2116" spans="1:8" x14ac:dyDescent="0.3">
      <c r="A2116">
        <v>185</v>
      </c>
      <c r="B2116" s="5">
        <v>43945</v>
      </c>
      <c r="C2116" t="s">
        <v>10</v>
      </c>
      <c r="D2116">
        <v>848</v>
      </c>
      <c r="E2116">
        <v>-505</v>
      </c>
      <c r="F2116" s="5">
        <v>43922</v>
      </c>
      <c r="G2116">
        <v>848</v>
      </c>
      <c r="H2116" t="s">
        <v>58</v>
      </c>
    </row>
    <row r="2117" spans="1:8" x14ac:dyDescent="0.3">
      <c r="A2117">
        <v>186</v>
      </c>
      <c r="B2117" s="5">
        <v>43847</v>
      </c>
      <c r="C2117" t="s">
        <v>10</v>
      </c>
      <c r="D2117">
        <v>968</v>
      </c>
      <c r="E2117">
        <v>968</v>
      </c>
      <c r="F2117" s="5">
        <v>43831</v>
      </c>
      <c r="G2117">
        <v>968</v>
      </c>
      <c r="H2117" t="s">
        <v>57</v>
      </c>
    </row>
    <row r="2118" spans="1:8" x14ac:dyDescent="0.3">
      <c r="A2118">
        <v>186</v>
      </c>
      <c r="B2118" s="5">
        <v>43857</v>
      </c>
      <c r="C2118" t="s">
        <v>12</v>
      </c>
      <c r="D2118">
        <v>351</v>
      </c>
      <c r="E2118">
        <v>617</v>
      </c>
      <c r="F2118" s="5">
        <v>43831</v>
      </c>
      <c r="G2118">
        <v>-351</v>
      </c>
      <c r="H2118" t="s">
        <v>57</v>
      </c>
    </row>
    <row r="2119" spans="1:8" x14ac:dyDescent="0.3">
      <c r="A2119">
        <v>186</v>
      </c>
      <c r="B2119" s="5">
        <v>43861</v>
      </c>
      <c r="C2119" t="s">
        <v>12</v>
      </c>
      <c r="D2119">
        <v>83</v>
      </c>
      <c r="E2119">
        <v>534</v>
      </c>
      <c r="F2119" s="5">
        <v>43831</v>
      </c>
      <c r="G2119">
        <v>-83</v>
      </c>
      <c r="H2119" t="s">
        <v>57</v>
      </c>
    </row>
    <row r="2120" spans="1:8" x14ac:dyDescent="0.3">
      <c r="A2120">
        <v>186</v>
      </c>
      <c r="B2120" s="5">
        <v>43864</v>
      </c>
      <c r="C2120" t="s">
        <v>11</v>
      </c>
      <c r="D2120">
        <v>368</v>
      </c>
      <c r="E2120">
        <v>166</v>
      </c>
      <c r="F2120" s="5">
        <v>43862</v>
      </c>
      <c r="G2120">
        <v>-368</v>
      </c>
      <c r="H2120" t="s">
        <v>57</v>
      </c>
    </row>
    <row r="2121" spans="1:8" x14ac:dyDescent="0.3">
      <c r="A2121">
        <v>186</v>
      </c>
      <c r="B2121" s="5">
        <v>43870</v>
      </c>
      <c r="C2121" t="s">
        <v>10</v>
      </c>
      <c r="D2121">
        <v>354</v>
      </c>
      <c r="E2121">
        <v>520</v>
      </c>
      <c r="F2121" s="5">
        <v>43862</v>
      </c>
      <c r="G2121">
        <v>354</v>
      </c>
      <c r="H2121" t="s">
        <v>57</v>
      </c>
    </row>
    <row r="2122" spans="1:8" x14ac:dyDescent="0.3">
      <c r="A2122">
        <v>186</v>
      </c>
      <c r="B2122" s="5">
        <v>43875</v>
      </c>
      <c r="C2122" t="s">
        <v>10</v>
      </c>
      <c r="D2122">
        <v>259</v>
      </c>
      <c r="E2122">
        <v>779</v>
      </c>
      <c r="F2122" s="5">
        <v>43862</v>
      </c>
      <c r="G2122">
        <v>259</v>
      </c>
      <c r="H2122" t="s">
        <v>57</v>
      </c>
    </row>
    <row r="2123" spans="1:8" x14ac:dyDescent="0.3">
      <c r="A2123">
        <v>186</v>
      </c>
      <c r="B2123" s="5">
        <v>43886</v>
      </c>
      <c r="C2123" t="s">
        <v>11</v>
      </c>
      <c r="D2123">
        <v>267</v>
      </c>
      <c r="E2123">
        <v>512</v>
      </c>
      <c r="F2123" s="5">
        <v>43862</v>
      </c>
      <c r="G2123">
        <v>-267</v>
      </c>
      <c r="H2123" t="s">
        <v>57</v>
      </c>
    </row>
    <row r="2124" spans="1:8" x14ac:dyDescent="0.3">
      <c r="A2124">
        <v>186</v>
      </c>
      <c r="B2124" s="5">
        <v>43888</v>
      </c>
      <c r="C2124" t="s">
        <v>10</v>
      </c>
      <c r="D2124">
        <v>833</v>
      </c>
      <c r="E2124">
        <v>1345</v>
      </c>
      <c r="F2124" s="5">
        <v>43862</v>
      </c>
      <c r="G2124">
        <v>833</v>
      </c>
      <c r="H2124" t="s">
        <v>57</v>
      </c>
    </row>
    <row r="2125" spans="1:8" x14ac:dyDescent="0.3">
      <c r="A2125">
        <v>186</v>
      </c>
      <c r="B2125" s="5">
        <v>43895</v>
      </c>
      <c r="C2125" t="s">
        <v>11</v>
      </c>
      <c r="D2125">
        <v>780</v>
      </c>
      <c r="E2125">
        <v>565</v>
      </c>
      <c r="F2125" s="5">
        <v>43891</v>
      </c>
      <c r="G2125">
        <v>-780</v>
      </c>
      <c r="H2125" t="s">
        <v>57</v>
      </c>
    </row>
    <row r="2126" spans="1:8" x14ac:dyDescent="0.3">
      <c r="A2126">
        <v>186</v>
      </c>
      <c r="B2126" s="5">
        <v>43896</v>
      </c>
      <c r="C2126" t="s">
        <v>11</v>
      </c>
      <c r="D2126">
        <v>93</v>
      </c>
      <c r="E2126">
        <v>472</v>
      </c>
      <c r="F2126" s="5">
        <v>43891</v>
      </c>
      <c r="G2126">
        <v>-93</v>
      </c>
      <c r="H2126" t="s">
        <v>57</v>
      </c>
    </row>
    <row r="2127" spans="1:8" x14ac:dyDescent="0.3">
      <c r="A2127">
        <v>186</v>
      </c>
      <c r="B2127" s="5">
        <v>43899</v>
      </c>
      <c r="C2127" t="s">
        <v>10</v>
      </c>
      <c r="D2127">
        <v>943</v>
      </c>
      <c r="E2127">
        <v>1415</v>
      </c>
      <c r="F2127" s="5">
        <v>43891</v>
      </c>
      <c r="G2127">
        <v>943</v>
      </c>
      <c r="H2127" t="s">
        <v>57</v>
      </c>
    </row>
    <row r="2128" spans="1:8" x14ac:dyDescent="0.3">
      <c r="A2128">
        <v>186</v>
      </c>
      <c r="B2128" s="5">
        <v>43901</v>
      </c>
      <c r="C2128" t="s">
        <v>11</v>
      </c>
      <c r="D2128">
        <v>130</v>
      </c>
      <c r="E2128">
        <v>1285</v>
      </c>
      <c r="F2128" s="5">
        <v>43891</v>
      </c>
      <c r="G2128">
        <v>-130</v>
      </c>
      <c r="H2128" t="s">
        <v>57</v>
      </c>
    </row>
    <row r="2129" spans="1:8" x14ac:dyDescent="0.3">
      <c r="A2129">
        <v>186</v>
      </c>
      <c r="B2129" s="5">
        <v>43913</v>
      </c>
      <c r="C2129" t="s">
        <v>12</v>
      </c>
      <c r="D2129">
        <v>641</v>
      </c>
      <c r="E2129">
        <v>644</v>
      </c>
      <c r="F2129" s="5">
        <v>43891</v>
      </c>
      <c r="G2129">
        <v>-641</v>
      </c>
      <c r="H2129" t="s">
        <v>57</v>
      </c>
    </row>
    <row r="2130" spans="1:8" x14ac:dyDescent="0.3">
      <c r="A2130">
        <v>186</v>
      </c>
      <c r="B2130" s="5">
        <v>43915</v>
      </c>
      <c r="C2130" t="s">
        <v>10</v>
      </c>
      <c r="D2130">
        <v>798</v>
      </c>
      <c r="E2130">
        <v>1442</v>
      </c>
      <c r="F2130" s="5">
        <v>43891</v>
      </c>
      <c r="G2130">
        <v>798</v>
      </c>
      <c r="H2130" t="s">
        <v>57</v>
      </c>
    </row>
    <row r="2131" spans="1:8" x14ac:dyDescent="0.3">
      <c r="A2131">
        <v>186</v>
      </c>
      <c r="B2131" s="5">
        <v>43917</v>
      </c>
      <c r="C2131" t="s">
        <v>10</v>
      </c>
      <c r="D2131">
        <v>488</v>
      </c>
      <c r="E2131">
        <v>1930</v>
      </c>
      <c r="F2131" s="5">
        <v>43891</v>
      </c>
      <c r="G2131">
        <v>488</v>
      </c>
      <c r="H2131" t="s">
        <v>57</v>
      </c>
    </row>
    <row r="2132" spans="1:8" x14ac:dyDescent="0.3">
      <c r="A2132">
        <v>186</v>
      </c>
      <c r="B2132" s="5">
        <v>43928</v>
      </c>
      <c r="C2132" t="s">
        <v>12</v>
      </c>
      <c r="D2132">
        <v>640</v>
      </c>
      <c r="E2132">
        <v>1290</v>
      </c>
      <c r="F2132" s="5">
        <v>43922</v>
      </c>
      <c r="G2132">
        <v>-640</v>
      </c>
      <c r="H2132" t="s">
        <v>57</v>
      </c>
    </row>
    <row r="2133" spans="1:8" x14ac:dyDescent="0.3">
      <c r="A2133">
        <v>186</v>
      </c>
      <c r="B2133" s="5">
        <v>43929</v>
      </c>
      <c r="C2133" t="s">
        <v>10</v>
      </c>
      <c r="D2133">
        <v>490</v>
      </c>
      <c r="E2133">
        <v>1780</v>
      </c>
      <c r="F2133" s="5">
        <v>43922</v>
      </c>
      <c r="G2133">
        <v>490</v>
      </c>
      <c r="H2133" t="s">
        <v>57</v>
      </c>
    </row>
    <row r="2134" spans="1:8" x14ac:dyDescent="0.3">
      <c r="A2134">
        <v>186</v>
      </c>
      <c r="B2134" s="5">
        <v>43929</v>
      </c>
      <c r="C2134" t="s">
        <v>11</v>
      </c>
      <c r="D2134">
        <v>743</v>
      </c>
      <c r="E2134">
        <v>1037</v>
      </c>
      <c r="F2134" s="5">
        <v>43922</v>
      </c>
      <c r="G2134">
        <v>-743</v>
      </c>
      <c r="H2134" t="s">
        <v>57</v>
      </c>
    </row>
    <row r="2135" spans="1:8" x14ac:dyDescent="0.3">
      <c r="A2135">
        <v>186</v>
      </c>
      <c r="B2135" s="5">
        <v>43933</v>
      </c>
      <c r="C2135" t="s">
        <v>10</v>
      </c>
      <c r="D2135">
        <v>247</v>
      </c>
      <c r="E2135">
        <v>1284</v>
      </c>
      <c r="F2135" s="5">
        <v>43922</v>
      </c>
      <c r="G2135">
        <v>247</v>
      </c>
      <c r="H2135" t="s">
        <v>57</v>
      </c>
    </row>
    <row r="2136" spans="1:8" x14ac:dyDescent="0.3">
      <c r="A2136">
        <v>187</v>
      </c>
      <c r="B2136" s="5">
        <v>43856</v>
      </c>
      <c r="C2136" t="s">
        <v>11</v>
      </c>
      <c r="D2136">
        <v>810</v>
      </c>
      <c r="E2136">
        <v>-810</v>
      </c>
      <c r="F2136" s="5">
        <v>43831</v>
      </c>
      <c r="G2136">
        <v>-810</v>
      </c>
      <c r="H2136" t="s">
        <v>58</v>
      </c>
    </row>
    <row r="2137" spans="1:8" x14ac:dyDescent="0.3">
      <c r="A2137">
        <v>187</v>
      </c>
      <c r="B2137" s="5">
        <v>43856</v>
      </c>
      <c r="C2137" t="s">
        <v>10</v>
      </c>
      <c r="D2137">
        <v>599</v>
      </c>
      <c r="E2137">
        <v>-211</v>
      </c>
      <c r="F2137" s="5">
        <v>43831</v>
      </c>
      <c r="G2137">
        <v>599</v>
      </c>
      <c r="H2137" t="s">
        <v>58</v>
      </c>
    </row>
    <row r="2138" spans="1:8" x14ac:dyDescent="0.3">
      <c r="A2138">
        <v>187</v>
      </c>
      <c r="B2138" s="5">
        <v>43866</v>
      </c>
      <c r="C2138" t="s">
        <v>11</v>
      </c>
      <c r="D2138">
        <v>523</v>
      </c>
      <c r="E2138">
        <v>-734</v>
      </c>
      <c r="F2138" s="5">
        <v>43862</v>
      </c>
      <c r="G2138">
        <v>-523</v>
      </c>
      <c r="H2138" t="s">
        <v>58</v>
      </c>
    </row>
    <row r="2139" spans="1:8" x14ac:dyDescent="0.3">
      <c r="A2139">
        <v>187</v>
      </c>
      <c r="B2139" s="5">
        <v>43877</v>
      </c>
      <c r="C2139" t="s">
        <v>11</v>
      </c>
      <c r="D2139">
        <v>254</v>
      </c>
      <c r="E2139">
        <v>-988</v>
      </c>
      <c r="F2139" s="5">
        <v>43862</v>
      </c>
      <c r="G2139">
        <v>-254</v>
      </c>
      <c r="H2139" t="s">
        <v>58</v>
      </c>
    </row>
    <row r="2140" spans="1:8" x14ac:dyDescent="0.3">
      <c r="A2140">
        <v>187</v>
      </c>
      <c r="B2140" s="5">
        <v>43880</v>
      </c>
      <c r="C2140" t="s">
        <v>12</v>
      </c>
      <c r="D2140">
        <v>439</v>
      </c>
      <c r="E2140">
        <v>-1427</v>
      </c>
      <c r="F2140" s="5">
        <v>43862</v>
      </c>
      <c r="G2140">
        <v>-439</v>
      </c>
      <c r="H2140" t="s">
        <v>58</v>
      </c>
    </row>
    <row r="2141" spans="1:8" x14ac:dyDescent="0.3">
      <c r="A2141">
        <v>187</v>
      </c>
      <c r="B2141" s="5">
        <v>43883</v>
      </c>
      <c r="C2141" t="s">
        <v>10</v>
      </c>
      <c r="D2141">
        <v>48</v>
      </c>
      <c r="E2141">
        <v>-1379</v>
      </c>
      <c r="F2141" s="5">
        <v>43862</v>
      </c>
      <c r="G2141">
        <v>48</v>
      </c>
      <c r="H2141" t="s">
        <v>58</v>
      </c>
    </row>
    <row r="2142" spans="1:8" x14ac:dyDescent="0.3">
      <c r="A2142">
        <v>187</v>
      </c>
      <c r="B2142" s="5">
        <v>43894</v>
      </c>
      <c r="C2142" t="s">
        <v>11</v>
      </c>
      <c r="D2142">
        <v>753</v>
      </c>
      <c r="E2142">
        <v>-2132</v>
      </c>
      <c r="F2142" s="5">
        <v>43891</v>
      </c>
      <c r="G2142">
        <v>-753</v>
      </c>
      <c r="H2142" t="s">
        <v>58</v>
      </c>
    </row>
    <row r="2143" spans="1:8" x14ac:dyDescent="0.3">
      <c r="A2143">
        <v>187</v>
      </c>
      <c r="B2143" s="5">
        <v>43911</v>
      </c>
      <c r="C2143" t="s">
        <v>11</v>
      </c>
      <c r="D2143">
        <v>791</v>
      </c>
      <c r="E2143">
        <v>-2923</v>
      </c>
      <c r="F2143" s="5">
        <v>43891</v>
      </c>
      <c r="G2143">
        <v>-791</v>
      </c>
      <c r="H2143" t="s">
        <v>58</v>
      </c>
    </row>
    <row r="2144" spans="1:8" x14ac:dyDescent="0.3">
      <c r="A2144">
        <v>187</v>
      </c>
      <c r="B2144" s="5">
        <v>43913</v>
      </c>
      <c r="C2144" t="s">
        <v>11</v>
      </c>
      <c r="D2144">
        <v>137</v>
      </c>
      <c r="E2144">
        <v>-3060</v>
      </c>
      <c r="F2144" s="5">
        <v>43891</v>
      </c>
      <c r="G2144">
        <v>-137</v>
      </c>
      <c r="H2144" t="s">
        <v>58</v>
      </c>
    </row>
    <row r="2145" spans="1:8" x14ac:dyDescent="0.3">
      <c r="A2145">
        <v>187</v>
      </c>
      <c r="B2145" s="5">
        <v>43927</v>
      </c>
      <c r="C2145" t="s">
        <v>10</v>
      </c>
      <c r="D2145">
        <v>928</v>
      </c>
      <c r="E2145">
        <v>-2132</v>
      </c>
      <c r="F2145" s="5">
        <v>43922</v>
      </c>
      <c r="G2145">
        <v>928</v>
      </c>
      <c r="H2145" t="s">
        <v>58</v>
      </c>
    </row>
    <row r="2146" spans="1:8" x14ac:dyDescent="0.3">
      <c r="A2146">
        <v>187</v>
      </c>
      <c r="B2146" s="5">
        <v>43939</v>
      </c>
      <c r="C2146" t="s">
        <v>11</v>
      </c>
      <c r="D2146">
        <v>140</v>
      </c>
      <c r="E2146">
        <v>-2272</v>
      </c>
      <c r="F2146" s="5">
        <v>43922</v>
      </c>
      <c r="G2146">
        <v>-140</v>
      </c>
      <c r="H2146" t="s">
        <v>58</v>
      </c>
    </row>
    <row r="2147" spans="1:8" x14ac:dyDescent="0.3">
      <c r="A2147">
        <v>188</v>
      </c>
      <c r="B2147" s="5">
        <v>43843</v>
      </c>
      <c r="C2147" t="s">
        <v>10</v>
      </c>
      <c r="D2147">
        <v>601</v>
      </c>
      <c r="E2147">
        <v>601</v>
      </c>
      <c r="F2147" s="5">
        <v>43831</v>
      </c>
      <c r="G2147">
        <v>601</v>
      </c>
      <c r="H2147" t="s">
        <v>57</v>
      </c>
    </row>
    <row r="2148" spans="1:8" x14ac:dyDescent="0.3">
      <c r="A2148">
        <v>188</v>
      </c>
      <c r="B2148" s="5">
        <v>43852</v>
      </c>
      <c r="C2148" t="s">
        <v>12</v>
      </c>
      <c r="D2148">
        <v>340</v>
      </c>
      <c r="E2148">
        <v>261</v>
      </c>
      <c r="F2148" s="5">
        <v>43831</v>
      </c>
      <c r="G2148">
        <v>-340</v>
      </c>
      <c r="H2148" t="s">
        <v>57</v>
      </c>
    </row>
    <row r="2149" spans="1:8" x14ac:dyDescent="0.3">
      <c r="A2149">
        <v>188</v>
      </c>
      <c r="B2149" s="5">
        <v>43857</v>
      </c>
      <c r="C2149" t="s">
        <v>12</v>
      </c>
      <c r="D2149">
        <v>632</v>
      </c>
      <c r="E2149">
        <v>-371</v>
      </c>
      <c r="F2149" s="5">
        <v>43831</v>
      </c>
      <c r="G2149">
        <v>-632</v>
      </c>
      <c r="H2149" t="s">
        <v>58</v>
      </c>
    </row>
    <row r="2150" spans="1:8" x14ac:dyDescent="0.3">
      <c r="A2150">
        <v>188</v>
      </c>
      <c r="B2150" s="5">
        <v>43859</v>
      </c>
      <c r="C2150" t="s">
        <v>10</v>
      </c>
      <c r="D2150">
        <v>259</v>
      </c>
      <c r="E2150">
        <v>-112</v>
      </c>
      <c r="F2150" s="5">
        <v>43831</v>
      </c>
      <c r="G2150">
        <v>259</v>
      </c>
      <c r="H2150" t="s">
        <v>58</v>
      </c>
    </row>
    <row r="2151" spans="1:8" x14ac:dyDescent="0.3">
      <c r="A2151">
        <v>188</v>
      </c>
      <c r="B2151" s="5">
        <v>43861</v>
      </c>
      <c r="C2151" t="s">
        <v>12</v>
      </c>
      <c r="D2151">
        <v>72</v>
      </c>
      <c r="E2151">
        <v>-184</v>
      </c>
      <c r="F2151" s="5">
        <v>43831</v>
      </c>
      <c r="G2151">
        <v>-72</v>
      </c>
      <c r="H2151" t="s">
        <v>58</v>
      </c>
    </row>
    <row r="2152" spans="1:8" x14ac:dyDescent="0.3">
      <c r="A2152">
        <v>188</v>
      </c>
      <c r="B2152" s="5">
        <v>43872</v>
      </c>
      <c r="C2152" t="s">
        <v>10</v>
      </c>
      <c r="D2152">
        <v>809</v>
      </c>
      <c r="E2152">
        <v>625</v>
      </c>
      <c r="F2152" s="5">
        <v>43862</v>
      </c>
      <c r="G2152">
        <v>809</v>
      </c>
      <c r="H2152" t="s">
        <v>57</v>
      </c>
    </row>
    <row r="2153" spans="1:8" x14ac:dyDescent="0.3">
      <c r="A2153">
        <v>188</v>
      </c>
      <c r="B2153" s="5">
        <v>43876</v>
      </c>
      <c r="C2153" t="s">
        <v>10</v>
      </c>
      <c r="D2153">
        <v>459</v>
      </c>
      <c r="E2153">
        <v>1084</v>
      </c>
      <c r="F2153" s="5">
        <v>43862</v>
      </c>
      <c r="G2153">
        <v>459</v>
      </c>
      <c r="H2153" t="s">
        <v>57</v>
      </c>
    </row>
    <row r="2154" spans="1:8" x14ac:dyDescent="0.3">
      <c r="A2154">
        <v>188</v>
      </c>
      <c r="B2154" s="5">
        <v>43881</v>
      </c>
      <c r="C2154" t="s">
        <v>12</v>
      </c>
      <c r="D2154">
        <v>770</v>
      </c>
      <c r="E2154">
        <v>314</v>
      </c>
      <c r="F2154" s="5">
        <v>43862</v>
      </c>
      <c r="G2154">
        <v>-770</v>
      </c>
      <c r="H2154" t="s">
        <v>57</v>
      </c>
    </row>
    <row r="2155" spans="1:8" x14ac:dyDescent="0.3">
      <c r="A2155">
        <v>188</v>
      </c>
      <c r="B2155" s="5">
        <v>43885</v>
      </c>
      <c r="C2155" t="s">
        <v>10</v>
      </c>
      <c r="D2155">
        <v>699</v>
      </c>
      <c r="E2155">
        <v>1013</v>
      </c>
      <c r="F2155" s="5">
        <v>43862</v>
      </c>
      <c r="G2155">
        <v>699</v>
      </c>
      <c r="H2155" t="s">
        <v>57</v>
      </c>
    </row>
    <row r="2156" spans="1:8" x14ac:dyDescent="0.3">
      <c r="A2156">
        <v>188</v>
      </c>
      <c r="B2156" s="5">
        <v>43896</v>
      </c>
      <c r="C2156" t="s">
        <v>12</v>
      </c>
      <c r="D2156">
        <v>743</v>
      </c>
      <c r="E2156">
        <v>270</v>
      </c>
      <c r="F2156" s="5">
        <v>43891</v>
      </c>
      <c r="G2156">
        <v>-743</v>
      </c>
      <c r="H2156" t="s">
        <v>57</v>
      </c>
    </row>
    <row r="2157" spans="1:8" x14ac:dyDescent="0.3">
      <c r="A2157">
        <v>188</v>
      </c>
      <c r="B2157" s="5">
        <v>43900</v>
      </c>
      <c r="C2157" t="s">
        <v>10</v>
      </c>
      <c r="D2157">
        <v>587</v>
      </c>
      <c r="E2157">
        <v>857</v>
      </c>
      <c r="F2157" s="5">
        <v>43891</v>
      </c>
      <c r="G2157">
        <v>587</v>
      </c>
      <c r="H2157" t="s">
        <v>57</v>
      </c>
    </row>
    <row r="2158" spans="1:8" x14ac:dyDescent="0.3">
      <c r="A2158">
        <v>188</v>
      </c>
      <c r="B2158" s="5">
        <v>43919</v>
      </c>
      <c r="C2158" t="s">
        <v>12</v>
      </c>
      <c r="D2158">
        <v>314</v>
      </c>
      <c r="E2158">
        <v>543</v>
      </c>
      <c r="F2158" s="5">
        <v>43891</v>
      </c>
      <c r="G2158">
        <v>-314</v>
      </c>
      <c r="H2158" t="s">
        <v>57</v>
      </c>
    </row>
    <row r="2159" spans="1:8" x14ac:dyDescent="0.3">
      <c r="A2159">
        <v>188</v>
      </c>
      <c r="B2159" s="5">
        <v>43920</v>
      </c>
      <c r="C2159" t="s">
        <v>11</v>
      </c>
      <c r="D2159">
        <v>491</v>
      </c>
      <c r="E2159">
        <v>52</v>
      </c>
      <c r="F2159" s="5">
        <v>43891</v>
      </c>
      <c r="G2159">
        <v>-491</v>
      </c>
      <c r="H2159" t="s">
        <v>57</v>
      </c>
    </row>
    <row r="2160" spans="1:8" x14ac:dyDescent="0.3">
      <c r="A2160">
        <v>188</v>
      </c>
      <c r="B2160" s="5">
        <v>43923</v>
      </c>
      <c r="C2160" t="s">
        <v>11</v>
      </c>
      <c r="D2160">
        <v>473</v>
      </c>
      <c r="E2160">
        <v>-421</v>
      </c>
      <c r="F2160" s="5">
        <v>43922</v>
      </c>
      <c r="G2160">
        <v>-473</v>
      </c>
      <c r="H2160" t="s">
        <v>58</v>
      </c>
    </row>
    <row r="2161" spans="1:8" x14ac:dyDescent="0.3">
      <c r="A2161">
        <v>188</v>
      </c>
      <c r="B2161" s="5">
        <v>43928</v>
      </c>
      <c r="C2161" t="s">
        <v>11</v>
      </c>
      <c r="D2161">
        <v>54</v>
      </c>
      <c r="E2161">
        <v>-475</v>
      </c>
      <c r="F2161" s="5">
        <v>43922</v>
      </c>
      <c r="G2161">
        <v>-54</v>
      </c>
      <c r="H2161" t="s">
        <v>58</v>
      </c>
    </row>
    <row r="2162" spans="1:8" x14ac:dyDescent="0.3">
      <c r="A2162">
        <v>189</v>
      </c>
      <c r="B2162" s="5">
        <v>43841</v>
      </c>
      <c r="C2162" t="s">
        <v>10</v>
      </c>
      <c r="D2162">
        <v>304</v>
      </c>
      <c r="E2162">
        <v>304</v>
      </c>
      <c r="F2162" s="5">
        <v>43831</v>
      </c>
      <c r="G2162">
        <v>304</v>
      </c>
      <c r="H2162" t="s">
        <v>57</v>
      </c>
    </row>
    <row r="2163" spans="1:8" x14ac:dyDescent="0.3">
      <c r="A2163">
        <v>189</v>
      </c>
      <c r="B2163" s="5">
        <v>43842</v>
      </c>
      <c r="C2163" t="s">
        <v>10</v>
      </c>
      <c r="D2163">
        <v>373</v>
      </c>
      <c r="E2163">
        <v>677</v>
      </c>
      <c r="F2163" s="5">
        <v>43831</v>
      </c>
      <c r="G2163">
        <v>373</v>
      </c>
      <c r="H2163" t="s">
        <v>57</v>
      </c>
    </row>
    <row r="2164" spans="1:8" x14ac:dyDescent="0.3">
      <c r="A2164">
        <v>189</v>
      </c>
      <c r="B2164" s="5">
        <v>43852</v>
      </c>
      <c r="C2164" t="s">
        <v>10</v>
      </c>
      <c r="D2164">
        <v>302</v>
      </c>
      <c r="E2164">
        <v>979</v>
      </c>
      <c r="F2164" s="5">
        <v>43831</v>
      </c>
      <c r="G2164">
        <v>302</v>
      </c>
      <c r="H2164" t="s">
        <v>57</v>
      </c>
    </row>
    <row r="2165" spans="1:8" x14ac:dyDescent="0.3">
      <c r="A2165">
        <v>189</v>
      </c>
      <c r="B2165" s="5">
        <v>43857</v>
      </c>
      <c r="C2165" t="s">
        <v>12</v>
      </c>
      <c r="D2165">
        <v>861</v>
      </c>
      <c r="E2165">
        <v>118</v>
      </c>
      <c r="F2165" s="5">
        <v>43831</v>
      </c>
      <c r="G2165">
        <v>-861</v>
      </c>
      <c r="H2165" t="s">
        <v>57</v>
      </c>
    </row>
    <row r="2166" spans="1:8" x14ac:dyDescent="0.3">
      <c r="A2166">
        <v>189</v>
      </c>
      <c r="B2166" s="5">
        <v>43860</v>
      </c>
      <c r="C2166" t="s">
        <v>11</v>
      </c>
      <c r="D2166">
        <v>956</v>
      </c>
      <c r="E2166">
        <v>-838</v>
      </c>
      <c r="F2166" s="5">
        <v>43831</v>
      </c>
      <c r="G2166">
        <v>-956</v>
      </c>
      <c r="H2166" t="s">
        <v>58</v>
      </c>
    </row>
    <row r="2167" spans="1:8" x14ac:dyDescent="0.3">
      <c r="A2167">
        <v>189</v>
      </c>
      <c r="B2167" s="5">
        <v>43864</v>
      </c>
      <c r="C2167" t="s">
        <v>12</v>
      </c>
      <c r="D2167">
        <v>870</v>
      </c>
      <c r="E2167">
        <v>-1708</v>
      </c>
      <c r="F2167" s="5">
        <v>43862</v>
      </c>
      <c r="G2167">
        <v>-870</v>
      </c>
      <c r="H2167" t="s">
        <v>58</v>
      </c>
    </row>
    <row r="2168" spans="1:8" x14ac:dyDescent="0.3">
      <c r="A2168">
        <v>189</v>
      </c>
      <c r="B2168" s="5">
        <v>43867</v>
      </c>
      <c r="C2168" t="s">
        <v>11</v>
      </c>
      <c r="D2168">
        <v>393</v>
      </c>
      <c r="E2168">
        <v>-2101</v>
      </c>
      <c r="F2168" s="5">
        <v>43862</v>
      </c>
      <c r="G2168">
        <v>-393</v>
      </c>
      <c r="H2168" t="s">
        <v>58</v>
      </c>
    </row>
    <row r="2169" spans="1:8" x14ac:dyDescent="0.3">
      <c r="A2169">
        <v>189</v>
      </c>
      <c r="B2169" s="5">
        <v>43907</v>
      </c>
      <c r="C2169" t="s">
        <v>11</v>
      </c>
      <c r="D2169">
        <v>726</v>
      </c>
      <c r="E2169">
        <v>-2827</v>
      </c>
      <c r="F2169" s="5">
        <v>43891</v>
      </c>
      <c r="G2169">
        <v>-726</v>
      </c>
      <c r="H2169" t="s">
        <v>58</v>
      </c>
    </row>
    <row r="2170" spans="1:8" x14ac:dyDescent="0.3">
      <c r="A2170">
        <v>189</v>
      </c>
      <c r="B2170" s="5">
        <v>43908</v>
      </c>
      <c r="C2170" t="s">
        <v>12</v>
      </c>
      <c r="D2170">
        <v>462</v>
      </c>
      <c r="E2170">
        <v>-3289</v>
      </c>
      <c r="F2170" s="5">
        <v>43891</v>
      </c>
      <c r="G2170">
        <v>-462</v>
      </c>
      <c r="H2170" t="s">
        <v>58</v>
      </c>
    </row>
    <row r="2171" spans="1:8" x14ac:dyDescent="0.3">
      <c r="A2171">
        <v>189</v>
      </c>
      <c r="B2171" s="5">
        <v>43912</v>
      </c>
      <c r="C2171" t="s">
        <v>11</v>
      </c>
      <c r="D2171">
        <v>718</v>
      </c>
      <c r="E2171">
        <v>-4007</v>
      </c>
      <c r="F2171" s="5">
        <v>43891</v>
      </c>
      <c r="G2171">
        <v>-718</v>
      </c>
      <c r="H2171" t="s">
        <v>58</v>
      </c>
    </row>
    <row r="2172" spans="1:8" x14ac:dyDescent="0.3">
      <c r="A2172">
        <v>190</v>
      </c>
      <c r="B2172" s="5">
        <v>43856</v>
      </c>
      <c r="C2172" t="s">
        <v>10</v>
      </c>
      <c r="D2172">
        <v>14</v>
      </c>
      <c r="E2172">
        <v>14</v>
      </c>
      <c r="F2172" s="5">
        <v>43831</v>
      </c>
      <c r="G2172">
        <v>14</v>
      </c>
      <c r="H2172" t="s">
        <v>57</v>
      </c>
    </row>
    <row r="2173" spans="1:8" x14ac:dyDescent="0.3">
      <c r="A2173">
        <v>190</v>
      </c>
      <c r="B2173" s="5">
        <v>43880</v>
      </c>
      <c r="C2173" t="s">
        <v>10</v>
      </c>
      <c r="D2173">
        <v>445</v>
      </c>
      <c r="E2173">
        <v>459</v>
      </c>
      <c r="F2173" s="5">
        <v>43862</v>
      </c>
      <c r="G2173">
        <v>445</v>
      </c>
      <c r="H2173" t="s">
        <v>57</v>
      </c>
    </row>
    <row r="2174" spans="1:8" x14ac:dyDescent="0.3">
      <c r="A2174">
        <v>190</v>
      </c>
      <c r="B2174" s="5">
        <v>43896</v>
      </c>
      <c r="C2174" t="s">
        <v>11</v>
      </c>
      <c r="D2174">
        <v>449</v>
      </c>
      <c r="E2174">
        <v>10</v>
      </c>
      <c r="F2174" s="5">
        <v>43891</v>
      </c>
      <c r="G2174">
        <v>-449</v>
      </c>
      <c r="H2174" t="s">
        <v>57</v>
      </c>
    </row>
    <row r="2175" spans="1:8" x14ac:dyDescent="0.3">
      <c r="A2175">
        <v>190</v>
      </c>
      <c r="B2175" s="5">
        <v>43914</v>
      </c>
      <c r="C2175" t="s">
        <v>10</v>
      </c>
      <c r="D2175">
        <v>513</v>
      </c>
      <c r="E2175">
        <v>523</v>
      </c>
      <c r="F2175" s="5">
        <v>43891</v>
      </c>
      <c r="G2175">
        <v>513</v>
      </c>
      <c r="H2175" t="s">
        <v>57</v>
      </c>
    </row>
    <row r="2176" spans="1:8" x14ac:dyDescent="0.3">
      <c r="A2176">
        <v>190</v>
      </c>
      <c r="B2176" s="5">
        <v>43927</v>
      </c>
      <c r="C2176" t="s">
        <v>10</v>
      </c>
      <c r="D2176">
        <v>655</v>
      </c>
      <c r="E2176">
        <v>1178</v>
      </c>
      <c r="F2176" s="5">
        <v>43922</v>
      </c>
      <c r="G2176">
        <v>655</v>
      </c>
      <c r="H2176" t="s">
        <v>57</v>
      </c>
    </row>
    <row r="2177" spans="1:8" x14ac:dyDescent="0.3">
      <c r="A2177">
        <v>191</v>
      </c>
      <c r="B2177" s="5">
        <v>43846</v>
      </c>
      <c r="C2177" t="s">
        <v>10</v>
      </c>
      <c r="D2177">
        <v>769</v>
      </c>
      <c r="E2177">
        <v>769</v>
      </c>
      <c r="F2177" s="5">
        <v>43831</v>
      </c>
      <c r="G2177">
        <v>769</v>
      </c>
      <c r="H2177" t="s">
        <v>57</v>
      </c>
    </row>
    <row r="2178" spans="1:8" x14ac:dyDescent="0.3">
      <c r="A2178">
        <v>191</v>
      </c>
      <c r="B2178" s="5">
        <v>43850</v>
      </c>
      <c r="C2178" t="s">
        <v>10</v>
      </c>
      <c r="D2178">
        <v>863</v>
      </c>
      <c r="E2178">
        <v>1632</v>
      </c>
      <c r="F2178" s="5">
        <v>43831</v>
      </c>
      <c r="G2178">
        <v>863</v>
      </c>
      <c r="H2178" t="s">
        <v>57</v>
      </c>
    </row>
    <row r="2179" spans="1:8" x14ac:dyDescent="0.3">
      <c r="A2179">
        <v>191</v>
      </c>
      <c r="B2179" s="5">
        <v>43863</v>
      </c>
      <c r="C2179" t="s">
        <v>10</v>
      </c>
      <c r="D2179">
        <v>143</v>
      </c>
      <c r="E2179">
        <v>1775</v>
      </c>
      <c r="F2179" s="5">
        <v>43862</v>
      </c>
      <c r="G2179">
        <v>143</v>
      </c>
      <c r="H2179" t="s">
        <v>57</v>
      </c>
    </row>
    <row r="2180" spans="1:8" x14ac:dyDescent="0.3">
      <c r="A2180">
        <v>191</v>
      </c>
      <c r="B2180" s="5">
        <v>43871</v>
      </c>
      <c r="C2180" t="s">
        <v>12</v>
      </c>
      <c r="D2180">
        <v>469</v>
      </c>
      <c r="E2180">
        <v>1306</v>
      </c>
      <c r="F2180" s="5">
        <v>43862</v>
      </c>
      <c r="G2180">
        <v>-469</v>
      </c>
      <c r="H2180" t="s">
        <v>57</v>
      </c>
    </row>
    <row r="2181" spans="1:8" x14ac:dyDescent="0.3">
      <c r="A2181">
        <v>191</v>
      </c>
      <c r="B2181" s="5">
        <v>43916</v>
      </c>
      <c r="C2181" t="s">
        <v>11</v>
      </c>
      <c r="D2181">
        <v>270</v>
      </c>
      <c r="E2181">
        <v>1036</v>
      </c>
      <c r="F2181" s="5">
        <v>43891</v>
      </c>
      <c r="G2181">
        <v>-270</v>
      </c>
      <c r="H2181" t="s">
        <v>57</v>
      </c>
    </row>
    <row r="2182" spans="1:8" x14ac:dyDescent="0.3">
      <c r="A2182">
        <v>191</v>
      </c>
      <c r="B2182" s="5">
        <v>43930</v>
      </c>
      <c r="C2182" t="s">
        <v>12</v>
      </c>
      <c r="D2182">
        <v>157</v>
      </c>
      <c r="E2182">
        <v>879</v>
      </c>
      <c r="F2182" s="5">
        <v>43922</v>
      </c>
      <c r="G2182">
        <v>-157</v>
      </c>
      <c r="H2182" t="s">
        <v>57</v>
      </c>
    </row>
    <row r="2183" spans="1:8" x14ac:dyDescent="0.3">
      <c r="A2183">
        <v>192</v>
      </c>
      <c r="B2183" s="5">
        <v>43850</v>
      </c>
      <c r="C2183" t="s">
        <v>10</v>
      </c>
      <c r="D2183">
        <v>906</v>
      </c>
      <c r="E2183">
        <v>906</v>
      </c>
      <c r="F2183" s="5">
        <v>43831</v>
      </c>
      <c r="G2183">
        <v>906</v>
      </c>
      <c r="H2183" t="s">
        <v>57</v>
      </c>
    </row>
    <row r="2184" spans="1:8" x14ac:dyDescent="0.3">
      <c r="A2184">
        <v>192</v>
      </c>
      <c r="B2184" s="5">
        <v>43852</v>
      </c>
      <c r="C2184" t="s">
        <v>10</v>
      </c>
      <c r="D2184">
        <v>735</v>
      </c>
      <c r="E2184">
        <v>1641</v>
      </c>
      <c r="F2184" s="5">
        <v>43831</v>
      </c>
      <c r="G2184">
        <v>735</v>
      </c>
      <c r="H2184" t="s">
        <v>57</v>
      </c>
    </row>
    <row r="2185" spans="1:8" x14ac:dyDescent="0.3">
      <c r="A2185">
        <v>192</v>
      </c>
      <c r="B2185" s="5">
        <v>43860</v>
      </c>
      <c r="C2185" t="s">
        <v>10</v>
      </c>
      <c r="D2185">
        <v>885</v>
      </c>
      <c r="E2185">
        <v>2526</v>
      </c>
      <c r="F2185" s="5">
        <v>43831</v>
      </c>
      <c r="G2185">
        <v>885</v>
      </c>
      <c r="H2185" t="s">
        <v>57</v>
      </c>
    </row>
    <row r="2186" spans="1:8" x14ac:dyDescent="0.3">
      <c r="A2186">
        <v>192</v>
      </c>
      <c r="B2186" s="5">
        <v>43865</v>
      </c>
      <c r="C2186" t="s">
        <v>10</v>
      </c>
      <c r="D2186">
        <v>686</v>
      </c>
      <c r="E2186">
        <v>3212</v>
      </c>
      <c r="F2186" s="5">
        <v>43862</v>
      </c>
      <c r="G2186">
        <v>686</v>
      </c>
      <c r="H2186" t="s">
        <v>57</v>
      </c>
    </row>
    <row r="2187" spans="1:8" x14ac:dyDescent="0.3">
      <c r="A2187">
        <v>192</v>
      </c>
      <c r="B2187" s="5">
        <v>43873</v>
      </c>
      <c r="C2187" t="s">
        <v>10</v>
      </c>
      <c r="D2187">
        <v>360</v>
      </c>
      <c r="E2187">
        <v>3572</v>
      </c>
      <c r="F2187" s="5">
        <v>43862</v>
      </c>
      <c r="G2187">
        <v>360</v>
      </c>
      <c r="H2187" t="s">
        <v>57</v>
      </c>
    </row>
    <row r="2188" spans="1:8" x14ac:dyDescent="0.3">
      <c r="A2188">
        <v>192</v>
      </c>
      <c r="B2188" s="5">
        <v>43875</v>
      </c>
      <c r="C2188" t="s">
        <v>11</v>
      </c>
      <c r="D2188">
        <v>640</v>
      </c>
      <c r="E2188">
        <v>2932</v>
      </c>
      <c r="F2188" s="5">
        <v>43862</v>
      </c>
      <c r="G2188">
        <v>-640</v>
      </c>
      <c r="H2188" t="s">
        <v>57</v>
      </c>
    </row>
    <row r="2189" spans="1:8" x14ac:dyDescent="0.3">
      <c r="A2189">
        <v>192</v>
      </c>
      <c r="B2189" s="5">
        <v>43875</v>
      </c>
      <c r="C2189" t="s">
        <v>12</v>
      </c>
      <c r="D2189">
        <v>672</v>
      </c>
      <c r="E2189">
        <v>2260</v>
      </c>
      <c r="F2189" s="5">
        <v>43862</v>
      </c>
      <c r="G2189">
        <v>-672</v>
      </c>
      <c r="H2189" t="s">
        <v>57</v>
      </c>
    </row>
    <row r="2190" spans="1:8" x14ac:dyDescent="0.3">
      <c r="A2190">
        <v>192</v>
      </c>
      <c r="B2190" s="5">
        <v>43875</v>
      </c>
      <c r="C2190" t="s">
        <v>12</v>
      </c>
      <c r="D2190">
        <v>405</v>
      </c>
      <c r="E2190">
        <v>1855</v>
      </c>
      <c r="F2190" s="5">
        <v>43862</v>
      </c>
      <c r="G2190">
        <v>-405</v>
      </c>
      <c r="H2190" t="s">
        <v>57</v>
      </c>
    </row>
    <row r="2191" spans="1:8" x14ac:dyDescent="0.3">
      <c r="A2191">
        <v>192</v>
      </c>
      <c r="B2191" s="5">
        <v>43883</v>
      </c>
      <c r="C2191" t="s">
        <v>11</v>
      </c>
      <c r="D2191">
        <v>773</v>
      </c>
      <c r="E2191">
        <v>1082</v>
      </c>
      <c r="F2191" s="5">
        <v>43862</v>
      </c>
      <c r="G2191">
        <v>-773</v>
      </c>
      <c r="H2191" t="s">
        <v>57</v>
      </c>
    </row>
    <row r="2192" spans="1:8" x14ac:dyDescent="0.3">
      <c r="A2192">
        <v>192</v>
      </c>
      <c r="B2192" s="5">
        <v>43885</v>
      </c>
      <c r="C2192" t="s">
        <v>11</v>
      </c>
      <c r="D2192">
        <v>949</v>
      </c>
      <c r="E2192">
        <v>133</v>
      </c>
      <c r="F2192" s="5">
        <v>43862</v>
      </c>
      <c r="G2192">
        <v>-949</v>
      </c>
      <c r="H2192" t="s">
        <v>57</v>
      </c>
    </row>
    <row r="2193" spans="1:8" x14ac:dyDescent="0.3">
      <c r="A2193">
        <v>192</v>
      </c>
      <c r="B2193" s="5">
        <v>43885</v>
      </c>
      <c r="C2193" t="s">
        <v>10</v>
      </c>
      <c r="D2193">
        <v>42</v>
      </c>
      <c r="E2193">
        <v>175</v>
      </c>
      <c r="F2193" s="5">
        <v>43862</v>
      </c>
      <c r="G2193">
        <v>42</v>
      </c>
      <c r="H2193" t="s">
        <v>57</v>
      </c>
    </row>
    <row r="2194" spans="1:8" x14ac:dyDescent="0.3">
      <c r="A2194">
        <v>192</v>
      </c>
      <c r="B2194" s="5">
        <v>43887</v>
      </c>
      <c r="C2194" t="s">
        <v>12</v>
      </c>
      <c r="D2194">
        <v>355</v>
      </c>
      <c r="E2194">
        <v>-180</v>
      </c>
      <c r="F2194" s="5">
        <v>43862</v>
      </c>
      <c r="G2194">
        <v>-355</v>
      </c>
      <c r="H2194" t="s">
        <v>58</v>
      </c>
    </row>
    <row r="2195" spans="1:8" x14ac:dyDescent="0.3">
      <c r="A2195">
        <v>192</v>
      </c>
      <c r="B2195" s="5">
        <v>43889</v>
      </c>
      <c r="C2195" t="s">
        <v>12</v>
      </c>
      <c r="D2195">
        <v>663</v>
      </c>
      <c r="E2195">
        <v>-843</v>
      </c>
      <c r="F2195" s="5">
        <v>43862</v>
      </c>
      <c r="G2195">
        <v>-663</v>
      </c>
      <c r="H2195" t="s">
        <v>58</v>
      </c>
    </row>
    <row r="2196" spans="1:8" x14ac:dyDescent="0.3">
      <c r="A2196">
        <v>192</v>
      </c>
      <c r="B2196" s="5">
        <v>43890</v>
      </c>
      <c r="C2196" t="s">
        <v>10</v>
      </c>
      <c r="D2196">
        <v>154</v>
      </c>
      <c r="E2196">
        <v>-689</v>
      </c>
      <c r="F2196" s="5">
        <v>43862</v>
      </c>
      <c r="G2196">
        <v>154</v>
      </c>
      <c r="H2196" t="s">
        <v>58</v>
      </c>
    </row>
    <row r="2197" spans="1:8" x14ac:dyDescent="0.3">
      <c r="A2197">
        <v>192</v>
      </c>
      <c r="B2197" s="5">
        <v>43894</v>
      </c>
      <c r="C2197" t="s">
        <v>11</v>
      </c>
      <c r="D2197">
        <v>694</v>
      </c>
      <c r="E2197">
        <v>-1383</v>
      </c>
      <c r="F2197" s="5">
        <v>43891</v>
      </c>
      <c r="G2197">
        <v>-694</v>
      </c>
      <c r="H2197" t="s">
        <v>58</v>
      </c>
    </row>
    <row r="2198" spans="1:8" x14ac:dyDescent="0.3">
      <c r="A2198">
        <v>192</v>
      </c>
      <c r="B2198" s="5">
        <v>43907</v>
      </c>
      <c r="C2198" t="s">
        <v>12</v>
      </c>
      <c r="D2198">
        <v>250</v>
      </c>
      <c r="E2198">
        <v>-1633</v>
      </c>
      <c r="F2198" s="5">
        <v>43891</v>
      </c>
      <c r="G2198">
        <v>-250</v>
      </c>
      <c r="H2198" t="s">
        <v>58</v>
      </c>
    </row>
    <row r="2199" spans="1:8" x14ac:dyDescent="0.3">
      <c r="A2199">
        <v>192</v>
      </c>
      <c r="B2199" s="5">
        <v>43911</v>
      </c>
      <c r="C2199" t="s">
        <v>10</v>
      </c>
      <c r="D2199">
        <v>746</v>
      </c>
      <c r="E2199">
        <v>-887</v>
      </c>
      <c r="F2199" s="5">
        <v>43891</v>
      </c>
      <c r="G2199">
        <v>746</v>
      </c>
      <c r="H2199" t="s">
        <v>58</v>
      </c>
    </row>
    <row r="2200" spans="1:8" x14ac:dyDescent="0.3">
      <c r="A2200">
        <v>192</v>
      </c>
      <c r="B2200" s="5">
        <v>43913</v>
      </c>
      <c r="C2200" t="s">
        <v>10</v>
      </c>
      <c r="D2200">
        <v>938</v>
      </c>
      <c r="E2200">
        <v>51</v>
      </c>
      <c r="F2200" s="5">
        <v>43891</v>
      </c>
      <c r="G2200">
        <v>938</v>
      </c>
      <c r="H2200" t="s">
        <v>57</v>
      </c>
    </row>
    <row r="2201" spans="1:8" x14ac:dyDescent="0.3">
      <c r="A2201">
        <v>192</v>
      </c>
      <c r="B2201" s="5">
        <v>43917</v>
      </c>
      <c r="C2201" t="s">
        <v>11</v>
      </c>
      <c r="D2201">
        <v>253</v>
      </c>
      <c r="E2201">
        <v>-202</v>
      </c>
      <c r="F2201" s="5">
        <v>43891</v>
      </c>
      <c r="G2201">
        <v>-253</v>
      </c>
      <c r="H2201" t="s">
        <v>58</v>
      </c>
    </row>
    <row r="2202" spans="1:8" x14ac:dyDescent="0.3">
      <c r="A2202">
        <v>192</v>
      </c>
      <c r="B2202" s="5">
        <v>43921</v>
      </c>
      <c r="C2202" t="s">
        <v>10</v>
      </c>
      <c r="D2202">
        <v>585</v>
      </c>
      <c r="E2202">
        <v>383</v>
      </c>
      <c r="F2202" s="5">
        <v>43891</v>
      </c>
      <c r="G2202">
        <v>585</v>
      </c>
      <c r="H2202" t="s">
        <v>57</v>
      </c>
    </row>
    <row r="2203" spans="1:8" x14ac:dyDescent="0.3">
      <c r="A2203">
        <v>192</v>
      </c>
      <c r="B2203" s="5">
        <v>43934</v>
      </c>
      <c r="C2203" t="s">
        <v>10</v>
      </c>
      <c r="D2203">
        <v>756</v>
      </c>
      <c r="E2203">
        <v>1139</v>
      </c>
      <c r="F2203" s="5">
        <v>43922</v>
      </c>
      <c r="G2203">
        <v>756</v>
      </c>
      <c r="H2203" t="s">
        <v>57</v>
      </c>
    </row>
    <row r="2204" spans="1:8" x14ac:dyDescent="0.3">
      <c r="A2204">
        <v>193</v>
      </c>
      <c r="B2204" s="5">
        <v>43842</v>
      </c>
      <c r="C2204" t="s">
        <v>10</v>
      </c>
      <c r="D2204">
        <v>689</v>
      </c>
      <c r="E2204">
        <v>689</v>
      </c>
      <c r="F2204" s="5">
        <v>43831</v>
      </c>
      <c r="G2204">
        <v>689</v>
      </c>
      <c r="H2204" t="s">
        <v>57</v>
      </c>
    </row>
    <row r="2205" spans="1:8" x14ac:dyDescent="0.3">
      <c r="A2205">
        <v>193</v>
      </c>
      <c r="B2205" s="5">
        <v>43892</v>
      </c>
      <c r="C2205" t="s">
        <v>11</v>
      </c>
      <c r="D2205">
        <v>203</v>
      </c>
      <c r="E2205">
        <v>486</v>
      </c>
      <c r="F2205" s="5">
        <v>43891</v>
      </c>
      <c r="G2205">
        <v>-203</v>
      </c>
      <c r="H2205" t="s">
        <v>57</v>
      </c>
    </row>
    <row r="2206" spans="1:8" x14ac:dyDescent="0.3">
      <c r="A2206">
        <v>194</v>
      </c>
      <c r="B2206" s="5">
        <v>43858</v>
      </c>
      <c r="C2206" t="s">
        <v>10</v>
      </c>
      <c r="D2206">
        <v>137</v>
      </c>
      <c r="E2206">
        <v>137</v>
      </c>
      <c r="F2206" s="5">
        <v>43831</v>
      </c>
      <c r="G2206">
        <v>137</v>
      </c>
      <c r="H2206" t="s">
        <v>57</v>
      </c>
    </row>
    <row r="2207" spans="1:8" x14ac:dyDescent="0.3">
      <c r="A2207">
        <v>194</v>
      </c>
      <c r="B2207" s="5">
        <v>43862</v>
      </c>
      <c r="C2207" t="s">
        <v>12</v>
      </c>
      <c r="D2207">
        <v>785</v>
      </c>
      <c r="E2207">
        <v>-648</v>
      </c>
      <c r="F2207" s="5">
        <v>43862</v>
      </c>
      <c r="G2207">
        <v>-785</v>
      </c>
      <c r="H2207" t="s">
        <v>58</v>
      </c>
    </row>
    <row r="2208" spans="1:8" x14ac:dyDescent="0.3">
      <c r="A2208">
        <v>194</v>
      </c>
      <c r="B2208" s="5">
        <v>43862</v>
      </c>
      <c r="C2208" t="s">
        <v>11</v>
      </c>
      <c r="D2208">
        <v>634</v>
      </c>
      <c r="E2208">
        <v>-1282</v>
      </c>
      <c r="F2208" s="5">
        <v>43862</v>
      </c>
      <c r="G2208">
        <v>-634</v>
      </c>
      <c r="H2208" t="s">
        <v>58</v>
      </c>
    </row>
    <row r="2209" spans="1:8" x14ac:dyDescent="0.3">
      <c r="A2209">
        <v>194</v>
      </c>
      <c r="B2209" s="5">
        <v>43879</v>
      </c>
      <c r="C2209" t="s">
        <v>11</v>
      </c>
      <c r="D2209">
        <v>965</v>
      </c>
      <c r="E2209">
        <v>-2247</v>
      </c>
      <c r="F2209" s="5">
        <v>43862</v>
      </c>
      <c r="G2209">
        <v>-965</v>
      </c>
      <c r="H2209" t="s">
        <v>58</v>
      </c>
    </row>
    <row r="2210" spans="1:8" x14ac:dyDescent="0.3">
      <c r="A2210">
        <v>194</v>
      </c>
      <c r="B2210" s="5">
        <v>43890</v>
      </c>
      <c r="C2210" t="s">
        <v>10</v>
      </c>
      <c r="D2210">
        <v>36</v>
      </c>
      <c r="E2210">
        <v>-2211</v>
      </c>
      <c r="F2210" s="5">
        <v>43862</v>
      </c>
      <c r="G2210">
        <v>36</v>
      </c>
      <c r="H2210" t="s">
        <v>58</v>
      </c>
    </row>
    <row r="2211" spans="1:8" x14ac:dyDescent="0.3">
      <c r="A2211">
        <v>194</v>
      </c>
      <c r="B2211" s="5">
        <v>43891</v>
      </c>
      <c r="C2211" t="s">
        <v>10</v>
      </c>
      <c r="D2211">
        <v>454</v>
      </c>
      <c r="E2211">
        <v>-1757</v>
      </c>
      <c r="F2211" s="5">
        <v>43891</v>
      </c>
      <c r="G2211">
        <v>454</v>
      </c>
      <c r="H2211" t="s">
        <v>58</v>
      </c>
    </row>
    <row r="2212" spans="1:8" x14ac:dyDescent="0.3">
      <c r="A2212">
        <v>194</v>
      </c>
      <c r="B2212" s="5">
        <v>43892</v>
      </c>
      <c r="C2212" t="s">
        <v>12</v>
      </c>
      <c r="D2212">
        <v>695</v>
      </c>
      <c r="E2212">
        <v>-2452</v>
      </c>
      <c r="F2212" s="5">
        <v>43891</v>
      </c>
      <c r="G2212">
        <v>-695</v>
      </c>
      <c r="H2212" t="s">
        <v>58</v>
      </c>
    </row>
    <row r="2213" spans="1:8" x14ac:dyDescent="0.3">
      <c r="A2213">
        <v>194</v>
      </c>
      <c r="B2213" s="5">
        <v>43896</v>
      </c>
      <c r="C2213" t="s">
        <v>12</v>
      </c>
      <c r="D2213">
        <v>532</v>
      </c>
      <c r="E2213">
        <v>-2984</v>
      </c>
      <c r="F2213" s="5">
        <v>43891</v>
      </c>
      <c r="G2213">
        <v>-532</v>
      </c>
      <c r="H2213" t="s">
        <v>58</v>
      </c>
    </row>
    <row r="2214" spans="1:8" x14ac:dyDescent="0.3">
      <c r="A2214">
        <v>194</v>
      </c>
      <c r="B2214" s="5">
        <v>43900</v>
      </c>
      <c r="C2214" t="s">
        <v>10</v>
      </c>
      <c r="D2214">
        <v>769</v>
      </c>
      <c r="E2214">
        <v>-2215</v>
      </c>
      <c r="F2214" s="5">
        <v>43891</v>
      </c>
      <c r="G2214">
        <v>769</v>
      </c>
      <c r="H2214" t="s">
        <v>58</v>
      </c>
    </row>
    <row r="2215" spans="1:8" x14ac:dyDescent="0.3">
      <c r="A2215">
        <v>194</v>
      </c>
      <c r="B2215" s="5">
        <v>43900</v>
      </c>
      <c r="C2215" t="s">
        <v>10</v>
      </c>
      <c r="D2215">
        <v>475</v>
      </c>
      <c r="E2215">
        <v>-1740</v>
      </c>
      <c r="F2215" s="5">
        <v>43891</v>
      </c>
      <c r="G2215">
        <v>475</v>
      </c>
      <c r="H2215" t="s">
        <v>58</v>
      </c>
    </row>
    <row r="2216" spans="1:8" x14ac:dyDescent="0.3">
      <c r="A2216">
        <v>194</v>
      </c>
      <c r="B2216" s="5">
        <v>43904</v>
      </c>
      <c r="C2216" t="s">
        <v>10</v>
      </c>
      <c r="D2216">
        <v>220</v>
      </c>
      <c r="E2216">
        <v>-1520</v>
      </c>
      <c r="F2216" s="5">
        <v>43891</v>
      </c>
      <c r="G2216">
        <v>220</v>
      </c>
      <c r="H2216" t="s">
        <v>58</v>
      </c>
    </row>
    <row r="2217" spans="1:8" x14ac:dyDescent="0.3">
      <c r="A2217">
        <v>194</v>
      </c>
      <c r="B2217" s="5">
        <v>43905</v>
      </c>
      <c r="C2217" t="s">
        <v>10</v>
      </c>
      <c r="D2217">
        <v>392</v>
      </c>
      <c r="E2217">
        <v>-1128</v>
      </c>
      <c r="F2217" s="5">
        <v>43891</v>
      </c>
      <c r="G2217">
        <v>392</v>
      </c>
      <c r="H2217" t="s">
        <v>58</v>
      </c>
    </row>
    <row r="2218" spans="1:8" x14ac:dyDescent="0.3">
      <c r="A2218">
        <v>194</v>
      </c>
      <c r="B2218" s="5">
        <v>43906</v>
      </c>
      <c r="C2218" t="s">
        <v>10</v>
      </c>
      <c r="D2218">
        <v>601</v>
      </c>
      <c r="E2218">
        <v>-527</v>
      </c>
      <c r="F2218" s="5">
        <v>43891</v>
      </c>
      <c r="G2218">
        <v>601</v>
      </c>
      <c r="H2218" t="s">
        <v>58</v>
      </c>
    </row>
    <row r="2219" spans="1:8" x14ac:dyDescent="0.3">
      <c r="A2219">
        <v>194</v>
      </c>
      <c r="B2219" s="5">
        <v>43914</v>
      </c>
      <c r="C2219" t="s">
        <v>10</v>
      </c>
      <c r="D2219">
        <v>705</v>
      </c>
      <c r="E2219">
        <v>178</v>
      </c>
      <c r="F2219" s="5">
        <v>43891</v>
      </c>
      <c r="G2219">
        <v>705</v>
      </c>
      <c r="H2219" t="s">
        <v>57</v>
      </c>
    </row>
    <row r="2220" spans="1:8" x14ac:dyDescent="0.3">
      <c r="A2220">
        <v>194</v>
      </c>
      <c r="B2220" s="5">
        <v>43925</v>
      </c>
      <c r="C2220" t="s">
        <v>12</v>
      </c>
      <c r="D2220">
        <v>941</v>
      </c>
      <c r="E2220">
        <v>-763</v>
      </c>
      <c r="F2220" s="5">
        <v>43922</v>
      </c>
      <c r="G2220">
        <v>-941</v>
      </c>
      <c r="H2220" t="s">
        <v>58</v>
      </c>
    </row>
    <row r="2221" spans="1:8" x14ac:dyDescent="0.3">
      <c r="A2221">
        <v>194</v>
      </c>
      <c r="B2221" s="5">
        <v>43926</v>
      </c>
      <c r="C2221" t="s">
        <v>10</v>
      </c>
      <c r="D2221">
        <v>347</v>
      </c>
      <c r="E2221">
        <v>-416</v>
      </c>
      <c r="F2221" s="5">
        <v>43922</v>
      </c>
      <c r="G2221">
        <v>347</v>
      </c>
      <c r="H2221" t="s">
        <v>58</v>
      </c>
    </row>
    <row r="2222" spans="1:8" x14ac:dyDescent="0.3">
      <c r="A2222">
        <v>194</v>
      </c>
      <c r="B2222" s="5">
        <v>43934</v>
      </c>
      <c r="C2222" t="s">
        <v>11</v>
      </c>
      <c r="D2222">
        <v>269</v>
      </c>
      <c r="E2222">
        <v>-685</v>
      </c>
      <c r="F2222" s="5">
        <v>43922</v>
      </c>
      <c r="G2222">
        <v>-269</v>
      </c>
      <c r="H2222" t="s">
        <v>58</v>
      </c>
    </row>
    <row r="2223" spans="1:8" x14ac:dyDescent="0.3">
      <c r="A2223">
        <v>194</v>
      </c>
      <c r="B2223" s="5">
        <v>43945</v>
      </c>
      <c r="C2223" t="s">
        <v>11</v>
      </c>
      <c r="D2223">
        <v>12</v>
      </c>
      <c r="E2223">
        <v>-697</v>
      </c>
      <c r="F2223" s="5">
        <v>43922</v>
      </c>
      <c r="G2223">
        <v>-12</v>
      </c>
      <c r="H2223" t="s">
        <v>58</v>
      </c>
    </row>
    <row r="2224" spans="1:8" x14ac:dyDescent="0.3">
      <c r="A2224">
        <v>195</v>
      </c>
      <c r="B2224" s="5">
        <v>43849</v>
      </c>
      <c r="C2224" t="s">
        <v>10</v>
      </c>
      <c r="D2224">
        <v>489</v>
      </c>
      <c r="E2224">
        <v>489</v>
      </c>
      <c r="F2224" s="5">
        <v>43831</v>
      </c>
      <c r="G2224">
        <v>489</v>
      </c>
      <c r="H2224" t="s">
        <v>57</v>
      </c>
    </row>
    <row r="2225" spans="1:8" x14ac:dyDescent="0.3">
      <c r="A2225">
        <v>195</v>
      </c>
      <c r="B2225" s="5">
        <v>43913</v>
      </c>
      <c r="C2225" t="s">
        <v>11</v>
      </c>
      <c r="D2225">
        <v>83</v>
      </c>
      <c r="E2225">
        <v>406</v>
      </c>
      <c r="F2225" s="5">
        <v>43891</v>
      </c>
      <c r="G2225">
        <v>-83</v>
      </c>
      <c r="H2225" t="s">
        <v>57</v>
      </c>
    </row>
    <row r="2226" spans="1:8" x14ac:dyDescent="0.3">
      <c r="A2226">
        <v>196</v>
      </c>
      <c r="B2226" s="5">
        <v>43843</v>
      </c>
      <c r="C2226" t="s">
        <v>10</v>
      </c>
      <c r="D2226">
        <v>734</v>
      </c>
      <c r="E2226">
        <v>734</v>
      </c>
      <c r="F2226" s="5">
        <v>43831</v>
      </c>
      <c r="G2226">
        <v>734</v>
      </c>
      <c r="H2226" t="s">
        <v>57</v>
      </c>
    </row>
    <row r="2227" spans="1:8" x14ac:dyDescent="0.3">
      <c r="A2227">
        <v>196</v>
      </c>
      <c r="B2227" s="5">
        <v>43865</v>
      </c>
      <c r="C2227" t="s">
        <v>12</v>
      </c>
      <c r="D2227">
        <v>512</v>
      </c>
      <c r="E2227">
        <v>222</v>
      </c>
      <c r="F2227" s="5">
        <v>43862</v>
      </c>
      <c r="G2227">
        <v>-512</v>
      </c>
      <c r="H2227" t="s">
        <v>57</v>
      </c>
    </row>
    <row r="2228" spans="1:8" x14ac:dyDescent="0.3">
      <c r="A2228">
        <v>196</v>
      </c>
      <c r="B2228" s="5">
        <v>43872</v>
      </c>
      <c r="C2228" t="s">
        <v>10</v>
      </c>
      <c r="D2228">
        <v>736</v>
      </c>
      <c r="E2228">
        <v>958</v>
      </c>
      <c r="F2228" s="5">
        <v>43862</v>
      </c>
      <c r="G2228">
        <v>736</v>
      </c>
      <c r="H2228" t="s">
        <v>57</v>
      </c>
    </row>
    <row r="2229" spans="1:8" x14ac:dyDescent="0.3">
      <c r="A2229">
        <v>196</v>
      </c>
      <c r="B2229" s="5">
        <v>43882</v>
      </c>
      <c r="C2229" t="s">
        <v>10</v>
      </c>
      <c r="D2229">
        <v>337</v>
      </c>
      <c r="E2229">
        <v>1295</v>
      </c>
      <c r="F2229" s="5">
        <v>43862</v>
      </c>
      <c r="G2229">
        <v>337</v>
      </c>
      <c r="H2229" t="s">
        <v>57</v>
      </c>
    </row>
    <row r="2230" spans="1:8" x14ac:dyDescent="0.3">
      <c r="A2230">
        <v>196</v>
      </c>
      <c r="B2230" s="5">
        <v>43915</v>
      </c>
      <c r="C2230" t="s">
        <v>10</v>
      </c>
      <c r="D2230">
        <v>87</v>
      </c>
      <c r="E2230">
        <v>1382</v>
      </c>
      <c r="F2230" s="5">
        <v>43891</v>
      </c>
      <c r="G2230">
        <v>87</v>
      </c>
      <c r="H2230" t="s">
        <v>57</v>
      </c>
    </row>
    <row r="2231" spans="1:8" x14ac:dyDescent="0.3">
      <c r="A2231">
        <v>197</v>
      </c>
      <c r="B2231" s="5">
        <v>43852</v>
      </c>
      <c r="C2231" t="s">
        <v>10</v>
      </c>
      <c r="D2231">
        <v>203</v>
      </c>
      <c r="E2231">
        <v>203</v>
      </c>
      <c r="F2231" s="5">
        <v>43831</v>
      </c>
      <c r="G2231">
        <v>203</v>
      </c>
      <c r="H2231" t="s">
        <v>57</v>
      </c>
    </row>
    <row r="2232" spans="1:8" x14ac:dyDescent="0.3">
      <c r="A2232">
        <v>197</v>
      </c>
      <c r="B2232" s="5">
        <v>43856</v>
      </c>
      <c r="C2232" t="s">
        <v>12</v>
      </c>
      <c r="D2232">
        <v>649</v>
      </c>
      <c r="E2232">
        <v>-446</v>
      </c>
      <c r="F2232" s="5">
        <v>43831</v>
      </c>
      <c r="G2232">
        <v>-649</v>
      </c>
      <c r="H2232" t="s">
        <v>58</v>
      </c>
    </row>
    <row r="2233" spans="1:8" x14ac:dyDescent="0.3">
      <c r="A2233">
        <v>197</v>
      </c>
      <c r="B2233" s="5">
        <v>43869</v>
      </c>
      <c r="C2233" t="s">
        <v>10</v>
      </c>
      <c r="D2233">
        <v>825</v>
      </c>
      <c r="E2233">
        <v>379</v>
      </c>
      <c r="F2233" s="5">
        <v>43862</v>
      </c>
      <c r="G2233">
        <v>825</v>
      </c>
      <c r="H2233" t="s">
        <v>57</v>
      </c>
    </row>
    <row r="2234" spans="1:8" x14ac:dyDescent="0.3">
      <c r="A2234">
        <v>197</v>
      </c>
      <c r="B2234" s="5">
        <v>43870</v>
      </c>
      <c r="C2234" t="s">
        <v>11</v>
      </c>
      <c r="D2234">
        <v>964</v>
      </c>
      <c r="E2234">
        <v>-585</v>
      </c>
      <c r="F2234" s="5">
        <v>43862</v>
      </c>
      <c r="G2234">
        <v>-964</v>
      </c>
      <c r="H2234" t="s">
        <v>58</v>
      </c>
    </row>
    <row r="2235" spans="1:8" x14ac:dyDescent="0.3">
      <c r="A2235">
        <v>197</v>
      </c>
      <c r="B2235" s="5">
        <v>43884</v>
      </c>
      <c r="C2235" t="s">
        <v>11</v>
      </c>
      <c r="D2235">
        <v>415</v>
      </c>
      <c r="E2235">
        <v>-1000</v>
      </c>
      <c r="F2235" s="5">
        <v>43862</v>
      </c>
      <c r="G2235">
        <v>-415</v>
      </c>
      <c r="H2235" t="s">
        <v>58</v>
      </c>
    </row>
    <row r="2236" spans="1:8" x14ac:dyDescent="0.3">
      <c r="A2236">
        <v>197</v>
      </c>
      <c r="B2236" s="5">
        <v>43884</v>
      </c>
      <c r="C2236" t="s">
        <v>10</v>
      </c>
      <c r="D2236">
        <v>792</v>
      </c>
      <c r="E2236">
        <v>-208</v>
      </c>
      <c r="F2236" s="5">
        <v>43862</v>
      </c>
      <c r="G2236">
        <v>792</v>
      </c>
      <c r="H2236" t="s">
        <v>58</v>
      </c>
    </row>
    <row r="2237" spans="1:8" x14ac:dyDescent="0.3">
      <c r="A2237">
        <v>197</v>
      </c>
      <c r="B2237" s="5">
        <v>43890</v>
      </c>
      <c r="C2237" t="s">
        <v>10</v>
      </c>
      <c r="D2237">
        <v>345</v>
      </c>
      <c r="E2237">
        <v>137</v>
      </c>
      <c r="F2237" s="5">
        <v>43862</v>
      </c>
      <c r="G2237">
        <v>345</v>
      </c>
      <c r="H2237" t="s">
        <v>57</v>
      </c>
    </row>
    <row r="2238" spans="1:8" x14ac:dyDescent="0.3">
      <c r="A2238">
        <v>197</v>
      </c>
      <c r="B2238" s="5">
        <v>43897</v>
      </c>
      <c r="C2238" t="s">
        <v>10</v>
      </c>
      <c r="D2238">
        <v>922</v>
      </c>
      <c r="E2238">
        <v>1059</v>
      </c>
      <c r="F2238" s="5">
        <v>43891</v>
      </c>
      <c r="G2238">
        <v>922</v>
      </c>
      <c r="H2238" t="s">
        <v>57</v>
      </c>
    </row>
    <row r="2239" spans="1:8" x14ac:dyDescent="0.3">
      <c r="A2239">
        <v>197</v>
      </c>
      <c r="B2239" s="5">
        <v>43900</v>
      </c>
      <c r="C2239" t="s">
        <v>12</v>
      </c>
      <c r="D2239">
        <v>852</v>
      </c>
      <c r="E2239">
        <v>207</v>
      </c>
      <c r="F2239" s="5">
        <v>43891</v>
      </c>
      <c r="G2239">
        <v>-852</v>
      </c>
      <c r="H2239" t="s">
        <v>57</v>
      </c>
    </row>
    <row r="2240" spans="1:8" x14ac:dyDescent="0.3">
      <c r="A2240">
        <v>197</v>
      </c>
      <c r="B2240" s="5">
        <v>43904</v>
      </c>
      <c r="C2240" t="s">
        <v>12</v>
      </c>
      <c r="D2240">
        <v>356</v>
      </c>
      <c r="E2240">
        <v>-149</v>
      </c>
      <c r="F2240" s="5">
        <v>43891</v>
      </c>
      <c r="G2240">
        <v>-356</v>
      </c>
      <c r="H2240" t="s">
        <v>58</v>
      </c>
    </row>
    <row r="2241" spans="1:8" x14ac:dyDescent="0.3">
      <c r="A2241">
        <v>197</v>
      </c>
      <c r="B2241" s="5">
        <v>43910</v>
      </c>
      <c r="C2241" t="s">
        <v>10</v>
      </c>
      <c r="D2241">
        <v>970</v>
      </c>
      <c r="E2241">
        <v>821</v>
      </c>
      <c r="F2241" s="5">
        <v>43891</v>
      </c>
      <c r="G2241">
        <v>970</v>
      </c>
      <c r="H2241" t="s">
        <v>57</v>
      </c>
    </row>
    <row r="2242" spans="1:8" x14ac:dyDescent="0.3">
      <c r="A2242">
        <v>197</v>
      </c>
      <c r="B2242" s="5">
        <v>43915</v>
      </c>
      <c r="C2242" t="s">
        <v>10</v>
      </c>
      <c r="D2242">
        <v>994</v>
      </c>
      <c r="E2242">
        <v>1815</v>
      </c>
      <c r="F2242" s="5">
        <v>43891</v>
      </c>
      <c r="G2242">
        <v>994</v>
      </c>
      <c r="H2242" t="s">
        <v>57</v>
      </c>
    </row>
    <row r="2243" spans="1:8" x14ac:dyDescent="0.3">
      <c r="A2243">
        <v>197</v>
      </c>
      <c r="B2243" s="5">
        <v>43921</v>
      </c>
      <c r="C2243" t="s">
        <v>11</v>
      </c>
      <c r="D2243">
        <v>655</v>
      </c>
      <c r="E2243">
        <v>1160</v>
      </c>
      <c r="F2243" s="5">
        <v>43891</v>
      </c>
      <c r="G2243">
        <v>-655</v>
      </c>
      <c r="H2243" t="s">
        <v>57</v>
      </c>
    </row>
    <row r="2244" spans="1:8" x14ac:dyDescent="0.3">
      <c r="A2244">
        <v>197</v>
      </c>
      <c r="B2244" s="5">
        <v>43921</v>
      </c>
      <c r="C2244" t="s">
        <v>11</v>
      </c>
      <c r="D2244">
        <v>137</v>
      </c>
      <c r="E2244">
        <v>1023</v>
      </c>
      <c r="F2244" s="5">
        <v>43891</v>
      </c>
      <c r="G2244">
        <v>-137</v>
      </c>
      <c r="H2244" t="s">
        <v>57</v>
      </c>
    </row>
    <row r="2245" spans="1:8" x14ac:dyDescent="0.3">
      <c r="A2245">
        <v>197</v>
      </c>
      <c r="B2245" s="5">
        <v>43923</v>
      </c>
      <c r="C2245" t="s">
        <v>12</v>
      </c>
      <c r="D2245">
        <v>39</v>
      </c>
      <c r="E2245">
        <v>984</v>
      </c>
      <c r="F2245" s="5">
        <v>43922</v>
      </c>
      <c r="G2245">
        <v>-39</v>
      </c>
      <c r="H2245" t="s">
        <v>57</v>
      </c>
    </row>
    <row r="2246" spans="1:8" x14ac:dyDescent="0.3">
      <c r="A2246">
        <v>197</v>
      </c>
      <c r="B2246" s="5">
        <v>43929</v>
      </c>
      <c r="C2246" t="s">
        <v>10</v>
      </c>
      <c r="D2246">
        <v>963</v>
      </c>
      <c r="E2246">
        <v>1947</v>
      </c>
      <c r="F2246" s="5">
        <v>43922</v>
      </c>
      <c r="G2246">
        <v>963</v>
      </c>
      <c r="H2246" t="s">
        <v>57</v>
      </c>
    </row>
    <row r="2247" spans="1:8" x14ac:dyDescent="0.3">
      <c r="A2247">
        <v>197</v>
      </c>
      <c r="B2247" s="5">
        <v>43932</v>
      </c>
      <c r="C2247" t="s">
        <v>11</v>
      </c>
      <c r="D2247">
        <v>257</v>
      </c>
      <c r="E2247">
        <v>1690</v>
      </c>
      <c r="F2247" s="5">
        <v>43922</v>
      </c>
      <c r="G2247">
        <v>-257</v>
      </c>
      <c r="H2247" t="s">
        <v>57</v>
      </c>
    </row>
    <row r="2248" spans="1:8" x14ac:dyDescent="0.3">
      <c r="A2248">
        <v>197</v>
      </c>
      <c r="B2248" s="5">
        <v>43932</v>
      </c>
      <c r="C2248" t="s">
        <v>10</v>
      </c>
      <c r="D2248">
        <v>733</v>
      </c>
      <c r="E2248">
        <v>2423</v>
      </c>
      <c r="F2248" s="5">
        <v>43922</v>
      </c>
      <c r="G2248">
        <v>733</v>
      </c>
      <c r="H2248" t="s">
        <v>57</v>
      </c>
    </row>
    <row r="2249" spans="1:8" x14ac:dyDescent="0.3">
      <c r="A2249">
        <v>197</v>
      </c>
      <c r="B2249" s="5">
        <v>43932</v>
      </c>
      <c r="C2249" t="s">
        <v>10</v>
      </c>
      <c r="D2249">
        <v>446</v>
      </c>
      <c r="E2249">
        <v>2869</v>
      </c>
      <c r="F2249" s="5">
        <v>43922</v>
      </c>
      <c r="G2249">
        <v>446</v>
      </c>
      <c r="H2249" t="s">
        <v>57</v>
      </c>
    </row>
    <row r="2250" spans="1:8" x14ac:dyDescent="0.3">
      <c r="A2250">
        <v>197</v>
      </c>
      <c r="B2250" s="5">
        <v>43937</v>
      </c>
      <c r="C2250" t="s">
        <v>10</v>
      </c>
      <c r="D2250">
        <v>904</v>
      </c>
      <c r="E2250">
        <v>3773</v>
      </c>
      <c r="F2250" s="5">
        <v>43922</v>
      </c>
      <c r="G2250">
        <v>904</v>
      </c>
      <c r="H2250" t="s">
        <v>57</v>
      </c>
    </row>
    <row r="2251" spans="1:8" x14ac:dyDescent="0.3">
      <c r="A2251">
        <v>197</v>
      </c>
      <c r="B2251" s="5">
        <v>43938</v>
      </c>
      <c r="C2251" t="s">
        <v>11</v>
      </c>
      <c r="D2251">
        <v>88</v>
      </c>
      <c r="E2251">
        <v>3685</v>
      </c>
      <c r="F2251" s="5">
        <v>43922</v>
      </c>
      <c r="G2251">
        <v>-88</v>
      </c>
      <c r="H2251" t="s">
        <v>57</v>
      </c>
    </row>
    <row r="2252" spans="1:8" x14ac:dyDescent="0.3">
      <c r="A2252">
        <v>198</v>
      </c>
      <c r="B2252" s="5">
        <v>43847</v>
      </c>
      <c r="C2252" t="s">
        <v>10</v>
      </c>
      <c r="D2252">
        <v>571</v>
      </c>
      <c r="E2252">
        <v>571</v>
      </c>
      <c r="F2252" s="5">
        <v>43831</v>
      </c>
      <c r="G2252">
        <v>571</v>
      </c>
      <c r="H2252" t="s">
        <v>57</v>
      </c>
    </row>
    <row r="2253" spans="1:8" x14ac:dyDescent="0.3">
      <c r="A2253">
        <v>198</v>
      </c>
      <c r="B2253" s="5">
        <v>43850</v>
      </c>
      <c r="C2253" t="s">
        <v>11</v>
      </c>
      <c r="D2253">
        <v>143</v>
      </c>
      <c r="E2253">
        <v>428</v>
      </c>
      <c r="F2253" s="5">
        <v>43831</v>
      </c>
      <c r="G2253">
        <v>-143</v>
      </c>
      <c r="H2253" t="s">
        <v>57</v>
      </c>
    </row>
    <row r="2254" spans="1:8" x14ac:dyDescent="0.3">
      <c r="A2254">
        <v>198</v>
      </c>
      <c r="B2254" s="5">
        <v>43858</v>
      </c>
      <c r="C2254" t="s">
        <v>10</v>
      </c>
      <c r="D2254">
        <v>716</v>
      </c>
      <c r="E2254">
        <v>1144</v>
      </c>
      <c r="F2254" s="5">
        <v>43831</v>
      </c>
      <c r="G2254">
        <v>716</v>
      </c>
      <c r="H2254" t="s">
        <v>57</v>
      </c>
    </row>
    <row r="2255" spans="1:8" x14ac:dyDescent="0.3">
      <c r="A2255">
        <v>198</v>
      </c>
      <c r="B2255" s="5">
        <v>43863</v>
      </c>
      <c r="C2255" t="s">
        <v>11</v>
      </c>
      <c r="D2255">
        <v>248</v>
      </c>
      <c r="E2255">
        <v>896</v>
      </c>
      <c r="F2255" s="5">
        <v>43862</v>
      </c>
      <c r="G2255">
        <v>-248</v>
      </c>
      <c r="H2255" t="s">
        <v>57</v>
      </c>
    </row>
    <row r="2256" spans="1:8" x14ac:dyDescent="0.3">
      <c r="A2256">
        <v>198</v>
      </c>
      <c r="B2256" s="5">
        <v>43876</v>
      </c>
      <c r="C2256" t="s">
        <v>10</v>
      </c>
      <c r="D2256">
        <v>303</v>
      </c>
      <c r="E2256">
        <v>1199</v>
      </c>
      <c r="F2256" s="5">
        <v>43862</v>
      </c>
      <c r="G2256">
        <v>303</v>
      </c>
      <c r="H2256" t="s">
        <v>57</v>
      </c>
    </row>
    <row r="2257" spans="1:8" x14ac:dyDescent="0.3">
      <c r="A2257">
        <v>198</v>
      </c>
      <c r="B2257" s="5">
        <v>43877</v>
      </c>
      <c r="C2257" t="s">
        <v>12</v>
      </c>
      <c r="D2257">
        <v>203</v>
      </c>
      <c r="E2257">
        <v>996</v>
      </c>
      <c r="F2257" s="5">
        <v>43862</v>
      </c>
      <c r="G2257">
        <v>-203</v>
      </c>
      <c r="H2257" t="s">
        <v>57</v>
      </c>
    </row>
    <row r="2258" spans="1:8" x14ac:dyDescent="0.3">
      <c r="A2258">
        <v>198</v>
      </c>
      <c r="B2258" s="5">
        <v>43877</v>
      </c>
      <c r="C2258" t="s">
        <v>12</v>
      </c>
      <c r="D2258">
        <v>110</v>
      </c>
      <c r="E2258">
        <v>886</v>
      </c>
      <c r="F2258" s="5">
        <v>43862</v>
      </c>
      <c r="G2258">
        <v>-110</v>
      </c>
      <c r="H2258" t="s">
        <v>57</v>
      </c>
    </row>
    <row r="2259" spans="1:8" x14ac:dyDescent="0.3">
      <c r="A2259">
        <v>198</v>
      </c>
      <c r="B2259" s="5">
        <v>43890</v>
      </c>
      <c r="C2259" t="s">
        <v>12</v>
      </c>
      <c r="D2259">
        <v>598</v>
      </c>
      <c r="E2259">
        <v>288</v>
      </c>
      <c r="F2259" s="5">
        <v>43862</v>
      </c>
      <c r="G2259">
        <v>-598</v>
      </c>
      <c r="H2259" t="s">
        <v>57</v>
      </c>
    </row>
    <row r="2260" spans="1:8" x14ac:dyDescent="0.3">
      <c r="A2260">
        <v>198</v>
      </c>
      <c r="B2260" s="5">
        <v>43898</v>
      </c>
      <c r="C2260" t="s">
        <v>11</v>
      </c>
      <c r="D2260">
        <v>15</v>
      </c>
      <c r="E2260">
        <v>273</v>
      </c>
      <c r="F2260" s="5">
        <v>43891</v>
      </c>
      <c r="G2260">
        <v>-15</v>
      </c>
      <c r="H2260" t="s">
        <v>57</v>
      </c>
    </row>
    <row r="2261" spans="1:8" x14ac:dyDescent="0.3">
      <c r="A2261">
        <v>198</v>
      </c>
      <c r="B2261" s="5">
        <v>43907</v>
      </c>
      <c r="C2261" t="s">
        <v>12</v>
      </c>
      <c r="D2261">
        <v>714</v>
      </c>
      <c r="E2261">
        <v>-441</v>
      </c>
      <c r="F2261" s="5">
        <v>43891</v>
      </c>
      <c r="G2261">
        <v>-714</v>
      </c>
      <c r="H2261" t="s">
        <v>58</v>
      </c>
    </row>
    <row r="2262" spans="1:8" x14ac:dyDescent="0.3">
      <c r="A2262">
        <v>198</v>
      </c>
      <c r="B2262" s="5">
        <v>43910</v>
      </c>
      <c r="C2262" t="s">
        <v>11</v>
      </c>
      <c r="D2262">
        <v>498</v>
      </c>
      <c r="E2262">
        <v>-939</v>
      </c>
      <c r="F2262" s="5">
        <v>43891</v>
      </c>
      <c r="G2262">
        <v>-498</v>
      </c>
      <c r="H2262" t="s">
        <v>58</v>
      </c>
    </row>
    <row r="2263" spans="1:8" x14ac:dyDescent="0.3">
      <c r="A2263">
        <v>198</v>
      </c>
      <c r="B2263" s="5">
        <v>43911</v>
      </c>
      <c r="C2263" t="s">
        <v>10</v>
      </c>
      <c r="D2263">
        <v>460</v>
      </c>
      <c r="E2263">
        <v>-479</v>
      </c>
      <c r="F2263" s="5">
        <v>43891</v>
      </c>
      <c r="G2263">
        <v>460</v>
      </c>
      <c r="H2263" t="s">
        <v>58</v>
      </c>
    </row>
    <row r="2264" spans="1:8" x14ac:dyDescent="0.3">
      <c r="A2264">
        <v>198</v>
      </c>
      <c r="B2264" s="5">
        <v>43915</v>
      </c>
      <c r="C2264" t="s">
        <v>11</v>
      </c>
      <c r="D2264">
        <v>553</v>
      </c>
      <c r="E2264">
        <v>-1032</v>
      </c>
      <c r="F2264" s="5">
        <v>43891</v>
      </c>
      <c r="G2264">
        <v>-553</v>
      </c>
      <c r="H2264" t="s">
        <v>58</v>
      </c>
    </row>
    <row r="2265" spans="1:8" x14ac:dyDescent="0.3">
      <c r="A2265">
        <v>198</v>
      </c>
      <c r="B2265" s="5">
        <v>43920</v>
      </c>
      <c r="C2265" t="s">
        <v>11</v>
      </c>
      <c r="D2265">
        <v>221</v>
      </c>
      <c r="E2265">
        <v>-1253</v>
      </c>
      <c r="F2265" s="5">
        <v>43891</v>
      </c>
      <c r="G2265">
        <v>-221</v>
      </c>
      <c r="H2265" t="s">
        <v>58</v>
      </c>
    </row>
    <row r="2266" spans="1:8" x14ac:dyDescent="0.3">
      <c r="A2266">
        <v>198</v>
      </c>
      <c r="B2266" s="5">
        <v>43936</v>
      </c>
      <c r="C2266" t="s">
        <v>10</v>
      </c>
      <c r="D2266">
        <v>496</v>
      </c>
      <c r="E2266">
        <v>-757</v>
      </c>
      <c r="F2266" s="5">
        <v>43922</v>
      </c>
      <c r="G2266">
        <v>496</v>
      </c>
      <c r="H2266" t="s">
        <v>58</v>
      </c>
    </row>
    <row r="2267" spans="1:8" x14ac:dyDescent="0.3">
      <c r="A2267">
        <v>199</v>
      </c>
      <c r="B2267" s="5">
        <v>43850</v>
      </c>
      <c r="C2267" t="s">
        <v>10</v>
      </c>
      <c r="D2267">
        <v>530</v>
      </c>
      <c r="E2267">
        <v>530</v>
      </c>
      <c r="F2267" s="5">
        <v>43831</v>
      </c>
      <c r="G2267">
        <v>530</v>
      </c>
      <c r="H2267" t="s">
        <v>57</v>
      </c>
    </row>
    <row r="2268" spans="1:8" x14ac:dyDescent="0.3">
      <c r="A2268">
        <v>199</v>
      </c>
      <c r="B2268" s="5">
        <v>43862</v>
      </c>
      <c r="C2268" t="s">
        <v>12</v>
      </c>
      <c r="D2268">
        <v>687</v>
      </c>
      <c r="E2268">
        <v>-157</v>
      </c>
      <c r="F2268" s="5">
        <v>43862</v>
      </c>
      <c r="G2268">
        <v>-687</v>
      </c>
      <c r="H2268" t="s">
        <v>58</v>
      </c>
    </row>
    <row r="2269" spans="1:8" x14ac:dyDescent="0.3">
      <c r="A2269">
        <v>199</v>
      </c>
      <c r="B2269" s="5">
        <v>43868</v>
      </c>
      <c r="C2269" t="s">
        <v>10</v>
      </c>
      <c r="D2269">
        <v>672</v>
      </c>
      <c r="E2269">
        <v>515</v>
      </c>
      <c r="F2269" s="5">
        <v>43862</v>
      </c>
      <c r="G2269">
        <v>672</v>
      </c>
      <c r="H2269" t="s">
        <v>57</v>
      </c>
    </row>
    <row r="2270" spans="1:8" x14ac:dyDescent="0.3">
      <c r="A2270">
        <v>199</v>
      </c>
      <c r="B2270" s="5">
        <v>43896</v>
      </c>
      <c r="C2270" t="s">
        <v>11</v>
      </c>
      <c r="D2270">
        <v>529</v>
      </c>
      <c r="E2270">
        <v>-14</v>
      </c>
      <c r="F2270" s="5">
        <v>43891</v>
      </c>
      <c r="G2270">
        <v>-529</v>
      </c>
      <c r="H2270" t="s">
        <v>58</v>
      </c>
    </row>
    <row r="2271" spans="1:8" x14ac:dyDescent="0.3">
      <c r="A2271">
        <v>199</v>
      </c>
      <c r="B2271" s="5">
        <v>43923</v>
      </c>
      <c r="C2271" t="s">
        <v>12</v>
      </c>
      <c r="D2271">
        <v>661</v>
      </c>
      <c r="E2271">
        <v>-675</v>
      </c>
      <c r="F2271" s="5">
        <v>43922</v>
      </c>
      <c r="G2271">
        <v>-661</v>
      </c>
      <c r="H2271" t="s">
        <v>58</v>
      </c>
    </row>
    <row r="2272" spans="1:8" x14ac:dyDescent="0.3">
      <c r="A2272">
        <v>199</v>
      </c>
      <c r="B2272" s="5">
        <v>43928</v>
      </c>
      <c r="C2272" t="s">
        <v>10</v>
      </c>
      <c r="D2272">
        <v>455</v>
      </c>
      <c r="E2272">
        <v>-220</v>
      </c>
      <c r="F2272" s="5">
        <v>43922</v>
      </c>
      <c r="G2272">
        <v>455</v>
      </c>
      <c r="H2272" t="s">
        <v>58</v>
      </c>
    </row>
    <row r="2273" spans="1:8" x14ac:dyDescent="0.3">
      <c r="A2273">
        <v>200</v>
      </c>
      <c r="B2273" s="5">
        <v>43859</v>
      </c>
      <c r="C2273" t="s">
        <v>10</v>
      </c>
      <c r="D2273">
        <v>997</v>
      </c>
      <c r="E2273">
        <v>997</v>
      </c>
      <c r="F2273" s="5">
        <v>43831</v>
      </c>
      <c r="G2273">
        <v>997</v>
      </c>
      <c r="H2273" t="s">
        <v>57</v>
      </c>
    </row>
    <row r="2274" spans="1:8" x14ac:dyDescent="0.3">
      <c r="A2274">
        <v>200</v>
      </c>
      <c r="B2274" s="5">
        <v>43868</v>
      </c>
      <c r="C2274" t="s">
        <v>12</v>
      </c>
      <c r="D2274">
        <v>201</v>
      </c>
      <c r="E2274">
        <v>796</v>
      </c>
      <c r="F2274" s="5">
        <v>43862</v>
      </c>
      <c r="G2274">
        <v>-201</v>
      </c>
      <c r="H2274" t="s">
        <v>57</v>
      </c>
    </row>
    <row r="2275" spans="1:8" x14ac:dyDescent="0.3">
      <c r="A2275">
        <v>200</v>
      </c>
      <c r="B2275" s="5">
        <v>43872</v>
      </c>
      <c r="C2275" t="s">
        <v>12</v>
      </c>
      <c r="D2275">
        <v>609</v>
      </c>
      <c r="E2275">
        <v>187</v>
      </c>
      <c r="F2275" s="5">
        <v>43862</v>
      </c>
      <c r="G2275">
        <v>-609</v>
      </c>
      <c r="H2275" t="s">
        <v>57</v>
      </c>
    </row>
    <row r="2276" spans="1:8" x14ac:dyDescent="0.3">
      <c r="A2276">
        <v>200</v>
      </c>
      <c r="B2276" s="5">
        <v>43879</v>
      </c>
      <c r="C2276" t="s">
        <v>10</v>
      </c>
      <c r="D2276">
        <v>904</v>
      </c>
      <c r="E2276">
        <v>1091</v>
      </c>
      <c r="F2276" s="5">
        <v>43862</v>
      </c>
      <c r="G2276">
        <v>904</v>
      </c>
      <c r="H2276" t="s">
        <v>57</v>
      </c>
    </row>
    <row r="2277" spans="1:8" x14ac:dyDescent="0.3">
      <c r="A2277">
        <v>200</v>
      </c>
      <c r="B2277" s="5">
        <v>43881</v>
      </c>
      <c r="C2277" t="s">
        <v>10</v>
      </c>
      <c r="D2277">
        <v>448</v>
      </c>
      <c r="E2277">
        <v>1539</v>
      </c>
      <c r="F2277" s="5">
        <v>43862</v>
      </c>
      <c r="G2277">
        <v>448</v>
      </c>
      <c r="H2277" t="s">
        <v>57</v>
      </c>
    </row>
    <row r="2278" spans="1:8" x14ac:dyDescent="0.3">
      <c r="A2278">
        <v>200</v>
      </c>
      <c r="B2278" s="5">
        <v>43885</v>
      </c>
      <c r="C2278" t="s">
        <v>12</v>
      </c>
      <c r="D2278">
        <v>183</v>
      </c>
      <c r="E2278">
        <v>1356</v>
      </c>
      <c r="F2278" s="5">
        <v>43862</v>
      </c>
      <c r="G2278">
        <v>-183</v>
      </c>
      <c r="H2278" t="s">
        <v>57</v>
      </c>
    </row>
    <row r="2279" spans="1:8" x14ac:dyDescent="0.3">
      <c r="A2279">
        <v>200</v>
      </c>
      <c r="B2279" s="5">
        <v>43899</v>
      </c>
      <c r="C2279" t="s">
        <v>11</v>
      </c>
      <c r="D2279">
        <v>143</v>
      </c>
      <c r="E2279">
        <v>1213</v>
      </c>
      <c r="F2279" s="5">
        <v>43891</v>
      </c>
      <c r="G2279">
        <v>-143</v>
      </c>
      <c r="H2279" t="s">
        <v>57</v>
      </c>
    </row>
    <row r="2280" spans="1:8" x14ac:dyDescent="0.3">
      <c r="A2280">
        <v>200</v>
      </c>
      <c r="B2280" s="5">
        <v>43900</v>
      </c>
      <c r="C2280" t="s">
        <v>10</v>
      </c>
      <c r="D2280">
        <v>685</v>
      </c>
      <c r="E2280">
        <v>1898</v>
      </c>
      <c r="F2280" s="5">
        <v>43891</v>
      </c>
      <c r="G2280">
        <v>685</v>
      </c>
      <c r="H2280" t="s">
        <v>57</v>
      </c>
    </row>
    <row r="2281" spans="1:8" x14ac:dyDescent="0.3">
      <c r="A2281">
        <v>200</v>
      </c>
      <c r="B2281" s="5">
        <v>43909</v>
      </c>
      <c r="C2281" t="s">
        <v>10</v>
      </c>
      <c r="D2281">
        <v>143</v>
      </c>
      <c r="E2281">
        <v>2041</v>
      </c>
      <c r="F2281" s="5">
        <v>43891</v>
      </c>
      <c r="G2281">
        <v>143</v>
      </c>
      <c r="H2281" t="s">
        <v>57</v>
      </c>
    </row>
    <row r="2282" spans="1:8" x14ac:dyDescent="0.3">
      <c r="A2282">
        <v>200</v>
      </c>
      <c r="B2282" s="5">
        <v>43909</v>
      </c>
      <c r="C2282" t="s">
        <v>10</v>
      </c>
      <c r="D2282">
        <v>873</v>
      </c>
      <c r="E2282">
        <v>2914</v>
      </c>
      <c r="F2282" s="5">
        <v>43891</v>
      </c>
      <c r="G2282">
        <v>873</v>
      </c>
      <c r="H2282" t="s">
        <v>57</v>
      </c>
    </row>
    <row r="2283" spans="1:8" x14ac:dyDescent="0.3">
      <c r="A2283">
        <v>200</v>
      </c>
      <c r="B2283" s="5">
        <v>43934</v>
      </c>
      <c r="C2283" t="s">
        <v>10</v>
      </c>
      <c r="D2283">
        <v>247</v>
      </c>
      <c r="E2283">
        <v>3161</v>
      </c>
      <c r="F2283" s="5">
        <v>43922</v>
      </c>
      <c r="G2283">
        <v>247</v>
      </c>
      <c r="H2283" t="s">
        <v>57</v>
      </c>
    </row>
    <row r="2284" spans="1:8" x14ac:dyDescent="0.3">
      <c r="A2284">
        <v>200</v>
      </c>
      <c r="B2284" s="5">
        <v>43945</v>
      </c>
      <c r="C2284" t="s">
        <v>11</v>
      </c>
      <c r="D2284">
        <v>308</v>
      </c>
      <c r="E2284">
        <v>2853</v>
      </c>
      <c r="F2284" s="5">
        <v>43922</v>
      </c>
      <c r="G2284">
        <v>-308</v>
      </c>
      <c r="H2284" t="s">
        <v>57</v>
      </c>
    </row>
    <row r="2285" spans="1:8" x14ac:dyDescent="0.3">
      <c r="A2285">
        <v>201</v>
      </c>
      <c r="B2285" s="5">
        <v>43832</v>
      </c>
      <c r="C2285" t="s">
        <v>10</v>
      </c>
      <c r="D2285">
        <v>646</v>
      </c>
      <c r="E2285">
        <v>646</v>
      </c>
      <c r="F2285" s="5">
        <v>43831</v>
      </c>
      <c r="G2285">
        <v>646</v>
      </c>
      <c r="H2285" t="s">
        <v>57</v>
      </c>
    </row>
    <row r="2286" spans="1:8" x14ac:dyDescent="0.3">
      <c r="A2286">
        <v>201</v>
      </c>
      <c r="B2286" s="5">
        <v>43850</v>
      </c>
      <c r="C2286" t="s">
        <v>11</v>
      </c>
      <c r="D2286">
        <v>564</v>
      </c>
      <c r="E2286">
        <v>82</v>
      </c>
      <c r="F2286" s="5">
        <v>43831</v>
      </c>
      <c r="G2286">
        <v>-564</v>
      </c>
      <c r="H2286" t="s">
        <v>57</v>
      </c>
    </row>
    <row r="2287" spans="1:8" x14ac:dyDescent="0.3">
      <c r="A2287">
        <v>201</v>
      </c>
      <c r="B2287" s="5">
        <v>43855</v>
      </c>
      <c r="C2287" t="s">
        <v>11</v>
      </c>
      <c r="D2287">
        <v>442</v>
      </c>
      <c r="E2287">
        <v>-360</v>
      </c>
      <c r="F2287" s="5">
        <v>43831</v>
      </c>
      <c r="G2287">
        <v>-442</v>
      </c>
      <c r="H2287" t="s">
        <v>58</v>
      </c>
    </row>
    <row r="2288" spans="1:8" x14ac:dyDescent="0.3">
      <c r="A2288">
        <v>201</v>
      </c>
      <c r="B2288" s="5">
        <v>43855</v>
      </c>
      <c r="C2288" t="s">
        <v>10</v>
      </c>
      <c r="D2288">
        <v>632</v>
      </c>
      <c r="E2288">
        <v>272</v>
      </c>
      <c r="F2288" s="5">
        <v>43831</v>
      </c>
      <c r="G2288">
        <v>632</v>
      </c>
      <c r="H2288" t="s">
        <v>57</v>
      </c>
    </row>
    <row r="2289" spans="1:8" x14ac:dyDescent="0.3">
      <c r="A2289">
        <v>201</v>
      </c>
      <c r="B2289" s="5">
        <v>43856</v>
      </c>
      <c r="C2289" t="s">
        <v>11</v>
      </c>
      <c r="D2289">
        <v>655</v>
      </c>
      <c r="E2289">
        <v>-383</v>
      </c>
      <c r="F2289" s="5">
        <v>43831</v>
      </c>
      <c r="G2289">
        <v>-655</v>
      </c>
      <c r="H2289" t="s">
        <v>58</v>
      </c>
    </row>
    <row r="2290" spans="1:8" x14ac:dyDescent="0.3">
      <c r="A2290">
        <v>201</v>
      </c>
      <c r="B2290" s="5">
        <v>43866</v>
      </c>
      <c r="C2290" t="s">
        <v>10</v>
      </c>
      <c r="D2290">
        <v>261</v>
      </c>
      <c r="E2290">
        <v>-122</v>
      </c>
      <c r="F2290" s="5">
        <v>43862</v>
      </c>
      <c r="G2290">
        <v>261</v>
      </c>
      <c r="H2290" t="s">
        <v>58</v>
      </c>
    </row>
    <row r="2291" spans="1:8" x14ac:dyDescent="0.3">
      <c r="A2291">
        <v>201</v>
      </c>
      <c r="B2291" s="5">
        <v>43885</v>
      </c>
      <c r="C2291" t="s">
        <v>11</v>
      </c>
      <c r="D2291">
        <v>78</v>
      </c>
      <c r="E2291">
        <v>-200</v>
      </c>
      <c r="F2291" s="5">
        <v>43862</v>
      </c>
      <c r="G2291">
        <v>-78</v>
      </c>
      <c r="H2291" t="s">
        <v>58</v>
      </c>
    </row>
    <row r="2292" spans="1:8" x14ac:dyDescent="0.3">
      <c r="A2292">
        <v>201</v>
      </c>
      <c r="B2292" s="5">
        <v>43889</v>
      </c>
      <c r="C2292" t="s">
        <v>12</v>
      </c>
      <c r="D2292">
        <v>92</v>
      </c>
      <c r="E2292">
        <v>-292</v>
      </c>
      <c r="F2292" s="5">
        <v>43862</v>
      </c>
      <c r="G2292">
        <v>-92</v>
      </c>
      <c r="H2292" t="s">
        <v>58</v>
      </c>
    </row>
    <row r="2293" spans="1:8" x14ac:dyDescent="0.3">
      <c r="A2293">
        <v>201</v>
      </c>
      <c r="B2293" s="5">
        <v>43892</v>
      </c>
      <c r="C2293" t="s">
        <v>10</v>
      </c>
      <c r="D2293">
        <v>988</v>
      </c>
      <c r="E2293">
        <v>696</v>
      </c>
      <c r="F2293" s="5">
        <v>43891</v>
      </c>
      <c r="G2293">
        <v>988</v>
      </c>
      <c r="H2293" t="s">
        <v>57</v>
      </c>
    </row>
    <row r="2294" spans="1:8" x14ac:dyDescent="0.3">
      <c r="A2294">
        <v>201</v>
      </c>
      <c r="B2294" s="5">
        <v>43893</v>
      </c>
      <c r="C2294" t="s">
        <v>10</v>
      </c>
      <c r="D2294">
        <v>889</v>
      </c>
      <c r="E2294">
        <v>1585</v>
      </c>
      <c r="F2294" s="5">
        <v>43891</v>
      </c>
      <c r="G2294">
        <v>889</v>
      </c>
      <c r="H2294" t="s">
        <v>57</v>
      </c>
    </row>
    <row r="2295" spans="1:8" x14ac:dyDescent="0.3">
      <c r="A2295">
        <v>201</v>
      </c>
      <c r="B2295" s="5">
        <v>43894</v>
      </c>
      <c r="C2295" t="s">
        <v>10</v>
      </c>
      <c r="D2295">
        <v>610</v>
      </c>
      <c r="E2295">
        <v>2195</v>
      </c>
      <c r="F2295" s="5">
        <v>43891</v>
      </c>
      <c r="G2295">
        <v>610</v>
      </c>
      <c r="H2295" t="s">
        <v>57</v>
      </c>
    </row>
    <row r="2296" spans="1:8" x14ac:dyDescent="0.3">
      <c r="A2296">
        <v>201</v>
      </c>
      <c r="B2296" s="5">
        <v>43895</v>
      </c>
      <c r="C2296" t="s">
        <v>10</v>
      </c>
      <c r="D2296">
        <v>135</v>
      </c>
      <c r="E2296">
        <v>2330</v>
      </c>
      <c r="F2296" s="5">
        <v>43891</v>
      </c>
      <c r="G2296">
        <v>135</v>
      </c>
      <c r="H2296" t="s">
        <v>57</v>
      </c>
    </row>
    <row r="2297" spans="1:8" x14ac:dyDescent="0.3">
      <c r="A2297">
        <v>201</v>
      </c>
      <c r="B2297" s="5">
        <v>43899</v>
      </c>
      <c r="C2297" t="s">
        <v>12</v>
      </c>
      <c r="D2297">
        <v>808</v>
      </c>
      <c r="E2297">
        <v>1522</v>
      </c>
      <c r="F2297" s="5">
        <v>43891</v>
      </c>
      <c r="G2297">
        <v>-808</v>
      </c>
      <c r="H2297" t="s">
        <v>57</v>
      </c>
    </row>
    <row r="2298" spans="1:8" x14ac:dyDescent="0.3">
      <c r="A2298">
        <v>201</v>
      </c>
      <c r="B2298" s="5">
        <v>43902</v>
      </c>
      <c r="C2298" t="s">
        <v>11</v>
      </c>
      <c r="D2298">
        <v>941</v>
      </c>
      <c r="E2298">
        <v>581</v>
      </c>
      <c r="F2298" s="5">
        <v>43891</v>
      </c>
      <c r="G2298">
        <v>-941</v>
      </c>
      <c r="H2298" t="s">
        <v>57</v>
      </c>
    </row>
    <row r="2299" spans="1:8" x14ac:dyDescent="0.3">
      <c r="A2299">
        <v>201</v>
      </c>
      <c r="B2299" s="5">
        <v>43907</v>
      </c>
      <c r="C2299" t="s">
        <v>12</v>
      </c>
      <c r="D2299">
        <v>362</v>
      </c>
      <c r="E2299">
        <v>219</v>
      </c>
      <c r="F2299" s="5">
        <v>43891</v>
      </c>
      <c r="G2299">
        <v>-362</v>
      </c>
      <c r="H2299" t="s">
        <v>57</v>
      </c>
    </row>
    <row r="2300" spans="1:8" x14ac:dyDescent="0.3">
      <c r="A2300">
        <v>201</v>
      </c>
      <c r="B2300" s="5">
        <v>43908</v>
      </c>
      <c r="C2300" t="s">
        <v>10</v>
      </c>
      <c r="D2300">
        <v>787</v>
      </c>
      <c r="E2300">
        <v>1006</v>
      </c>
      <c r="F2300" s="5">
        <v>43891</v>
      </c>
      <c r="G2300">
        <v>787</v>
      </c>
      <c r="H2300" t="s">
        <v>57</v>
      </c>
    </row>
    <row r="2301" spans="1:8" x14ac:dyDescent="0.3">
      <c r="A2301">
        <v>201</v>
      </c>
      <c r="B2301" s="5">
        <v>43909</v>
      </c>
      <c r="C2301" t="s">
        <v>10</v>
      </c>
      <c r="D2301">
        <v>523</v>
      </c>
      <c r="E2301">
        <v>1529</v>
      </c>
      <c r="F2301" s="5">
        <v>43891</v>
      </c>
      <c r="G2301">
        <v>523</v>
      </c>
      <c r="H2301" t="s">
        <v>57</v>
      </c>
    </row>
    <row r="2302" spans="1:8" x14ac:dyDescent="0.3">
      <c r="A2302">
        <v>202</v>
      </c>
      <c r="B2302" s="5">
        <v>43836</v>
      </c>
      <c r="C2302" t="s">
        <v>10</v>
      </c>
      <c r="D2302">
        <v>446</v>
      </c>
      <c r="E2302">
        <v>446</v>
      </c>
      <c r="F2302" s="5">
        <v>43831</v>
      </c>
      <c r="G2302">
        <v>446</v>
      </c>
      <c r="H2302" t="s">
        <v>57</v>
      </c>
    </row>
    <row r="2303" spans="1:8" x14ac:dyDescent="0.3">
      <c r="A2303">
        <v>202</v>
      </c>
      <c r="B2303" s="5">
        <v>43848</v>
      </c>
      <c r="C2303" t="s">
        <v>12</v>
      </c>
      <c r="D2303">
        <v>763</v>
      </c>
      <c r="E2303">
        <v>-317</v>
      </c>
      <c r="F2303" s="5">
        <v>43831</v>
      </c>
      <c r="G2303">
        <v>-763</v>
      </c>
      <c r="H2303" t="s">
        <v>58</v>
      </c>
    </row>
    <row r="2304" spans="1:8" x14ac:dyDescent="0.3">
      <c r="A2304">
        <v>202</v>
      </c>
      <c r="B2304" s="5">
        <v>43851</v>
      </c>
      <c r="C2304" t="s">
        <v>11</v>
      </c>
      <c r="D2304">
        <v>213</v>
      </c>
      <c r="E2304">
        <v>-530</v>
      </c>
      <c r="F2304" s="5">
        <v>43831</v>
      </c>
      <c r="G2304">
        <v>-213</v>
      </c>
      <c r="H2304" t="s">
        <v>58</v>
      </c>
    </row>
    <row r="2305" spans="1:8" x14ac:dyDescent="0.3">
      <c r="A2305">
        <v>202</v>
      </c>
      <c r="B2305" s="5">
        <v>43867</v>
      </c>
      <c r="C2305" t="s">
        <v>10</v>
      </c>
      <c r="D2305">
        <v>52</v>
      </c>
      <c r="E2305">
        <v>-478</v>
      </c>
      <c r="F2305" s="5">
        <v>43862</v>
      </c>
      <c r="G2305">
        <v>52</v>
      </c>
      <c r="H2305" t="s">
        <v>58</v>
      </c>
    </row>
    <row r="2306" spans="1:8" x14ac:dyDescent="0.3">
      <c r="A2306">
        <v>202</v>
      </c>
      <c r="B2306" s="5">
        <v>43867</v>
      </c>
      <c r="C2306" t="s">
        <v>10</v>
      </c>
      <c r="D2306">
        <v>24</v>
      </c>
      <c r="E2306">
        <v>-454</v>
      </c>
      <c r="F2306" s="5">
        <v>43862</v>
      </c>
      <c r="G2306">
        <v>24</v>
      </c>
      <c r="H2306" t="s">
        <v>58</v>
      </c>
    </row>
    <row r="2307" spans="1:8" x14ac:dyDescent="0.3">
      <c r="A2307">
        <v>202</v>
      </c>
      <c r="B2307" s="5">
        <v>43878</v>
      </c>
      <c r="C2307" t="s">
        <v>11</v>
      </c>
      <c r="D2307">
        <v>977</v>
      </c>
      <c r="E2307">
        <v>-1431</v>
      </c>
      <c r="F2307" s="5">
        <v>43862</v>
      </c>
      <c r="G2307">
        <v>-977</v>
      </c>
      <c r="H2307" t="s">
        <v>58</v>
      </c>
    </row>
    <row r="2308" spans="1:8" x14ac:dyDescent="0.3">
      <c r="A2308">
        <v>202</v>
      </c>
      <c r="B2308" s="5">
        <v>43879</v>
      </c>
      <c r="C2308" t="s">
        <v>10</v>
      </c>
      <c r="D2308">
        <v>680</v>
      </c>
      <c r="E2308">
        <v>-751</v>
      </c>
      <c r="F2308" s="5">
        <v>43862</v>
      </c>
      <c r="G2308">
        <v>680</v>
      </c>
      <c r="H2308" t="s">
        <v>58</v>
      </c>
    </row>
    <row r="2309" spans="1:8" x14ac:dyDescent="0.3">
      <c r="A2309">
        <v>202</v>
      </c>
      <c r="B2309" s="5">
        <v>43881</v>
      </c>
      <c r="C2309" t="s">
        <v>11</v>
      </c>
      <c r="D2309">
        <v>431</v>
      </c>
      <c r="E2309">
        <v>-1182</v>
      </c>
      <c r="F2309" s="5">
        <v>43862</v>
      </c>
      <c r="G2309">
        <v>-431</v>
      </c>
      <c r="H2309" t="s">
        <v>58</v>
      </c>
    </row>
    <row r="2310" spans="1:8" x14ac:dyDescent="0.3">
      <c r="A2310">
        <v>202</v>
      </c>
      <c r="B2310" s="5">
        <v>43884</v>
      </c>
      <c r="C2310" t="s">
        <v>10</v>
      </c>
      <c r="D2310">
        <v>266</v>
      </c>
      <c r="E2310">
        <v>-916</v>
      </c>
      <c r="F2310" s="5">
        <v>43862</v>
      </c>
      <c r="G2310">
        <v>266</v>
      </c>
      <c r="H2310" t="s">
        <v>58</v>
      </c>
    </row>
    <row r="2311" spans="1:8" x14ac:dyDescent="0.3">
      <c r="A2311">
        <v>202</v>
      </c>
      <c r="B2311" s="5">
        <v>43892</v>
      </c>
      <c r="C2311" t="s">
        <v>11</v>
      </c>
      <c r="D2311">
        <v>291</v>
      </c>
      <c r="E2311">
        <v>-1207</v>
      </c>
      <c r="F2311" s="5">
        <v>43891</v>
      </c>
      <c r="G2311">
        <v>-291</v>
      </c>
      <c r="H2311" t="s">
        <v>58</v>
      </c>
    </row>
    <row r="2312" spans="1:8" x14ac:dyDescent="0.3">
      <c r="A2312">
        <v>202</v>
      </c>
      <c r="B2312" s="5">
        <v>43903</v>
      </c>
      <c r="C2312" t="s">
        <v>10</v>
      </c>
      <c r="D2312">
        <v>268</v>
      </c>
      <c r="E2312">
        <v>-939</v>
      </c>
      <c r="F2312" s="5">
        <v>43891</v>
      </c>
      <c r="G2312">
        <v>268</v>
      </c>
      <c r="H2312" t="s">
        <v>58</v>
      </c>
    </row>
    <row r="2313" spans="1:8" x14ac:dyDescent="0.3">
      <c r="A2313">
        <v>202</v>
      </c>
      <c r="B2313" s="5">
        <v>43903</v>
      </c>
      <c r="C2313" t="s">
        <v>11</v>
      </c>
      <c r="D2313">
        <v>527</v>
      </c>
      <c r="E2313">
        <v>-1466</v>
      </c>
      <c r="F2313" s="5">
        <v>43891</v>
      </c>
      <c r="G2313">
        <v>-527</v>
      </c>
      <c r="H2313" t="s">
        <v>58</v>
      </c>
    </row>
    <row r="2314" spans="1:8" x14ac:dyDescent="0.3">
      <c r="A2314">
        <v>202</v>
      </c>
      <c r="B2314" s="5">
        <v>43908</v>
      </c>
      <c r="C2314" t="s">
        <v>12</v>
      </c>
      <c r="D2314">
        <v>135</v>
      </c>
      <c r="E2314">
        <v>-1601</v>
      </c>
      <c r="F2314" s="5">
        <v>43891</v>
      </c>
      <c r="G2314">
        <v>-135</v>
      </c>
      <c r="H2314" t="s">
        <v>58</v>
      </c>
    </row>
    <row r="2315" spans="1:8" x14ac:dyDescent="0.3">
      <c r="A2315">
        <v>202</v>
      </c>
      <c r="B2315" s="5">
        <v>43908</v>
      </c>
      <c r="C2315" t="s">
        <v>10</v>
      </c>
      <c r="D2315">
        <v>667</v>
      </c>
      <c r="E2315">
        <v>-934</v>
      </c>
      <c r="F2315" s="5">
        <v>43891</v>
      </c>
      <c r="G2315">
        <v>667</v>
      </c>
      <c r="H2315" t="s">
        <v>58</v>
      </c>
    </row>
    <row r="2316" spans="1:8" x14ac:dyDescent="0.3">
      <c r="A2316">
        <v>202</v>
      </c>
      <c r="B2316" s="5">
        <v>43917</v>
      </c>
      <c r="C2316" t="s">
        <v>12</v>
      </c>
      <c r="D2316">
        <v>390</v>
      </c>
      <c r="E2316">
        <v>-1324</v>
      </c>
      <c r="F2316" s="5">
        <v>43891</v>
      </c>
      <c r="G2316">
        <v>-390</v>
      </c>
      <c r="H2316" t="s">
        <v>58</v>
      </c>
    </row>
    <row r="2317" spans="1:8" x14ac:dyDescent="0.3">
      <c r="A2317">
        <v>202</v>
      </c>
      <c r="B2317" s="5">
        <v>43919</v>
      </c>
      <c r="C2317" t="s">
        <v>11</v>
      </c>
      <c r="D2317">
        <v>934</v>
      </c>
      <c r="E2317">
        <v>-2258</v>
      </c>
      <c r="F2317" s="5">
        <v>43891</v>
      </c>
      <c r="G2317">
        <v>-934</v>
      </c>
      <c r="H2317" t="s">
        <v>58</v>
      </c>
    </row>
    <row r="2318" spans="1:8" x14ac:dyDescent="0.3">
      <c r="A2318">
        <v>202</v>
      </c>
      <c r="B2318" s="5">
        <v>43921</v>
      </c>
      <c r="C2318" t="s">
        <v>12</v>
      </c>
      <c r="D2318">
        <v>157</v>
      </c>
      <c r="E2318">
        <v>-2415</v>
      </c>
      <c r="F2318" s="5">
        <v>43891</v>
      </c>
      <c r="G2318">
        <v>-157</v>
      </c>
      <c r="H2318" t="s">
        <v>58</v>
      </c>
    </row>
    <row r="2319" spans="1:8" x14ac:dyDescent="0.3">
      <c r="A2319">
        <v>203</v>
      </c>
      <c r="B2319" s="5">
        <v>43836</v>
      </c>
      <c r="C2319" t="s">
        <v>10</v>
      </c>
      <c r="D2319">
        <v>970</v>
      </c>
      <c r="E2319">
        <v>970</v>
      </c>
      <c r="F2319" s="5">
        <v>43831</v>
      </c>
      <c r="G2319">
        <v>970</v>
      </c>
      <c r="H2319" t="s">
        <v>57</v>
      </c>
    </row>
    <row r="2320" spans="1:8" x14ac:dyDescent="0.3">
      <c r="A2320">
        <v>203</v>
      </c>
      <c r="B2320" s="5">
        <v>43838</v>
      </c>
      <c r="C2320" t="s">
        <v>10</v>
      </c>
      <c r="D2320">
        <v>318</v>
      </c>
      <c r="E2320">
        <v>1288</v>
      </c>
      <c r="F2320" s="5">
        <v>43831</v>
      </c>
      <c r="G2320">
        <v>318</v>
      </c>
      <c r="H2320" t="s">
        <v>57</v>
      </c>
    </row>
    <row r="2321" spans="1:8" x14ac:dyDescent="0.3">
      <c r="A2321">
        <v>203</v>
      </c>
      <c r="B2321" s="5">
        <v>43839</v>
      </c>
      <c r="C2321" t="s">
        <v>11</v>
      </c>
      <c r="D2321">
        <v>650</v>
      </c>
      <c r="E2321">
        <v>638</v>
      </c>
      <c r="F2321" s="5">
        <v>43831</v>
      </c>
      <c r="G2321">
        <v>-650</v>
      </c>
      <c r="H2321" t="s">
        <v>57</v>
      </c>
    </row>
    <row r="2322" spans="1:8" x14ac:dyDescent="0.3">
      <c r="A2322">
        <v>203</v>
      </c>
      <c r="B2322" s="5">
        <v>43848</v>
      </c>
      <c r="C2322" t="s">
        <v>10</v>
      </c>
      <c r="D2322">
        <v>812</v>
      </c>
      <c r="E2322">
        <v>1450</v>
      </c>
      <c r="F2322" s="5">
        <v>43831</v>
      </c>
      <c r="G2322">
        <v>812</v>
      </c>
      <c r="H2322" t="s">
        <v>57</v>
      </c>
    </row>
    <row r="2323" spans="1:8" x14ac:dyDescent="0.3">
      <c r="A2323">
        <v>203</v>
      </c>
      <c r="B2323" s="5">
        <v>43850</v>
      </c>
      <c r="C2323" t="s">
        <v>10</v>
      </c>
      <c r="D2323">
        <v>789</v>
      </c>
      <c r="E2323">
        <v>2239</v>
      </c>
      <c r="F2323" s="5">
        <v>43831</v>
      </c>
      <c r="G2323">
        <v>789</v>
      </c>
      <c r="H2323" t="s">
        <v>57</v>
      </c>
    </row>
    <row r="2324" spans="1:8" x14ac:dyDescent="0.3">
      <c r="A2324">
        <v>203</v>
      </c>
      <c r="B2324" s="5">
        <v>43855</v>
      </c>
      <c r="C2324" t="s">
        <v>10</v>
      </c>
      <c r="D2324">
        <v>293</v>
      </c>
      <c r="E2324">
        <v>2532</v>
      </c>
      <c r="F2324" s="5">
        <v>43831</v>
      </c>
      <c r="G2324">
        <v>293</v>
      </c>
      <c r="H2324" t="s">
        <v>57</v>
      </c>
    </row>
    <row r="2325" spans="1:8" x14ac:dyDescent="0.3">
      <c r="A2325">
        <v>203</v>
      </c>
      <c r="B2325" s="5">
        <v>43859</v>
      </c>
      <c r="C2325" t="s">
        <v>11</v>
      </c>
      <c r="D2325">
        <v>4</v>
      </c>
      <c r="E2325">
        <v>2528</v>
      </c>
      <c r="F2325" s="5">
        <v>43831</v>
      </c>
      <c r="G2325">
        <v>-4</v>
      </c>
      <c r="H2325" t="s">
        <v>57</v>
      </c>
    </row>
    <row r="2326" spans="1:8" x14ac:dyDescent="0.3">
      <c r="A2326">
        <v>203</v>
      </c>
      <c r="B2326" s="5">
        <v>43866</v>
      </c>
      <c r="C2326" t="s">
        <v>12</v>
      </c>
      <c r="D2326">
        <v>57</v>
      </c>
      <c r="E2326">
        <v>2471</v>
      </c>
      <c r="F2326" s="5">
        <v>43862</v>
      </c>
      <c r="G2326">
        <v>-57</v>
      </c>
      <c r="H2326" t="s">
        <v>57</v>
      </c>
    </row>
    <row r="2327" spans="1:8" x14ac:dyDescent="0.3">
      <c r="A2327">
        <v>203</v>
      </c>
      <c r="B2327" s="5">
        <v>43868</v>
      </c>
      <c r="C2327" t="s">
        <v>10</v>
      </c>
      <c r="D2327">
        <v>862</v>
      </c>
      <c r="E2327">
        <v>3333</v>
      </c>
      <c r="F2327" s="5">
        <v>43862</v>
      </c>
      <c r="G2327">
        <v>862</v>
      </c>
      <c r="H2327" t="s">
        <v>57</v>
      </c>
    </row>
    <row r="2328" spans="1:8" x14ac:dyDescent="0.3">
      <c r="A2328">
        <v>203</v>
      </c>
      <c r="B2328" s="5">
        <v>43878</v>
      </c>
      <c r="C2328" t="s">
        <v>10</v>
      </c>
      <c r="D2328">
        <v>670</v>
      </c>
      <c r="E2328">
        <v>4003</v>
      </c>
      <c r="F2328" s="5">
        <v>43862</v>
      </c>
      <c r="G2328">
        <v>670</v>
      </c>
      <c r="H2328" t="s">
        <v>57</v>
      </c>
    </row>
    <row r="2329" spans="1:8" x14ac:dyDescent="0.3">
      <c r="A2329">
        <v>203</v>
      </c>
      <c r="B2329" s="5">
        <v>43882</v>
      </c>
      <c r="C2329" t="s">
        <v>12</v>
      </c>
      <c r="D2329">
        <v>622</v>
      </c>
      <c r="E2329">
        <v>3381</v>
      </c>
      <c r="F2329" s="5">
        <v>43862</v>
      </c>
      <c r="G2329">
        <v>-622</v>
      </c>
      <c r="H2329" t="s">
        <v>57</v>
      </c>
    </row>
    <row r="2330" spans="1:8" x14ac:dyDescent="0.3">
      <c r="A2330">
        <v>203</v>
      </c>
      <c r="B2330" s="5">
        <v>43887</v>
      </c>
      <c r="C2330" t="s">
        <v>11</v>
      </c>
      <c r="D2330">
        <v>416</v>
      </c>
      <c r="E2330">
        <v>2965</v>
      </c>
      <c r="F2330" s="5">
        <v>43862</v>
      </c>
      <c r="G2330">
        <v>-416</v>
      </c>
      <c r="H2330" t="s">
        <v>57</v>
      </c>
    </row>
    <row r="2331" spans="1:8" x14ac:dyDescent="0.3">
      <c r="A2331">
        <v>203</v>
      </c>
      <c r="B2331" s="5">
        <v>43888</v>
      </c>
      <c r="C2331" t="s">
        <v>11</v>
      </c>
      <c r="D2331">
        <v>133</v>
      </c>
      <c r="E2331">
        <v>2832</v>
      </c>
      <c r="F2331" s="5">
        <v>43862</v>
      </c>
      <c r="G2331">
        <v>-133</v>
      </c>
      <c r="H2331" t="s">
        <v>57</v>
      </c>
    </row>
    <row r="2332" spans="1:8" x14ac:dyDescent="0.3">
      <c r="A2332">
        <v>203</v>
      </c>
      <c r="B2332" s="5">
        <v>43890</v>
      </c>
      <c r="C2332" t="s">
        <v>10</v>
      </c>
      <c r="D2332">
        <v>639</v>
      </c>
      <c r="E2332">
        <v>3471</v>
      </c>
      <c r="F2332" s="5">
        <v>43862</v>
      </c>
      <c r="G2332">
        <v>639</v>
      </c>
      <c r="H2332" t="s">
        <v>57</v>
      </c>
    </row>
    <row r="2333" spans="1:8" x14ac:dyDescent="0.3">
      <c r="A2333">
        <v>203</v>
      </c>
      <c r="B2333" s="5">
        <v>43897</v>
      </c>
      <c r="C2333" t="s">
        <v>11</v>
      </c>
      <c r="D2333">
        <v>647</v>
      </c>
      <c r="E2333">
        <v>2824</v>
      </c>
      <c r="F2333" s="5">
        <v>43891</v>
      </c>
      <c r="G2333">
        <v>-647</v>
      </c>
      <c r="H2333" t="s">
        <v>57</v>
      </c>
    </row>
    <row r="2334" spans="1:8" x14ac:dyDescent="0.3">
      <c r="A2334">
        <v>203</v>
      </c>
      <c r="B2334" s="5">
        <v>43900</v>
      </c>
      <c r="C2334" t="s">
        <v>11</v>
      </c>
      <c r="D2334">
        <v>358</v>
      </c>
      <c r="E2334">
        <v>2466</v>
      </c>
      <c r="F2334" s="5">
        <v>43891</v>
      </c>
      <c r="G2334">
        <v>-358</v>
      </c>
      <c r="H2334" t="s">
        <v>57</v>
      </c>
    </row>
    <row r="2335" spans="1:8" x14ac:dyDescent="0.3">
      <c r="A2335">
        <v>203</v>
      </c>
      <c r="B2335" s="5">
        <v>43904</v>
      </c>
      <c r="C2335" t="s">
        <v>10</v>
      </c>
      <c r="D2335">
        <v>510</v>
      </c>
      <c r="E2335">
        <v>2976</v>
      </c>
      <c r="F2335" s="5">
        <v>43891</v>
      </c>
      <c r="G2335">
        <v>510</v>
      </c>
      <c r="H2335" t="s">
        <v>57</v>
      </c>
    </row>
    <row r="2336" spans="1:8" x14ac:dyDescent="0.3">
      <c r="A2336">
        <v>203</v>
      </c>
      <c r="B2336" s="5">
        <v>43906</v>
      </c>
      <c r="C2336" t="s">
        <v>10</v>
      </c>
      <c r="D2336">
        <v>404</v>
      </c>
      <c r="E2336">
        <v>3380</v>
      </c>
      <c r="F2336" s="5">
        <v>43891</v>
      </c>
      <c r="G2336">
        <v>404</v>
      </c>
      <c r="H2336" t="s">
        <v>57</v>
      </c>
    </row>
    <row r="2337" spans="1:8" x14ac:dyDescent="0.3">
      <c r="A2337">
        <v>203</v>
      </c>
      <c r="B2337" s="5">
        <v>43917</v>
      </c>
      <c r="C2337" t="s">
        <v>10</v>
      </c>
      <c r="D2337">
        <v>169</v>
      </c>
      <c r="E2337">
        <v>3549</v>
      </c>
      <c r="F2337" s="5">
        <v>43891</v>
      </c>
      <c r="G2337">
        <v>169</v>
      </c>
      <c r="H2337" t="s">
        <v>57</v>
      </c>
    </row>
    <row r="2338" spans="1:8" x14ac:dyDescent="0.3">
      <c r="A2338">
        <v>203</v>
      </c>
      <c r="B2338" s="5">
        <v>43919</v>
      </c>
      <c r="C2338" t="s">
        <v>10</v>
      </c>
      <c r="D2338">
        <v>520</v>
      </c>
      <c r="E2338">
        <v>4069</v>
      </c>
      <c r="F2338" s="5">
        <v>43891</v>
      </c>
      <c r="G2338">
        <v>520</v>
      </c>
      <c r="H2338" t="s">
        <v>57</v>
      </c>
    </row>
    <row r="2339" spans="1:8" x14ac:dyDescent="0.3">
      <c r="A2339">
        <v>203</v>
      </c>
      <c r="B2339" s="5">
        <v>43921</v>
      </c>
      <c r="C2339" t="s">
        <v>11</v>
      </c>
      <c r="D2339">
        <v>608</v>
      </c>
      <c r="E2339">
        <v>3461</v>
      </c>
      <c r="F2339" s="5">
        <v>43891</v>
      </c>
      <c r="G2339">
        <v>-608</v>
      </c>
      <c r="H2339" t="s">
        <v>57</v>
      </c>
    </row>
    <row r="2340" spans="1:8" x14ac:dyDescent="0.3">
      <c r="A2340">
        <v>203</v>
      </c>
      <c r="B2340" s="5">
        <v>43925</v>
      </c>
      <c r="C2340" t="s">
        <v>12</v>
      </c>
      <c r="D2340">
        <v>24</v>
      </c>
      <c r="E2340">
        <v>3437</v>
      </c>
      <c r="F2340" s="5">
        <v>43922</v>
      </c>
      <c r="G2340">
        <v>-24</v>
      </c>
      <c r="H2340" t="s">
        <v>57</v>
      </c>
    </row>
    <row r="2341" spans="1:8" x14ac:dyDescent="0.3">
      <c r="A2341">
        <v>204</v>
      </c>
      <c r="B2341" s="5">
        <v>43858</v>
      </c>
      <c r="C2341" t="s">
        <v>10</v>
      </c>
      <c r="D2341">
        <v>749</v>
      </c>
      <c r="E2341">
        <v>749</v>
      </c>
      <c r="F2341" s="5">
        <v>43831</v>
      </c>
      <c r="G2341">
        <v>749</v>
      </c>
      <c r="H2341" t="s">
        <v>57</v>
      </c>
    </row>
    <row r="2342" spans="1:8" x14ac:dyDescent="0.3">
      <c r="A2342">
        <v>204</v>
      </c>
      <c r="B2342" s="5">
        <v>43885</v>
      </c>
      <c r="C2342" t="s">
        <v>10</v>
      </c>
      <c r="D2342">
        <v>290</v>
      </c>
      <c r="E2342">
        <v>1039</v>
      </c>
      <c r="F2342" s="5">
        <v>43862</v>
      </c>
      <c r="G2342">
        <v>290</v>
      </c>
      <c r="H2342" t="s">
        <v>57</v>
      </c>
    </row>
    <row r="2343" spans="1:8" x14ac:dyDescent="0.3">
      <c r="A2343">
        <v>204</v>
      </c>
      <c r="B2343" s="5">
        <v>43915</v>
      </c>
      <c r="C2343" t="s">
        <v>10</v>
      </c>
      <c r="D2343">
        <v>548</v>
      </c>
      <c r="E2343">
        <v>1587</v>
      </c>
      <c r="F2343" s="5">
        <v>43891</v>
      </c>
      <c r="G2343">
        <v>548</v>
      </c>
      <c r="H2343" t="s">
        <v>57</v>
      </c>
    </row>
    <row r="2344" spans="1:8" x14ac:dyDescent="0.3">
      <c r="A2344">
        <v>204</v>
      </c>
      <c r="B2344" s="5">
        <v>43925</v>
      </c>
      <c r="C2344" t="s">
        <v>10</v>
      </c>
      <c r="D2344">
        <v>306</v>
      </c>
      <c r="E2344">
        <v>1893</v>
      </c>
      <c r="F2344" s="5">
        <v>43922</v>
      </c>
      <c r="G2344">
        <v>306</v>
      </c>
      <c r="H2344" t="s">
        <v>57</v>
      </c>
    </row>
    <row r="2345" spans="1:8" x14ac:dyDescent="0.3">
      <c r="A2345">
        <v>205</v>
      </c>
      <c r="B2345" s="5">
        <v>43832</v>
      </c>
      <c r="C2345" t="s">
        <v>10</v>
      </c>
      <c r="D2345">
        <v>608</v>
      </c>
      <c r="E2345">
        <v>608</v>
      </c>
      <c r="F2345" s="5">
        <v>43831</v>
      </c>
      <c r="G2345">
        <v>608</v>
      </c>
      <c r="H2345" t="s">
        <v>57</v>
      </c>
    </row>
    <row r="2346" spans="1:8" x14ac:dyDescent="0.3">
      <c r="A2346">
        <v>205</v>
      </c>
      <c r="B2346" s="5">
        <v>43837</v>
      </c>
      <c r="C2346" t="s">
        <v>11</v>
      </c>
      <c r="D2346">
        <v>361</v>
      </c>
      <c r="E2346">
        <v>247</v>
      </c>
      <c r="F2346" s="5">
        <v>43831</v>
      </c>
      <c r="G2346">
        <v>-361</v>
      </c>
      <c r="H2346" t="s">
        <v>57</v>
      </c>
    </row>
    <row r="2347" spans="1:8" x14ac:dyDescent="0.3">
      <c r="A2347">
        <v>205</v>
      </c>
      <c r="B2347" s="5">
        <v>43842</v>
      </c>
      <c r="C2347" t="s">
        <v>11</v>
      </c>
      <c r="D2347">
        <v>671</v>
      </c>
      <c r="E2347">
        <v>-424</v>
      </c>
      <c r="F2347" s="5">
        <v>43831</v>
      </c>
      <c r="G2347">
        <v>-671</v>
      </c>
      <c r="H2347" t="s">
        <v>58</v>
      </c>
    </row>
    <row r="2348" spans="1:8" x14ac:dyDescent="0.3">
      <c r="A2348">
        <v>205</v>
      </c>
      <c r="B2348" s="5">
        <v>43843</v>
      </c>
      <c r="C2348" t="s">
        <v>12</v>
      </c>
      <c r="D2348">
        <v>296</v>
      </c>
      <c r="E2348">
        <v>-720</v>
      </c>
      <c r="F2348" s="5">
        <v>43831</v>
      </c>
      <c r="G2348">
        <v>-296</v>
      </c>
      <c r="H2348" t="s">
        <v>58</v>
      </c>
    </row>
    <row r="2349" spans="1:8" x14ac:dyDescent="0.3">
      <c r="A2349">
        <v>205</v>
      </c>
      <c r="B2349" s="5">
        <v>43844</v>
      </c>
      <c r="C2349" t="s">
        <v>12</v>
      </c>
      <c r="D2349">
        <v>300</v>
      </c>
      <c r="E2349">
        <v>-1020</v>
      </c>
      <c r="F2349" s="5">
        <v>43831</v>
      </c>
      <c r="G2349">
        <v>-300</v>
      </c>
      <c r="H2349" t="s">
        <v>58</v>
      </c>
    </row>
    <row r="2350" spans="1:8" x14ac:dyDescent="0.3">
      <c r="A2350">
        <v>205</v>
      </c>
      <c r="B2350" s="5">
        <v>43847</v>
      </c>
      <c r="C2350" t="s">
        <v>10</v>
      </c>
      <c r="D2350">
        <v>895</v>
      </c>
      <c r="E2350">
        <v>-125</v>
      </c>
      <c r="F2350" s="5">
        <v>43831</v>
      </c>
      <c r="G2350">
        <v>895</v>
      </c>
      <c r="H2350" t="s">
        <v>58</v>
      </c>
    </row>
    <row r="2351" spans="1:8" x14ac:dyDescent="0.3">
      <c r="A2351">
        <v>205</v>
      </c>
      <c r="B2351" s="5">
        <v>43849</v>
      </c>
      <c r="C2351" t="s">
        <v>10</v>
      </c>
      <c r="D2351">
        <v>743</v>
      </c>
      <c r="E2351">
        <v>618</v>
      </c>
      <c r="F2351" s="5">
        <v>43831</v>
      </c>
      <c r="G2351">
        <v>743</v>
      </c>
      <c r="H2351" t="s">
        <v>57</v>
      </c>
    </row>
    <row r="2352" spans="1:8" x14ac:dyDescent="0.3">
      <c r="A2352">
        <v>205</v>
      </c>
      <c r="B2352" s="5">
        <v>43851</v>
      </c>
      <c r="C2352" t="s">
        <v>12</v>
      </c>
      <c r="D2352">
        <v>451</v>
      </c>
      <c r="E2352">
        <v>167</v>
      </c>
      <c r="F2352" s="5">
        <v>43831</v>
      </c>
      <c r="G2352">
        <v>-451</v>
      </c>
      <c r="H2352" t="s">
        <v>57</v>
      </c>
    </row>
    <row r="2353" spans="1:8" x14ac:dyDescent="0.3">
      <c r="A2353">
        <v>205</v>
      </c>
      <c r="B2353" s="5">
        <v>43854</v>
      </c>
      <c r="C2353" t="s">
        <v>11</v>
      </c>
      <c r="D2353">
        <v>249</v>
      </c>
      <c r="E2353">
        <v>-82</v>
      </c>
      <c r="F2353" s="5">
        <v>43831</v>
      </c>
      <c r="G2353">
        <v>-249</v>
      </c>
      <c r="H2353" t="s">
        <v>58</v>
      </c>
    </row>
    <row r="2354" spans="1:8" x14ac:dyDescent="0.3">
      <c r="A2354">
        <v>205</v>
      </c>
      <c r="B2354" s="5">
        <v>43863</v>
      </c>
      <c r="C2354" t="s">
        <v>12</v>
      </c>
      <c r="D2354">
        <v>342</v>
      </c>
      <c r="E2354">
        <v>-424</v>
      </c>
      <c r="F2354" s="5">
        <v>43862</v>
      </c>
      <c r="G2354">
        <v>-342</v>
      </c>
      <c r="H2354" t="s">
        <v>58</v>
      </c>
    </row>
    <row r="2355" spans="1:8" x14ac:dyDescent="0.3">
      <c r="A2355">
        <v>205</v>
      </c>
      <c r="B2355" s="5">
        <v>43864</v>
      </c>
      <c r="C2355" t="s">
        <v>10</v>
      </c>
      <c r="D2355">
        <v>767</v>
      </c>
      <c r="E2355">
        <v>343</v>
      </c>
      <c r="F2355" s="5">
        <v>43862</v>
      </c>
      <c r="G2355">
        <v>767</v>
      </c>
      <c r="H2355" t="s">
        <v>57</v>
      </c>
    </row>
    <row r="2356" spans="1:8" x14ac:dyDescent="0.3">
      <c r="A2356">
        <v>205</v>
      </c>
      <c r="B2356" s="5">
        <v>43864</v>
      </c>
      <c r="C2356" t="s">
        <v>10</v>
      </c>
      <c r="D2356">
        <v>683</v>
      </c>
      <c r="E2356">
        <v>1026</v>
      </c>
      <c r="F2356" s="5">
        <v>43862</v>
      </c>
      <c r="G2356">
        <v>683</v>
      </c>
      <c r="H2356" t="s">
        <v>57</v>
      </c>
    </row>
    <row r="2357" spans="1:8" x14ac:dyDescent="0.3">
      <c r="A2357">
        <v>205</v>
      </c>
      <c r="B2357" s="5">
        <v>43868</v>
      </c>
      <c r="C2357" t="s">
        <v>12</v>
      </c>
      <c r="D2357">
        <v>432</v>
      </c>
      <c r="E2357">
        <v>594</v>
      </c>
      <c r="F2357" s="5">
        <v>43862</v>
      </c>
      <c r="G2357">
        <v>-432</v>
      </c>
      <c r="H2357" t="s">
        <v>57</v>
      </c>
    </row>
    <row r="2358" spans="1:8" x14ac:dyDescent="0.3">
      <c r="A2358">
        <v>205</v>
      </c>
      <c r="B2358" s="5">
        <v>43875</v>
      </c>
      <c r="C2358" t="s">
        <v>12</v>
      </c>
      <c r="D2358">
        <v>217</v>
      </c>
      <c r="E2358">
        <v>377</v>
      </c>
      <c r="F2358" s="5">
        <v>43862</v>
      </c>
      <c r="G2358">
        <v>-217</v>
      </c>
      <c r="H2358" t="s">
        <v>57</v>
      </c>
    </row>
    <row r="2359" spans="1:8" x14ac:dyDescent="0.3">
      <c r="A2359">
        <v>205</v>
      </c>
      <c r="B2359" s="5">
        <v>43876</v>
      </c>
      <c r="C2359" t="s">
        <v>10</v>
      </c>
      <c r="D2359">
        <v>116</v>
      </c>
      <c r="E2359">
        <v>493</v>
      </c>
      <c r="F2359" s="5">
        <v>43862</v>
      </c>
      <c r="G2359">
        <v>116</v>
      </c>
      <c r="H2359" t="s">
        <v>57</v>
      </c>
    </row>
    <row r="2360" spans="1:8" x14ac:dyDescent="0.3">
      <c r="A2360">
        <v>205</v>
      </c>
      <c r="B2360" s="5">
        <v>43877</v>
      </c>
      <c r="C2360" t="s">
        <v>10</v>
      </c>
      <c r="D2360">
        <v>745</v>
      </c>
      <c r="E2360">
        <v>1238</v>
      </c>
      <c r="F2360" s="5">
        <v>43862</v>
      </c>
      <c r="G2360">
        <v>745</v>
      </c>
      <c r="H2360" t="s">
        <v>57</v>
      </c>
    </row>
    <row r="2361" spans="1:8" x14ac:dyDescent="0.3">
      <c r="A2361">
        <v>205</v>
      </c>
      <c r="B2361" s="5">
        <v>43881</v>
      </c>
      <c r="C2361" t="s">
        <v>10</v>
      </c>
      <c r="D2361">
        <v>560</v>
      </c>
      <c r="E2361">
        <v>1798</v>
      </c>
      <c r="F2361" s="5">
        <v>43862</v>
      </c>
      <c r="G2361">
        <v>560</v>
      </c>
      <c r="H2361" t="s">
        <v>57</v>
      </c>
    </row>
    <row r="2362" spans="1:8" x14ac:dyDescent="0.3">
      <c r="A2362">
        <v>205</v>
      </c>
      <c r="B2362" s="5">
        <v>43883</v>
      </c>
      <c r="C2362" t="s">
        <v>12</v>
      </c>
      <c r="D2362">
        <v>587</v>
      </c>
      <c r="E2362">
        <v>1211</v>
      </c>
      <c r="F2362" s="5">
        <v>43862</v>
      </c>
      <c r="G2362">
        <v>-587</v>
      </c>
      <c r="H2362" t="s">
        <v>57</v>
      </c>
    </row>
    <row r="2363" spans="1:8" x14ac:dyDescent="0.3">
      <c r="A2363">
        <v>205</v>
      </c>
      <c r="B2363" s="5">
        <v>43905</v>
      </c>
      <c r="C2363" t="s">
        <v>11</v>
      </c>
      <c r="D2363">
        <v>144</v>
      </c>
      <c r="E2363">
        <v>1067</v>
      </c>
      <c r="F2363" s="5">
        <v>43891</v>
      </c>
      <c r="G2363">
        <v>-144</v>
      </c>
      <c r="H2363" t="s">
        <v>57</v>
      </c>
    </row>
    <row r="2364" spans="1:8" x14ac:dyDescent="0.3">
      <c r="A2364">
        <v>206</v>
      </c>
      <c r="B2364" s="5">
        <v>43839</v>
      </c>
      <c r="C2364" t="s">
        <v>10</v>
      </c>
      <c r="D2364">
        <v>811</v>
      </c>
      <c r="E2364">
        <v>811</v>
      </c>
      <c r="F2364" s="5">
        <v>43831</v>
      </c>
      <c r="G2364">
        <v>811</v>
      </c>
      <c r="H2364" t="s">
        <v>57</v>
      </c>
    </row>
    <row r="2365" spans="1:8" x14ac:dyDescent="0.3">
      <c r="A2365">
        <v>206</v>
      </c>
      <c r="B2365" s="5">
        <v>43842</v>
      </c>
      <c r="C2365" t="s">
        <v>12</v>
      </c>
      <c r="D2365">
        <v>429</v>
      </c>
      <c r="E2365">
        <v>382</v>
      </c>
      <c r="F2365" s="5">
        <v>43831</v>
      </c>
      <c r="G2365">
        <v>-429</v>
      </c>
      <c r="H2365" t="s">
        <v>57</v>
      </c>
    </row>
    <row r="2366" spans="1:8" x14ac:dyDescent="0.3">
      <c r="A2366">
        <v>206</v>
      </c>
      <c r="B2366" s="5">
        <v>43844</v>
      </c>
      <c r="C2366" t="s">
        <v>11</v>
      </c>
      <c r="D2366">
        <v>169</v>
      </c>
      <c r="E2366">
        <v>213</v>
      </c>
      <c r="F2366" s="5">
        <v>43831</v>
      </c>
      <c r="G2366">
        <v>-169</v>
      </c>
      <c r="H2366" t="s">
        <v>57</v>
      </c>
    </row>
    <row r="2367" spans="1:8" x14ac:dyDescent="0.3">
      <c r="A2367">
        <v>206</v>
      </c>
      <c r="B2367" s="5">
        <v>43848</v>
      </c>
      <c r="C2367" t="s">
        <v>12</v>
      </c>
      <c r="D2367">
        <v>768</v>
      </c>
      <c r="E2367">
        <v>-555</v>
      </c>
      <c r="F2367" s="5">
        <v>43831</v>
      </c>
      <c r="G2367">
        <v>-768</v>
      </c>
      <c r="H2367" t="s">
        <v>58</v>
      </c>
    </row>
    <row r="2368" spans="1:8" x14ac:dyDescent="0.3">
      <c r="A2368">
        <v>206</v>
      </c>
      <c r="B2368" s="5">
        <v>43849</v>
      </c>
      <c r="C2368" t="s">
        <v>10</v>
      </c>
      <c r="D2368">
        <v>340</v>
      </c>
      <c r="E2368">
        <v>-215</v>
      </c>
      <c r="F2368" s="5">
        <v>43831</v>
      </c>
      <c r="G2368">
        <v>340</v>
      </c>
      <c r="H2368" t="s">
        <v>58</v>
      </c>
    </row>
    <row r="2369" spans="1:8" x14ac:dyDescent="0.3">
      <c r="A2369">
        <v>206</v>
      </c>
      <c r="B2369" s="5">
        <v>43883</v>
      </c>
      <c r="C2369" t="s">
        <v>11</v>
      </c>
      <c r="D2369">
        <v>734</v>
      </c>
      <c r="E2369">
        <v>-949</v>
      </c>
      <c r="F2369" s="5">
        <v>43862</v>
      </c>
      <c r="G2369">
        <v>-734</v>
      </c>
      <c r="H2369" t="s">
        <v>58</v>
      </c>
    </row>
    <row r="2370" spans="1:8" x14ac:dyDescent="0.3">
      <c r="A2370">
        <v>206</v>
      </c>
      <c r="B2370" s="5">
        <v>43892</v>
      </c>
      <c r="C2370" t="s">
        <v>12</v>
      </c>
      <c r="D2370">
        <v>766</v>
      </c>
      <c r="E2370">
        <v>-1715</v>
      </c>
      <c r="F2370" s="5">
        <v>43891</v>
      </c>
      <c r="G2370">
        <v>-766</v>
      </c>
      <c r="H2370" t="s">
        <v>58</v>
      </c>
    </row>
    <row r="2371" spans="1:8" x14ac:dyDescent="0.3">
      <c r="A2371">
        <v>206</v>
      </c>
      <c r="B2371" s="5">
        <v>43897</v>
      </c>
      <c r="C2371" t="s">
        <v>12</v>
      </c>
      <c r="D2371">
        <v>168</v>
      </c>
      <c r="E2371">
        <v>-1883</v>
      </c>
      <c r="F2371" s="5">
        <v>43891</v>
      </c>
      <c r="G2371">
        <v>-168</v>
      </c>
      <c r="H2371" t="s">
        <v>58</v>
      </c>
    </row>
    <row r="2372" spans="1:8" x14ac:dyDescent="0.3">
      <c r="A2372">
        <v>206</v>
      </c>
      <c r="B2372" s="5">
        <v>43898</v>
      </c>
      <c r="C2372" t="s">
        <v>12</v>
      </c>
      <c r="D2372">
        <v>183</v>
      </c>
      <c r="E2372">
        <v>-2066</v>
      </c>
      <c r="F2372" s="5">
        <v>43891</v>
      </c>
      <c r="G2372">
        <v>-183</v>
      </c>
      <c r="H2372" t="s">
        <v>58</v>
      </c>
    </row>
    <row r="2373" spans="1:8" x14ac:dyDescent="0.3">
      <c r="A2373">
        <v>206</v>
      </c>
      <c r="B2373" s="5">
        <v>43905</v>
      </c>
      <c r="C2373" t="s">
        <v>12</v>
      </c>
      <c r="D2373">
        <v>915</v>
      </c>
      <c r="E2373">
        <v>-2981</v>
      </c>
      <c r="F2373" s="5">
        <v>43891</v>
      </c>
      <c r="G2373">
        <v>-915</v>
      </c>
      <c r="H2373" t="s">
        <v>58</v>
      </c>
    </row>
    <row r="2374" spans="1:8" x14ac:dyDescent="0.3">
      <c r="A2374">
        <v>206</v>
      </c>
      <c r="B2374" s="5">
        <v>43908</v>
      </c>
      <c r="C2374" t="s">
        <v>11</v>
      </c>
      <c r="D2374">
        <v>516</v>
      </c>
      <c r="E2374">
        <v>-3497</v>
      </c>
      <c r="F2374" s="5">
        <v>43891</v>
      </c>
      <c r="G2374">
        <v>-516</v>
      </c>
      <c r="H2374" t="s">
        <v>58</v>
      </c>
    </row>
    <row r="2375" spans="1:8" x14ac:dyDescent="0.3">
      <c r="A2375">
        <v>206</v>
      </c>
      <c r="B2375" s="5">
        <v>43916</v>
      </c>
      <c r="C2375" t="s">
        <v>11</v>
      </c>
      <c r="D2375">
        <v>738</v>
      </c>
      <c r="E2375">
        <v>-4235</v>
      </c>
      <c r="F2375" s="5">
        <v>43891</v>
      </c>
      <c r="G2375">
        <v>-738</v>
      </c>
      <c r="H2375" t="s">
        <v>58</v>
      </c>
    </row>
    <row r="2376" spans="1:8" x14ac:dyDescent="0.3">
      <c r="A2376">
        <v>206</v>
      </c>
      <c r="B2376" s="5">
        <v>43919</v>
      </c>
      <c r="C2376" t="s">
        <v>11</v>
      </c>
      <c r="D2376">
        <v>428</v>
      </c>
      <c r="E2376">
        <v>-4663</v>
      </c>
      <c r="F2376" s="5">
        <v>43891</v>
      </c>
      <c r="G2376">
        <v>-428</v>
      </c>
      <c r="H2376" t="s">
        <v>58</v>
      </c>
    </row>
    <row r="2377" spans="1:8" x14ac:dyDescent="0.3">
      <c r="A2377">
        <v>206</v>
      </c>
      <c r="B2377" s="5">
        <v>43920</v>
      </c>
      <c r="C2377" t="s">
        <v>11</v>
      </c>
      <c r="D2377">
        <v>311</v>
      </c>
      <c r="E2377">
        <v>-4974</v>
      </c>
      <c r="F2377" s="5">
        <v>43891</v>
      </c>
      <c r="G2377">
        <v>-311</v>
      </c>
      <c r="H2377" t="s">
        <v>58</v>
      </c>
    </row>
    <row r="2378" spans="1:8" x14ac:dyDescent="0.3">
      <c r="A2378">
        <v>206</v>
      </c>
      <c r="B2378" s="5">
        <v>43925</v>
      </c>
      <c r="C2378" t="s">
        <v>12</v>
      </c>
      <c r="D2378">
        <v>400</v>
      </c>
      <c r="E2378">
        <v>-5374</v>
      </c>
      <c r="F2378" s="5">
        <v>43922</v>
      </c>
      <c r="G2378">
        <v>-400</v>
      </c>
      <c r="H2378" t="s">
        <v>58</v>
      </c>
    </row>
    <row r="2379" spans="1:8" x14ac:dyDescent="0.3">
      <c r="A2379">
        <v>207</v>
      </c>
      <c r="B2379" s="5">
        <v>43856</v>
      </c>
      <c r="C2379" t="s">
        <v>10</v>
      </c>
      <c r="D2379">
        <v>322</v>
      </c>
      <c r="E2379">
        <v>322</v>
      </c>
      <c r="F2379" s="5">
        <v>43831</v>
      </c>
      <c r="G2379">
        <v>322</v>
      </c>
      <c r="H2379" t="s">
        <v>57</v>
      </c>
    </row>
    <row r="2380" spans="1:8" x14ac:dyDescent="0.3">
      <c r="A2380">
        <v>207</v>
      </c>
      <c r="B2380" s="5">
        <v>43865</v>
      </c>
      <c r="C2380" t="s">
        <v>12</v>
      </c>
      <c r="D2380">
        <v>754</v>
      </c>
      <c r="E2380">
        <v>-432</v>
      </c>
      <c r="F2380" s="5">
        <v>43862</v>
      </c>
      <c r="G2380">
        <v>-754</v>
      </c>
      <c r="H2380" t="s">
        <v>58</v>
      </c>
    </row>
    <row r="2381" spans="1:8" x14ac:dyDescent="0.3">
      <c r="A2381">
        <v>207</v>
      </c>
      <c r="B2381" s="5">
        <v>43873</v>
      </c>
      <c r="C2381" t="s">
        <v>11</v>
      </c>
      <c r="D2381">
        <v>45</v>
      </c>
      <c r="E2381">
        <v>-477</v>
      </c>
      <c r="F2381" s="5">
        <v>43862</v>
      </c>
      <c r="G2381">
        <v>-45</v>
      </c>
      <c r="H2381" t="s">
        <v>58</v>
      </c>
    </row>
    <row r="2382" spans="1:8" x14ac:dyDescent="0.3">
      <c r="A2382">
        <v>207</v>
      </c>
      <c r="B2382" s="5">
        <v>43875</v>
      </c>
      <c r="C2382" t="s">
        <v>10</v>
      </c>
      <c r="D2382">
        <v>373</v>
      </c>
      <c r="E2382">
        <v>-104</v>
      </c>
      <c r="F2382" s="5">
        <v>43862</v>
      </c>
      <c r="G2382">
        <v>373</v>
      </c>
      <c r="H2382" t="s">
        <v>58</v>
      </c>
    </row>
    <row r="2383" spans="1:8" x14ac:dyDescent="0.3">
      <c r="A2383">
        <v>207</v>
      </c>
      <c r="B2383" s="5">
        <v>43884</v>
      </c>
      <c r="C2383" t="s">
        <v>12</v>
      </c>
      <c r="D2383">
        <v>902</v>
      </c>
      <c r="E2383">
        <v>-1006</v>
      </c>
      <c r="F2383" s="5">
        <v>43862</v>
      </c>
      <c r="G2383">
        <v>-902</v>
      </c>
      <c r="H2383" t="s">
        <v>58</v>
      </c>
    </row>
    <row r="2384" spans="1:8" x14ac:dyDescent="0.3">
      <c r="A2384">
        <v>207</v>
      </c>
      <c r="B2384" s="5">
        <v>43889</v>
      </c>
      <c r="C2384" t="s">
        <v>12</v>
      </c>
      <c r="D2384">
        <v>948</v>
      </c>
      <c r="E2384">
        <v>-1954</v>
      </c>
      <c r="F2384" s="5">
        <v>43862</v>
      </c>
      <c r="G2384">
        <v>-948</v>
      </c>
      <c r="H2384" t="s">
        <v>58</v>
      </c>
    </row>
    <row r="2385" spans="1:8" x14ac:dyDescent="0.3">
      <c r="A2385">
        <v>207</v>
      </c>
      <c r="B2385" s="5">
        <v>43891</v>
      </c>
      <c r="C2385" t="s">
        <v>12</v>
      </c>
      <c r="D2385">
        <v>237</v>
      </c>
      <c r="E2385">
        <v>-2191</v>
      </c>
      <c r="F2385" s="5">
        <v>43891</v>
      </c>
      <c r="G2385">
        <v>-237</v>
      </c>
      <c r="H2385" t="s">
        <v>58</v>
      </c>
    </row>
    <row r="2386" spans="1:8" x14ac:dyDescent="0.3">
      <c r="A2386">
        <v>207</v>
      </c>
      <c r="B2386" s="5">
        <v>43892</v>
      </c>
      <c r="C2386" t="s">
        <v>10</v>
      </c>
      <c r="D2386">
        <v>668</v>
      </c>
      <c r="E2386">
        <v>-1523</v>
      </c>
      <c r="F2386" s="5">
        <v>43891</v>
      </c>
      <c r="G2386">
        <v>668</v>
      </c>
      <c r="H2386" t="s">
        <v>58</v>
      </c>
    </row>
    <row r="2387" spans="1:8" x14ac:dyDescent="0.3">
      <c r="A2387">
        <v>207</v>
      </c>
      <c r="B2387" s="5">
        <v>43896</v>
      </c>
      <c r="C2387" t="s">
        <v>10</v>
      </c>
      <c r="D2387">
        <v>224</v>
      </c>
      <c r="E2387">
        <v>-1299</v>
      </c>
      <c r="F2387" s="5">
        <v>43891</v>
      </c>
      <c r="G2387">
        <v>224</v>
      </c>
      <c r="H2387" t="s">
        <v>58</v>
      </c>
    </row>
    <row r="2388" spans="1:8" x14ac:dyDescent="0.3">
      <c r="A2388">
        <v>207</v>
      </c>
      <c r="B2388" s="5">
        <v>43899</v>
      </c>
      <c r="C2388" t="s">
        <v>12</v>
      </c>
      <c r="D2388">
        <v>536</v>
      </c>
      <c r="E2388">
        <v>-1835</v>
      </c>
      <c r="F2388" s="5">
        <v>43891</v>
      </c>
      <c r="G2388">
        <v>-536</v>
      </c>
      <c r="H2388" t="s">
        <v>58</v>
      </c>
    </row>
    <row r="2389" spans="1:8" x14ac:dyDescent="0.3">
      <c r="A2389">
        <v>207</v>
      </c>
      <c r="B2389" s="5">
        <v>43907</v>
      </c>
      <c r="C2389" t="s">
        <v>12</v>
      </c>
      <c r="D2389">
        <v>317</v>
      </c>
      <c r="E2389">
        <v>-2152</v>
      </c>
      <c r="F2389" s="5">
        <v>43891</v>
      </c>
      <c r="G2389">
        <v>-317</v>
      </c>
      <c r="H2389" t="s">
        <v>58</v>
      </c>
    </row>
    <row r="2390" spans="1:8" x14ac:dyDescent="0.3">
      <c r="A2390">
        <v>207</v>
      </c>
      <c r="B2390" s="5">
        <v>43932</v>
      </c>
      <c r="C2390" t="s">
        <v>10</v>
      </c>
      <c r="D2390">
        <v>798</v>
      </c>
      <c r="E2390">
        <v>-1354</v>
      </c>
      <c r="F2390" s="5">
        <v>43922</v>
      </c>
      <c r="G2390">
        <v>798</v>
      </c>
      <c r="H2390" t="s">
        <v>58</v>
      </c>
    </row>
    <row r="2391" spans="1:8" x14ac:dyDescent="0.3">
      <c r="A2391">
        <v>207</v>
      </c>
      <c r="B2391" s="5">
        <v>43934</v>
      </c>
      <c r="C2391" t="s">
        <v>10</v>
      </c>
      <c r="D2391">
        <v>340</v>
      </c>
      <c r="E2391">
        <v>-1014</v>
      </c>
      <c r="F2391" s="5">
        <v>43922</v>
      </c>
      <c r="G2391">
        <v>340</v>
      </c>
      <c r="H2391" t="s">
        <v>58</v>
      </c>
    </row>
    <row r="2392" spans="1:8" x14ac:dyDescent="0.3">
      <c r="A2392">
        <v>208</v>
      </c>
      <c r="B2392" s="5">
        <v>43849</v>
      </c>
      <c r="C2392" t="s">
        <v>10</v>
      </c>
      <c r="D2392">
        <v>537</v>
      </c>
      <c r="E2392">
        <v>537</v>
      </c>
      <c r="F2392" s="5">
        <v>43831</v>
      </c>
      <c r="G2392">
        <v>537</v>
      </c>
      <c r="H2392" t="s">
        <v>57</v>
      </c>
    </row>
    <row r="2393" spans="1:8" x14ac:dyDescent="0.3">
      <c r="A2393">
        <v>208</v>
      </c>
      <c r="B2393" s="5">
        <v>43865</v>
      </c>
      <c r="C2393" t="s">
        <v>11</v>
      </c>
      <c r="D2393">
        <v>131</v>
      </c>
      <c r="E2393">
        <v>406</v>
      </c>
      <c r="F2393" s="5">
        <v>43862</v>
      </c>
      <c r="G2393">
        <v>-131</v>
      </c>
      <c r="H2393" t="s">
        <v>57</v>
      </c>
    </row>
    <row r="2394" spans="1:8" x14ac:dyDescent="0.3">
      <c r="A2394">
        <v>208</v>
      </c>
      <c r="B2394" s="5">
        <v>43938</v>
      </c>
      <c r="C2394" t="s">
        <v>10</v>
      </c>
      <c r="D2394">
        <v>955</v>
      </c>
      <c r="E2394">
        <v>1361</v>
      </c>
      <c r="F2394" s="5">
        <v>43922</v>
      </c>
      <c r="G2394">
        <v>955</v>
      </c>
      <c r="H2394" t="s">
        <v>57</v>
      </c>
    </row>
    <row r="2395" spans="1:8" x14ac:dyDescent="0.3">
      <c r="A2395">
        <v>209</v>
      </c>
      <c r="B2395" s="5">
        <v>43853</v>
      </c>
      <c r="C2395" t="s">
        <v>10</v>
      </c>
      <c r="D2395">
        <v>160</v>
      </c>
      <c r="E2395">
        <v>160</v>
      </c>
      <c r="F2395" s="5">
        <v>43831</v>
      </c>
      <c r="G2395">
        <v>160</v>
      </c>
      <c r="H2395" t="s">
        <v>57</v>
      </c>
    </row>
    <row r="2396" spans="1:8" x14ac:dyDescent="0.3">
      <c r="A2396">
        <v>209</v>
      </c>
      <c r="B2396" s="5">
        <v>43854</v>
      </c>
      <c r="C2396" t="s">
        <v>11</v>
      </c>
      <c r="D2396">
        <v>363</v>
      </c>
      <c r="E2396">
        <v>-203</v>
      </c>
      <c r="F2396" s="5">
        <v>43831</v>
      </c>
      <c r="G2396">
        <v>-363</v>
      </c>
      <c r="H2396" t="s">
        <v>58</v>
      </c>
    </row>
    <row r="2397" spans="1:8" x14ac:dyDescent="0.3">
      <c r="A2397">
        <v>209</v>
      </c>
      <c r="B2397" s="5">
        <v>43855</v>
      </c>
      <c r="C2397" t="s">
        <v>10</v>
      </c>
      <c r="D2397">
        <v>904</v>
      </c>
      <c r="E2397">
        <v>701</v>
      </c>
      <c r="F2397" s="5">
        <v>43831</v>
      </c>
      <c r="G2397">
        <v>904</v>
      </c>
      <c r="H2397" t="s">
        <v>57</v>
      </c>
    </row>
    <row r="2398" spans="1:8" x14ac:dyDescent="0.3">
      <c r="A2398">
        <v>209</v>
      </c>
      <c r="B2398" s="5">
        <v>43860</v>
      </c>
      <c r="C2398" t="s">
        <v>12</v>
      </c>
      <c r="D2398">
        <v>903</v>
      </c>
      <c r="E2398">
        <v>-202</v>
      </c>
      <c r="F2398" s="5">
        <v>43831</v>
      </c>
      <c r="G2398">
        <v>-903</v>
      </c>
      <c r="H2398" t="s">
        <v>58</v>
      </c>
    </row>
    <row r="2399" spans="1:8" x14ac:dyDescent="0.3">
      <c r="A2399">
        <v>209</v>
      </c>
      <c r="B2399" s="5">
        <v>43883</v>
      </c>
      <c r="C2399" t="s">
        <v>12</v>
      </c>
      <c r="D2399">
        <v>738</v>
      </c>
      <c r="E2399">
        <v>-940</v>
      </c>
      <c r="F2399" s="5">
        <v>43862</v>
      </c>
      <c r="G2399">
        <v>-738</v>
      </c>
      <c r="H2399" t="s">
        <v>58</v>
      </c>
    </row>
    <row r="2400" spans="1:8" x14ac:dyDescent="0.3">
      <c r="A2400">
        <v>209</v>
      </c>
      <c r="B2400" s="5">
        <v>43885</v>
      </c>
      <c r="C2400" t="s">
        <v>10</v>
      </c>
      <c r="D2400">
        <v>174</v>
      </c>
      <c r="E2400">
        <v>-766</v>
      </c>
      <c r="F2400" s="5">
        <v>43862</v>
      </c>
      <c r="G2400">
        <v>174</v>
      </c>
      <c r="H2400" t="s">
        <v>58</v>
      </c>
    </row>
    <row r="2401" spans="1:8" x14ac:dyDescent="0.3">
      <c r="A2401">
        <v>209</v>
      </c>
      <c r="B2401" s="5">
        <v>43891</v>
      </c>
      <c r="C2401" t="s">
        <v>12</v>
      </c>
      <c r="D2401">
        <v>430</v>
      </c>
      <c r="E2401">
        <v>-1196</v>
      </c>
      <c r="F2401" s="5">
        <v>43891</v>
      </c>
      <c r="G2401">
        <v>-430</v>
      </c>
      <c r="H2401" t="s">
        <v>58</v>
      </c>
    </row>
    <row r="2402" spans="1:8" x14ac:dyDescent="0.3">
      <c r="A2402">
        <v>209</v>
      </c>
      <c r="B2402" s="5">
        <v>43898</v>
      </c>
      <c r="C2402" t="s">
        <v>10</v>
      </c>
      <c r="D2402">
        <v>522</v>
      </c>
      <c r="E2402">
        <v>-674</v>
      </c>
      <c r="F2402" s="5">
        <v>43891</v>
      </c>
      <c r="G2402">
        <v>522</v>
      </c>
      <c r="H2402" t="s">
        <v>58</v>
      </c>
    </row>
    <row r="2403" spans="1:8" x14ac:dyDescent="0.3">
      <c r="A2403">
        <v>209</v>
      </c>
      <c r="B2403" s="5">
        <v>43904</v>
      </c>
      <c r="C2403" t="s">
        <v>10</v>
      </c>
      <c r="D2403">
        <v>909</v>
      </c>
      <c r="E2403">
        <v>235</v>
      </c>
      <c r="F2403" s="5">
        <v>43891</v>
      </c>
      <c r="G2403">
        <v>909</v>
      </c>
      <c r="H2403" t="s">
        <v>57</v>
      </c>
    </row>
    <row r="2404" spans="1:8" x14ac:dyDescent="0.3">
      <c r="A2404">
        <v>209</v>
      </c>
      <c r="B2404" s="5">
        <v>43904</v>
      </c>
      <c r="C2404" t="s">
        <v>11</v>
      </c>
      <c r="D2404">
        <v>913</v>
      </c>
      <c r="E2404">
        <v>-678</v>
      </c>
      <c r="F2404" s="5">
        <v>43891</v>
      </c>
      <c r="G2404">
        <v>-913</v>
      </c>
      <c r="H2404" t="s">
        <v>58</v>
      </c>
    </row>
    <row r="2405" spans="1:8" x14ac:dyDescent="0.3">
      <c r="A2405">
        <v>209</v>
      </c>
      <c r="B2405" s="5">
        <v>43911</v>
      </c>
      <c r="C2405" t="s">
        <v>12</v>
      </c>
      <c r="D2405">
        <v>66</v>
      </c>
      <c r="E2405">
        <v>-744</v>
      </c>
      <c r="F2405" s="5">
        <v>43891</v>
      </c>
      <c r="G2405">
        <v>-66</v>
      </c>
      <c r="H2405" t="s">
        <v>58</v>
      </c>
    </row>
    <row r="2406" spans="1:8" x14ac:dyDescent="0.3">
      <c r="A2406">
        <v>209</v>
      </c>
      <c r="B2406" s="5">
        <v>43920</v>
      </c>
      <c r="C2406" t="s">
        <v>11</v>
      </c>
      <c r="D2406">
        <v>522</v>
      </c>
      <c r="E2406">
        <v>-1266</v>
      </c>
      <c r="F2406" s="5">
        <v>43891</v>
      </c>
      <c r="G2406">
        <v>-522</v>
      </c>
      <c r="H2406" t="s">
        <v>58</v>
      </c>
    </row>
    <row r="2407" spans="1:8" x14ac:dyDescent="0.3">
      <c r="A2407">
        <v>209</v>
      </c>
      <c r="B2407" s="5">
        <v>43924</v>
      </c>
      <c r="C2407" t="s">
        <v>12</v>
      </c>
      <c r="D2407">
        <v>501</v>
      </c>
      <c r="E2407">
        <v>-1767</v>
      </c>
      <c r="F2407" s="5">
        <v>43922</v>
      </c>
      <c r="G2407">
        <v>-501</v>
      </c>
      <c r="H2407" t="s">
        <v>58</v>
      </c>
    </row>
    <row r="2408" spans="1:8" x14ac:dyDescent="0.3">
      <c r="A2408">
        <v>209</v>
      </c>
      <c r="B2408" s="5">
        <v>43940</v>
      </c>
      <c r="C2408" t="s">
        <v>12</v>
      </c>
      <c r="D2408">
        <v>584</v>
      </c>
      <c r="E2408">
        <v>-2351</v>
      </c>
      <c r="F2408" s="5">
        <v>43922</v>
      </c>
      <c r="G2408">
        <v>-584</v>
      </c>
      <c r="H2408" t="s">
        <v>58</v>
      </c>
    </row>
    <row r="2409" spans="1:8" x14ac:dyDescent="0.3">
      <c r="A2409">
        <v>210</v>
      </c>
      <c r="B2409" s="5">
        <v>43849</v>
      </c>
      <c r="C2409" t="s">
        <v>10</v>
      </c>
      <c r="D2409">
        <v>708</v>
      </c>
      <c r="E2409">
        <v>708</v>
      </c>
      <c r="F2409" s="5">
        <v>43831</v>
      </c>
      <c r="G2409">
        <v>708</v>
      </c>
      <c r="H2409" t="s">
        <v>57</v>
      </c>
    </row>
    <row r="2410" spans="1:8" x14ac:dyDescent="0.3">
      <c r="A2410">
        <v>210</v>
      </c>
      <c r="B2410" s="5">
        <v>43850</v>
      </c>
      <c r="C2410" t="s">
        <v>10</v>
      </c>
      <c r="D2410">
        <v>103</v>
      </c>
      <c r="E2410">
        <v>811</v>
      </c>
      <c r="F2410" s="5">
        <v>43831</v>
      </c>
      <c r="G2410">
        <v>103</v>
      </c>
      <c r="H2410" t="s">
        <v>57</v>
      </c>
    </row>
    <row r="2411" spans="1:8" x14ac:dyDescent="0.3">
      <c r="A2411">
        <v>210</v>
      </c>
      <c r="B2411" s="5">
        <v>43859</v>
      </c>
      <c r="C2411" t="s">
        <v>12</v>
      </c>
      <c r="D2411">
        <v>751</v>
      </c>
      <c r="E2411">
        <v>60</v>
      </c>
      <c r="F2411" s="5">
        <v>43831</v>
      </c>
      <c r="G2411">
        <v>-751</v>
      </c>
      <c r="H2411" t="s">
        <v>57</v>
      </c>
    </row>
    <row r="2412" spans="1:8" x14ac:dyDescent="0.3">
      <c r="A2412">
        <v>210</v>
      </c>
      <c r="B2412" s="5">
        <v>43866</v>
      </c>
      <c r="C2412" t="s">
        <v>11</v>
      </c>
      <c r="D2412">
        <v>883</v>
      </c>
      <c r="E2412">
        <v>-823</v>
      </c>
      <c r="F2412" s="5">
        <v>43862</v>
      </c>
      <c r="G2412">
        <v>-883</v>
      </c>
      <c r="H2412" t="s">
        <v>58</v>
      </c>
    </row>
    <row r="2413" spans="1:8" x14ac:dyDescent="0.3">
      <c r="A2413">
        <v>210</v>
      </c>
      <c r="B2413" s="5">
        <v>43867</v>
      </c>
      <c r="C2413" t="s">
        <v>12</v>
      </c>
      <c r="D2413">
        <v>486</v>
      </c>
      <c r="E2413">
        <v>-1309</v>
      </c>
      <c r="F2413" s="5">
        <v>43862</v>
      </c>
      <c r="G2413">
        <v>-486</v>
      </c>
      <c r="H2413" t="s">
        <v>58</v>
      </c>
    </row>
    <row r="2414" spans="1:8" x14ac:dyDescent="0.3">
      <c r="A2414">
        <v>210</v>
      </c>
      <c r="B2414" s="5">
        <v>43877</v>
      </c>
      <c r="C2414" t="s">
        <v>12</v>
      </c>
      <c r="D2414">
        <v>17</v>
      </c>
      <c r="E2414">
        <v>-1326</v>
      </c>
      <c r="F2414" s="5">
        <v>43862</v>
      </c>
      <c r="G2414">
        <v>-17</v>
      </c>
      <c r="H2414" t="s">
        <v>58</v>
      </c>
    </row>
    <row r="2415" spans="1:8" x14ac:dyDescent="0.3">
      <c r="A2415">
        <v>210</v>
      </c>
      <c r="B2415" s="5">
        <v>43880</v>
      </c>
      <c r="C2415" t="s">
        <v>12</v>
      </c>
      <c r="D2415">
        <v>267</v>
      </c>
      <c r="E2415">
        <v>-1593</v>
      </c>
      <c r="F2415" s="5">
        <v>43862</v>
      </c>
      <c r="G2415">
        <v>-267</v>
      </c>
      <c r="H2415" t="s">
        <v>58</v>
      </c>
    </row>
    <row r="2416" spans="1:8" x14ac:dyDescent="0.3">
      <c r="A2416">
        <v>210</v>
      </c>
      <c r="B2416" s="5">
        <v>43880</v>
      </c>
      <c r="C2416" t="s">
        <v>12</v>
      </c>
      <c r="D2416">
        <v>358</v>
      </c>
      <c r="E2416">
        <v>-1951</v>
      </c>
      <c r="F2416" s="5">
        <v>43862</v>
      </c>
      <c r="G2416">
        <v>-358</v>
      </c>
      <c r="H2416" t="s">
        <v>58</v>
      </c>
    </row>
    <row r="2417" spans="1:8" x14ac:dyDescent="0.3">
      <c r="A2417">
        <v>210</v>
      </c>
      <c r="B2417" s="5">
        <v>43882</v>
      </c>
      <c r="C2417" t="s">
        <v>12</v>
      </c>
      <c r="D2417">
        <v>678</v>
      </c>
      <c r="E2417">
        <v>-2629</v>
      </c>
      <c r="F2417" s="5">
        <v>43862</v>
      </c>
      <c r="G2417">
        <v>-678</v>
      </c>
      <c r="H2417" t="s">
        <v>58</v>
      </c>
    </row>
    <row r="2418" spans="1:8" x14ac:dyDescent="0.3">
      <c r="A2418">
        <v>210</v>
      </c>
      <c r="B2418" s="5">
        <v>43884</v>
      </c>
      <c r="C2418" t="s">
        <v>10</v>
      </c>
      <c r="D2418">
        <v>422</v>
      </c>
      <c r="E2418">
        <v>-2207</v>
      </c>
      <c r="F2418" s="5">
        <v>43862</v>
      </c>
      <c r="G2418">
        <v>422</v>
      </c>
      <c r="H2418" t="s">
        <v>58</v>
      </c>
    </row>
    <row r="2419" spans="1:8" x14ac:dyDescent="0.3">
      <c r="A2419">
        <v>210</v>
      </c>
      <c r="B2419" s="5">
        <v>43887</v>
      </c>
      <c r="C2419" t="s">
        <v>10</v>
      </c>
      <c r="D2419">
        <v>203</v>
      </c>
      <c r="E2419">
        <v>-2004</v>
      </c>
      <c r="F2419" s="5">
        <v>43862</v>
      </c>
      <c r="G2419">
        <v>203</v>
      </c>
      <c r="H2419" t="s">
        <v>58</v>
      </c>
    </row>
    <row r="2420" spans="1:8" x14ac:dyDescent="0.3">
      <c r="A2420">
        <v>210</v>
      </c>
      <c r="B2420" s="5">
        <v>43887</v>
      </c>
      <c r="C2420" t="s">
        <v>10</v>
      </c>
      <c r="D2420">
        <v>579</v>
      </c>
      <c r="E2420">
        <v>-1425</v>
      </c>
      <c r="F2420" s="5">
        <v>43862</v>
      </c>
      <c r="G2420">
        <v>579</v>
      </c>
      <c r="H2420" t="s">
        <v>58</v>
      </c>
    </row>
    <row r="2421" spans="1:8" x14ac:dyDescent="0.3">
      <c r="A2421">
        <v>210</v>
      </c>
      <c r="B2421" s="5">
        <v>43888</v>
      </c>
      <c r="C2421" t="s">
        <v>10</v>
      </c>
      <c r="D2421">
        <v>64</v>
      </c>
      <c r="E2421">
        <v>-1361</v>
      </c>
      <c r="F2421" s="5">
        <v>43862</v>
      </c>
      <c r="G2421">
        <v>64</v>
      </c>
      <c r="H2421" t="s">
        <v>58</v>
      </c>
    </row>
    <row r="2422" spans="1:8" x14ac:dyDescent="0.3">
      <c r="A2422">
        <v>210</v>
      </c>
      <c r="B2422" s="5">
        <v>43896</v>
      </c>
      <c r="C2422" t="s">
        <v>12</v>
      </c>
      <c r="D2422">
        <v>926</v>
      </c>
      <c r="E2422">
        <v>-2287</v>
      </c>
      <c r="F2422" s="5">
        <v>43891</v>
      </c>
      <c r="G2422">
        <v>-926</v>
      </c>
      <c r="H2422" t="s">
        <v>58</v>
      </c>
    </row>
    <row r="2423" spans="1:8" x14ac:dyDescent="0.3">
      <c r="A2423">
        <v>210</v>
      </c>
      <c r="B2423" s="5">
        <v>43899</v>
      </c>
      <c r="C2423" t="s">
        <v>10</v>
      </c>
      <c r="D2423">
        <v>782</v>
      </c>
      <c r="E2423">
        <v>-1505</v>
      </c>
      <c r="F2423" s="5">
        <v>43891</v>
      </c>
      <c r="G2423">
        <v>782</v>
      </c>
      <c r="H2423" t="s">
        <v>58</v>
      </c>
    </row>
    <row r="2424" spans="1:8" x14ac:dyDescent="0.3">
      <c r="A2424">
        <v>210</v>
      </c>
      <c r="B2424" s="5">
        <v>43901</v>
      </c>
      <c r="C2424" t="s">
        <v>10</v>
      </c>
      <c r="D2424">
        <v>662</v>
      </c>
      <c r="E2424">
        <v>-843</v>
      </c>
      <c r="F2424" s="5">
        <v>43891</v>
      </c>
      <c r="G2424">
        <v>662</v>
      </c>
      <c r="H2424" t="s">
        <v>58</v>
      </c>
    </row>
    <row r="2425" spans="1:8" x14ac:dyDescent="0.3">
      <c r="A2425">
        <v>210</v>
      </c>
      <c r="B2425" s="5">
        <v>43902</v>
      </c>
      <c r="C2425" t="s">
        <v>10</v>
      </c>
      <c r="D2425">
        <v>698</v>
      </c>
      <c r="E2425">
        <v>-145</v>
      </c>
      <c r="F2425" s="5">
        <v>43891</v>
      </c>
      <c r="G2425">
        <v>698</v>
      </c>
      <c r="H2425" t="s">
        <v>58</v>
      </c>
    </row>
    <row r="2426" spans="1:8" x14ac:dyDescent="0.3">
      <c r="A2426">
        <v>210</v>
      </c>
      <c r="B2426" s="5">
        <v>43916</v>
      </c>
      <c r="C2426" t="s">
        <v>12</v>
      </c>
      <c r="D2426">
        <v>491</v>
      </c>
      <c r="E2426">
        <v>-636</v>
      </c>
      <c r="F2426" s="5">
        <v>43891</v>
      </c>
      <c r="G2426">
        <v>-491</v>
      </c>
      <c r="H2426" t="s">
        <v>58</v>
      </c>
    </row>
    <row r="2427" spans="1:8" x14ac:dyDescent="0.3">
      <c r="A2427">
        <v>210</v>
      </c>
      <c r="B2427" s="5">
        <v>43921</v>
      </c>
      <c r="C2427" t="s">
        <v>12</v>
      </c>
      <c r="D2427">
        <v>673</v>
      </c>
      <c r="E2427">
        <v>-1309</v>
      </c>
      <c r="F2427" s="5">
        <v>43891</v>
      </c>
      <c r="G2427">
        <v>-673</v>
      </c>
      <c r="H2427" t="s">
        <v>58</v>
      </c>
    </row>
    <row r="2428" spans="1:8" x14ac:dyDescent="0.3">
      <c r="A2428">
        <v>210</v>
      </c>
      <c r="B2428" s="5">
        <v>43929</v>
      </c>
      <c r="C2428" t="s">
        <v>10</v>
      </c>
      <c r="D2428">
        <v>517</v>
      </c>
      <c r="E2428">
        <v>-792</v>
      </c>
      <c r="F2428" s="5">
        <v>43922</v>
      </c>
      <c r="G2428">
        <v>517</v>
      </c>
      <c r="H2428" t="s">
        <v>58</v>
      </c>
    </row>
    <row r="2429" spans="1:8" x14ac:dyDescent="0.3">
      <c r="A2429">
        <v>211</v>
      </c>
      <c r="B2429" s="5">
        <v>43849</v>
      </c>
      <c r="C2429" t="s">
        <v>10</v>
      </c>
      <c r="D2429">
        <v>485</v>
      </c>
      <c r="E2429">
        <v>485</v>
      </c>
      <c r="F2429" s="5">
        <v>43831</v>
      </c>
      <c r="G2429">
        <v>485</v>
      </c>
      <c r="H2429" t="s">
        <v>57</v>
      </c>
    </row>
    <row r="2430" spans="1:8" x14ac:dyDescent="0.3">
      <c r="A2430">
        <v>211</v>
      </c>
      <c r="B2430" s="5">
        <v>43854</v>
      </c>
      <c r="C2430" t="s">
        <v>10</v>
      </c>
      <c r="D2430">
        <v>529</v>
      </c>
      <c r="E2430">
        <v>1014</v>
      </c>
      <c r="F2430" s="5">
        <v>43831</v>
      </c>
      <c r="G2430">
        <v>529</v>
      </c>
      <c r="H2430" t="s">
        <v>57</v>
      </c>
    </row>
    <row r="2431" spans="1:8" x14ac:dyDescent="0.3">
      <c r="A2431">
        <v>211</v>
      </c>
      <c r="B2431" s="5">
        <v>43854</v>
      </c>
      <c r="C2431" t="s">
        <v>11</v>
      </c>
      <c r="D2431">
        <v>407</v>
      </c>
      <c r="E2431">
        <v>607</v>
      </c>
      <c r="F2431" s="5">
        <v>43831</v>
      </c>
      <c r="G2431">
        <v>-407</v>
      </c>
      <c r="H2431" t="s">
        <v>57</v>
      </c>
    </row>
    <row r="2432" spans="1:8" x14ac:dyDescent="0.3">
      <c r="A2432">
        <v>211</v>
      </c>
      <c r="B2432" s="5">
        <v>43863</v>
      </c>
      <c r="C2432" t="s">
        <v>10</v>
      </c>
      <c r="D2432">
        <v>658</v>
      </c>
      <c r="E2432">
        <v>1265</v>
      </c>
      <c r="F2432" s="5">
        <v>43862</v>
      </c>
      <c r="G2432">
        <v>658</v>
      </c>
      <c r="H2432" t="s">
        <v>57</v>
      </c>
    </row>
    <row r="2433" spans="1:8" x14ac:dyDescent="0.3">
      <c r="A2433">
        <v>211</v>
      </c>
      <c r="B2433" s="5">
        <v>43871</v>
      </c>
      <c r="C2433" t="s">
        <v>12</v>
      </c>
      <c r="D2433">
        <v>244</v>
      </c>
      <c r="E2433">
        <v>1021</v>
      </c>
      <c r="F2433" s="5">
        <v>43862</v>
      </c>
      <c r="G2433">
        <v>-244</v>
      </c>
      <c r="H2433" t="s">
        <v>57</v>
      </c>
    </row>
    <row r="2434" spans="1:8" x14ac:dyDescent="0.3">
      <c r="A2434">
        <v>211</v>
      </c>
      <c r="B2434" s="5">
        <v>43878</v>
      </c>
      <c r="C2434" t="s">
        <v>12</v>
      </c>
      <c r="D2434">
        <v>718</v>
      </c>
      <c r="E2434">
        <v>303</v>
      </c>
      <c r="F2434" s="5">
        <v>43862</v>
      </c>
      <c r="G2434">
        <v>-718</v>
      </c>
      <c r="H2434" t="s">
        <v>57</v>
      </c>
    </row>
    <row r="2435" spans="1:8" x14ac:dyDescent="0.3">
      <c r="A2435">
        <v>211</v>
      </c>
      <c r="B2435" s="5">
        <v>43878</v>
      </c>
      <c r="C2435" t="s">
        <v>10</v>
      </c>
      <c r="D2435">
        <v>801</v>
      </c>
      <c r="E2435">
        <v>1104</v>
      </c>
      <c r="F2435" s="5">
        <v>43862</v>
      </c>
      <c r="G2435">
        <v>801</v>
      </c>
      <c r="H2435" t="s">
        <v>57</v>
      </c>
    </row>
    <row r="2436" spans="1:8" x14ac:dyDescent="0.3">
      <c r="A2436">
        <v>211</v>
      </c>
      <c r="B2436" s="5">
        <v>43887</v>
      </c>
      <c r="C2436" t="s">
        <v>10</v>
      </c>
      <c r="D2436">
        <v>735</v>
      </c>
      <c r="E2436">
        <v>1839</v>
      </c>
      <c r="F2436" s="5">
        <v>43862</v>
      </c>
      <c r="G2436">
        <v>735</v>
      </c>
      <c r="H2436" t="s">
        <v>57</v>
      </c>
    </row>
    <row r="2437" spans="1:8" x14ac:dyDescent="0.3">
      <c r="A2437">
        <v>211</v>
      </c>
      <c r="B2437" s="5">
        <v>43892</v>
      </c>
      <c r="C2437" t="s">
        <v>11</v>
      </c>
      <c r="D2437">
        <v>296</v>
      </c>
      <c r="E2437">
        <v>1543</v>
      </c>
      <c r="F2437" s="5">
        <v>43891</v>
      </c>
      <c r="G2437">
        <v>-296</v>
      </c>
      <c r="H2437" t="s">
        <v>57</v>
      </c>
    </row>
    <row r="2438" spans="1:8" x14ac:dyDescent="0.3">
      <c r="A2438">
        <v>211</v>
      </c>
      <c r="B2438" s="5">
        <v>43895</v>
      </c>
      <c r="C2438" t="s">
        <v>10</v>
      </c>
      <c r="D2438">
        <v>791</v>
      </c>
      <c r="E2438">
        <v>2334</v>
      </c>
      <c r="F2438" s="5">
        <v>43891</v>
      </c>
      <c r="G2438">
        <v>791</v>
      </c>
      <c r="H2438" t="s">
        <v>57</v>
      </c>
    </row>
    <row r="2439" spans="1:8" x14ac:dyDescent="0.3">
      <c r="A2439">
        <v>211</v>
      </c>
      <c r="B2439" s="5">
        <v>43906</v>
      </c>
      <c r="C2439" t="s">
        <v>10</v>
      </c>
      <c r="D2439">
        <v>141</v>
      </c>
      <c r="E2439">
        <v>2475</v>
      </c>
      <c r="F2439" s="5">
        <v>43891</v>
      </c>
      <c r="G2439">
        <v>141</v>
      </c>
      <c r="H2439" t="s">
        <v>57</v>
      </c>
    </row>
    <row r="2440" spans="1:8" x14ac:dyDescent="0.3">
      <c r="A2440">
        <v>211</v>
      </c>
      <c r="B2440" s="5">
        <v>43907</v>
      </c>
      <c r="C2440" t="s">
        <v>10</v>
      </c>
      <c r="D2440">
        <v>631</v>
      </c>
      <c r="E2440">
        <v>3106</v>
      </c>
      <c r="F2440" s="5">
        <v>43891</v>
      </c>
      <c r="G2440">
        <v>631</v>
      </c>
      <c r="H2440" t="s">
        <v>57</v>
      </c>
    </row>
    <row r="2441" spans="1:8" x14ac:dyDescent="0.3">
      <c r="A2441">
        <v>211</v>
      </c>
      <c r="B2441" s="5">
        <v>43910</v>
      </c>
      <c r="C2441" t="s">
        <v>12</v>
      </c>
      <c r="D2441">
        <v>822</v>
      </c>
      <c r="E2441">
        <v>2284</v>
      </c>
      <c r="F2441" s="5">
        <v>43891</v>
      </c>
      <c r="G2441">
        <v>-822</v>
      </c>
      <c r="H2441" t="s">
        <v>57</v>
      </c>
    </row>
    <row r="2442" spans="1:8" x14ac:dyDescent="0.3">
      <c r="A2442">
        <v>211</v>
      </c>
      <c r="B2442" s="5">
        <v>43910</v>
      </c>
      <c r="C2442" t="s">
        <v>11</v>
      </c>
      <c r="D2442">
        <v>79</v>
      </c>
      <c r="E2442">
        <v>2205</v>
      </c>
      <c r="F2442" s="5">
        <v>43891</v>
      </c>
      <c r="G2442">
        <v>-79</v>
      </c>
      <c r="H2442" t="s">
        <v>57</v>
      </c>
    </row>
    <row r="2443" spans="1:8" x14ac:dyDescent="0.3">
      <c r="A2443">
        <v>211</v>
      </c>
      <c r="B2443" s="5">
        <v>43911</v>
      </c>
      <c r="C2443" t="s">
        <v>12</v>
      </c>
      <c r="D2443">
        <v>856</v>
      </c>
      <c r="E2443">
        <v>1349</v>
      </c>
      <c r="F2443" s="5">
        <v>43891</v>
      </c>
      <c r="G2443">
        <v>-856</v>
      </c>
      <c r="H2443" t="s">
        <v>57</v>
      </c>
    </row>
    <row r="2444" spans="1:8" x14ac:dyDescent="0.3">
      <c r="A2444">
        <v>211</v>
      </c>
      <c r="B2444" s="5">
        <v>43913</v>
      </c>
      <c r="C2444" t="s">
        <v>12</v>
      </c>
      <c r="D2444">
        <v>278</v>
      </c>
      <c r="E2444">
        <v>1071</v>
      </c>
      <c r="F2444" s="5">
        <v>43891</v>
      </c>
      <c r="G2444">
        <v>-278</v>
      </c>
      <c r="H2444" t="s">
        <v>57</v>
      </c>
    </row>
    <row r="2445" spans="1:8" x14ac:dyDescent="0.3">
      <c r="A2445">
        <v>211</v>
      </c>
      <c r="B2445" s="5">
        <v>43918</v>
      </c>
      <c r="C2445" t="s">
        <v>12</v>
      </c>
      <c r="D2445">
        <v>814</v>
      </c>
      <c r="E2445">
        <v>257</v>
      </c>
      <c r="F2445" s="5">
        <v>43891</v>
      </c>
      <c r="G2445">
        <v>-814</v>
      </c>
      <c r="H2445" t="s">
        <v>57</v>
      </c>
    </row>
    <row r="2446" spans="1:8" x14ac:dyDescent="0.3">
      <c r="A2446">
        <v>211</v>
      </c>
      <c r="B2446" s="5">
        <v>43924</v>
      </c>
      <c r="C2446" t="s">
        <v>11</v>
      </c>
      <c r="D2446">
        <v>333</v>
      </c>
      <c r="E2446">
        <v>-76</v>
      </c>
      <c r="F2446" s="5">
        <v>43922</v>
      </c>
      <c r="G2446">
        <v>-333</v>
      </c>
      <c r="H2446" t="s">
        <v>58</v>
      </c>
    </row>
    <row r="2447" spans="1:8" x14ac:dyDescent="0.3">
      <c r="A2447">
        <v>211</v>
      </c>
      <c r="B2447" s="5">
        <v>43933</v>
      </c>
      <c r="C2447" t="s">
        <v>12</v>
      </c>
      <c r="D2447">
        <v>526</v>
      </c>
      <c r="E2447">
        <v>-602</v>
      </c>
      <c r="F2447" s="5">
        <v>43922</v>
      </c>
      <c r="G2447">
        <v>-526</v>
      </c>
      <c r="H2447" t="s">
        <v>58</v>
      </c>
    </row>
    <row r="2448" spans="1:8" x14ac:dyDescent="0.3">
      <c r="A2448">
        <v>212</v>
      </c>
      <c r="B2448" s="5">
        <v>43832</v>
      </c>
      <c r="C2448" t="s">
        <v>10</v>
      </c>
      <c r="D2448">
        <v>336</v>
      </c>
      <c r="E2448">
        <v>336</v>
      </c>
      <c r="F2448" s="5">
        <v>43831</v>
      </c>
      <c r="G2448">
        <v>336</v>
      </c>
      <c r="H2448" t="s">
        <v>57</v>
      </c>
    </row>
    <row r="2449" spans="1:8" x14ac:dyDescent="0.3">
      <c r="A2449">
        <v>212</v>
      </c>
      <c r="B2449" s="5">
        <v>43843</v>
      </c>
      <c r="C2449" t="s">
        <v>12</v>
      </c>
      <c r="D2449">
        <v>159</v>
      </c>
      <c r="E2449">
        <v>177</v>
      </c>
      <c r="F2449" s="5">
        <v>43831</v>
      </c>
      <c r="G2449">
        <v>-159</v>
      </c>
      <c r="H2449" t="s">
        <v>57</v>
      </c>
    </row>
    <row r="2450" spans="1:8" x14ac:dyDescent="0.3">
      <c r="A2450">
        <v>212</v>
      </c>
      <c r="B2450" s="5">
        <v>43851</v>
      </c>
      <c r="C2450" t="s">
        <v>12</v>
      </c>
      <c r="D2450">
        <v>482</v>
      </c>
      <c r="E2450">
        <v>-305</v>
      </c>
      <c r="F2450" s="5">
        <v>43831</v>
      </c>
      <c r="G2450">
        <v>-482</v>
      </c>
      <c r="H2450" t="s">
        <v>58</v>
      </c>
    </row>
    <row r="2451" spans="1:8" x14ac:dyDescent="0.3">
      <c r="A2451">
        <v>212</v>
      </c>
      <c r="B2451" s="5">
        <v>43853</v>
      </c>
      <c r="C2451" t="s">
        <v>12</v>
      </c>
      <c r="D2451">
        <v>31</v>
      </c>
      <c r="E2451">
        <v>-336</v>
      </c>
      <c r="F2451" s="5">
        <v>43831</v>
      </c>
      <c r="G2451">
        <v>-31</v>
      </c>
      <c r="H2451" t="s">
        <v>58</v>
      </c>
    </row>
    <row r="2452" spans="1:8" x14ac:dyDescent="0.3">
      <c r="A2452">
        <v>212</v>
      </c>
      <c r="B2452" s="5">
        <v>43875</v>
      </c>
      <c r="C2452" t="s">
        <v>10</v>
      </c>
      <c r="D2452">
        <v>740</v>
      </c>
      <c r="E2452">
        <v>404</v>
      </c>
      <c r="F2452" s="5">
        <v>43862</v>
      </c>
      <c r="G2452">
        <v>740</v>
      </c>
      <c r="H2452" t="s">
        <v>57</v>
      </c>
    </row>
    <row r="2453" spans="1:8" x14ac:dyDescent="0.3">
      <c r="A2453">
        <v>212</v>
      </c>
      <c r="B2453" s="5">
        <v>43880</v>
      </c>
      <c r="C2453" t="s">
        <v>10</v>
      </c>
      <c r="D2453">
        <v>235</v>
      </c>
      <c r="E2453">
        <v>639</v>
      </c>
      <c r="F2453" s="5">
        <v>43862</v>
      </c>
      <c r="G2453">
        <v>235</v>
      </c>
      <c r="H2453" t="s">
        <v>57</v>
      </c>
    </row>
    <row r="2454" spans="1:8" x14ac:dyDescent="0.3">
      <c r="A2454">
        <v>212</v>
      </c>
      <c r="B2454" s="5">
        <v>43886</v>
      </c>
      <c r="C2454" t="s">
        <v>12</v>
      </c>
      <c r="D2454">
        <v>442</v>
      </c>
      <c r="E2454">
        <v>197</v>
      </c>
      <c r="F2454" s="5">
        <v>43862</v>
      </c>
      <c r="G2454">
        <v>-442</v>
      </c>
      <c r="H2454" t="s">
        <v>57</v>
      </c>
    </row>
    <row r="2455" spans="1:8" x14ac:dyDescent="0.3">
      <c r="A2455">
        <v>212</v>
      </c>
      <c r="B2455" s="5">
        <v>43887</v>
      </c>
      <c r="C2455" t="s">
        <v>12</v>
      </c>
      <c r="D2455">
        <v>127</v>
      </c>
      <c r="E2455">
        <v>70</v>
      </c>
      <c r="F2455" s="5">
        <v>43862</v>
      </c>
      <c r="G2455">
        <v>-127</v>
      </c>
      <c r="H2455" t="s">
        <v>57</v>
      </c>
    </row>
    <row r="2456" spans="1:8" x14ac:dyDescent="0.3">
      <c r="A2456">
        <v>212</v>
      </c>
      <c r="B2456" s="5">
        <v>43889</v>
      </c>
      <c r="C2456" t="s">
        <v>10</v>
      </c>
      <c r="D2456">
        <v>16</v>
      </c>
      <c r="E2456">
        <v>86</v>
      </c>
      <c r="F2456" s="5">
        <v>43862</v>
      </c>
      <c r="G2456">
        <v>16</v>
      </c>
      <c r="H2456" t="s">
        <v>57</v>
      </c>
    </row>
    <row r="2457" spans="1:8" x14ac:dyDescent="0.3">
      <c r="A2457">
        <v>212</v>
      </c>
      <c r="B2457" s="5">
        <v>43890</v>
      </c>
      <c r="C2457" t="s">
        <v>10</v>
      </c>
      <c r="D2457">
        <v>395</v>
      </c>
      <c r="E2457">
        <v>481</v>
      </c>
      <c r="F2457" s="5">
        <v>43862</v>
      </c>
      <c r="G2457">
        <v>395</v>
      </c>
      <c r="H2457" t="s">
        <v>57</v>
      </c>
    </row>
    <row r="2458" spans="1:8" x14ac:dyDescent="0.3">
      <c r="A2458">
        <v>212</v>
      </c>
      <c r="B2458" s="5">
        <v>43892</v>
      </c>
      <c r="C2458" t="s">
        <v>10</v>
      </c>
      <c r="D2458">
        <v>683</v>
      </c>
      <c r="E2458">
        <v>1164</v>
      </c>
      <c r="F2458" s="5">
        <v>43891</v>
      </c>
      <c r="G2458">
        <v>683</v>
      </c>
      <c r="H2458" t="s">
        <v>57</v>
      </c>
    </row>
    <row r="2459" spans="1:8" x14ac:dyDescent="0.3">
      <c r="A2459">
        <v>212</v>
      </c>
      <c r="B2459" s="5">
        <v>43894</v>
      </c>
      <c r="C2459" t="s">
        <v>11</v>
      </c>
      <c r="D2459">
        <v>453</v>
      </c>
      <c r="E2459">
        <v>711</v>
      </c>
      <c r="F2459" s="5">
        <v>43891</v>
      </c>
      <c r="G2459">
        <v>-453</v>
      </c>
      <c r="H2459" t="s">
        <v>57</v>
      </c>
    </row>
    <row r="2460" spans="1:8" x14ac:dyDescent="0.3">
      <c r="A2460">
        <v>212</v>
      </c>
      <c r="B2460" s="5">
        <v>43894</v>
      </c>
      <c r="C2460" t="s">
        <v>10</v>
      </c>
      <c r="D2460">
        <v>910</v>
      </c>
      <c r="E2460">
        <v>1621</v>
      </c>
      <c r="F2460" s="5">
        <v>43891</v>
      </c>
      <c r="G2460">
        <v>910</v>
      </c>
      <c r="H2460" t="s">
        <v>57</v>
      </c>
    </row>
    <row r="2461" spans="1:8" x14ac:dyDescent="0.3">
      <c r="A2461">
        <v>212</v>
      </c>
      <c r="B2461" s="5">
        <v>43902</v>
      </c>
      <c r="C2461" t="s">
        <v>11</v>
      </c>
      <c r="D2461">
        <v>74</v>
      </c>
      <c r="E2461">
        <v>1547</v>
      </c>
      <c r="F2461" s="5">
        <v>43891</v>
      </c>
      <c r="G2461">
        <v>-74</v>
      </c>
      <c r="H2461" t="s">
        <v>57</v>
      </c>
    </row>
    <row r="2462" spans="1:8" x14ac:dyDescent="0.3">
      <c r="A2462">
        <v>212</v>
      </c>
      <c r="B2462" s="5">
        <v>43904</v>
      </c>
      <c r="C2462" t="s">
        <v>10</v>
      </c>
      <c r="D2462">
        <v>521</v>
      </c>
      <c r="E2462">
        <v>2068</v>
      </c>
      <c r="F2462" s="5">
        <v>43891</v>
      </c>
      <c r="G2462">
        <v>521</v>
      </c>
      <c r="H2462" t="s">
        <v>57</v>
      </c>
    </row>
    <row r="2463" spans="1:8" x14ac:dyDescent="0.3">
      <c r="A2463">
        <v>212</v>
      </c>
      <c r="B2463" s="5">
        <v>43912</v>
      </c>
      <c r="C2463" t="s">
        <v>10</v>
      </c>
      <c r="D2463">
        <v>500</v>
      </c>
      <c r="E2463">
        <v>2568</v>
      </c>
      <c r="F2463" s="5">
        <v>43891</v>
      </c>
      <c r="G2463">
        <v>500</v>
      </c>
      <c r="H2463" t="s">
        <v>57</v>
      </c>
    </row>
    <row r="2464" spans="1:8" x14ac:dyDescent="0.3">
      <c r="A2464">
        <v>212</v>
      </c>
      <c r="B2464" s="5">
        <v>43921</v>
      </c>
      <c r="C2464" t="s">
        <v>10</v>
      </c>
      <c r="D2464">
        <v>961</v>
      </c>
      <c r="E2464">
        <v>3529</v>
      </c>
      <c r="F2464" s="5">
        <v>43891</v>
      </c>
      <c r="G2464">
        <v>961</v>
      </c>
      <c r="H2464" t="s">
        <v>57</v>
      </c>
    </row>
    <row r="2465" spans="1:8" x14ac:dyDescent="0.3">
      <c r="A2465">
        <v>213</v>
      </c>
      <c r="B2465" s="5">
        <v>43847</v>
      </c>
      <c r="C2465" t="s">
        <v>10</v>
      </c>
      <c r="D2465">
        <v>421</v>
      </c>
      <c r="E2465">
        <v>421</v>
      </c>
      <c r="F2465" s="5">
        <v>43831</v>
      </c>
      <c r="G2465">
        <v>421</v>
      </c>
      <c r="H2465" t="s">
        <v>57</v>
      </c>
    </row>
    <row r="2466" spans="1:8" x14ac:dyDescent="0.3">
      <c r="A2466">
        <v>213</v>
      </c>
      <c r="B2466" s="5">
        <v>43851</v>
      </c>
      <c r="C2466" t="s">
        <v>11</v>
      </c>
      <c r="D2466">
        <v>942</v>
      </c>
      <c r="E2466">
        <v>-521</v>
      </c>
      <c r="F2466" s="5">
        <v>43831</v>
      </c>
      <c r="G2466">
        <v>-942</v>
      </c>
      <c r="H2466" t="s">
        <v>58</v>
      </c>
    </row>
    <row r="2467" spans="1:8" x14ac:dyDescent="0.3">
      <c r="A2467">
        <v>213</v>
      </c>
      <c r="B2467" s="5">
        <v>43852</v>
      </c>
      <c r="C2467" t="s">
        <v>12</v>
      </c>
      <c r="D2467">
        <v>265</v>
      </c>
      <c r="E2467">
        <v>-786</v>
      </c>
      <c r="F2467" s="5">
        <v>43831</v>
      </c>
      <c r="G2467">
        <v>-265</v>
      </c>
      <c r="H2467" t="s">
        <v>58</v>
      </c>
    </row>
    <row r="2468" spans="1:8" x14ac:dyDescent="0.3">
      <c r="A2468">
        <v>213</v>
      </c>
      <c r="B2468" s="5">
        <v>43858</v>
      </c>
      <c r="C2468" t="s">
        <v>10</v>
      </c>
      <c r="D2468">
        <v>547</v>
      </c>
      <c r="E2468">
        <v>-239</v>
      </c>
      <c r="F2468" s="5">
        <v>43831</v>
      </c>
      <c r="G2468">
        <v>547</v>
      </c>
      <c r="H2468" t="s">
        <v>58</v>
      </c>
    </row>
    <row r="2469" spans="1:8" x14ac:dyDescent="0.3">
      <c r="A2469">
        <v>213</v>
      </c>
      <c r="B2469" s="5">
        <v>43869</v>
      </c>
      <c r="C2469" t="s">
        <v>10</v>
      </c>
      <c r="D2469">
        <v>143</v>
      </c>
      <c r="E2469">
        <v>-96</v>
      </c>
      <c r="F2469" s="5">
        <v>43862</v>
      </c>
      <c r="G2469">
        <v>143</v>
      </c>
      <c r="H2469" t="s">
        <v>58</v>
      </c>
    </row>
    <row r="2470" spans="1:8" x14ac:dyDescent="0.3">
      <c r="A2470">
        <v>213</v>
      </c>
      <c r="B2470" s="5">
        <v>43871</v>
      </c>
      <c r="C2470" t="s">
        <v>12</v>
      </c>
      <c r="D2470">
        <v>196</v>
      </c>
      <c r="E2470">
        <v>-292</v>
      </c>
      <c r="F2470" s="5">
        <v>43862</v>
      </c>
      <c r="G2470">
        <v>-196</v>
      </c>
      <c r="H2470" t="s">
        <v>58</v>
      </c>
    </row>
    <row r="2471" spans="1:8" x14ac:dyDescent="0.3">
      <c r="A2471">
        <v>213</v>
      </c>
      <c r="B2471" s="5">
        <v>43874</v>
      </c>
      <c r="C2471" t="s">
        <v>11</v>
      </c>
      <c r="D2471">
        <v>949</v>
      </c>
      <c r="E2471">
        <v>-1241</v>
      </c>
      <c r="F2471" s="5">
        <v>43862</v>
      </c>
      <c r="G2471">
        <v>-949</v>
      </c>
      <c r="H2471" t="s">
        <v>58</v>
      </c>
    </row>
    <row r="2472" spans="1:8" x14ac:dyDescent="0.3">
      <c r="A2472">
        <v>213</v>
      </c>
      <c r="B2472" s="5">
        <v>43876</v>
      </c>
      <c r="C2472" t="s">
        <v>10</v>
      </c>
      <c r="D2472">
        <v>229</v>
      </c>
      <c r="E2472">
        <v>-1012</v>
      </c>
      <c r="F2472" s="5">
        <v>43862</v>
      </c>
      <c r="G2472">
        <v>229</v>
      </c>
      <c r="H2472" t="s">
        <v>58</v>
      </c>
    </row>
    <row r="2473" spans="1:8" x14ac:dyDescent="0.3">
      <c r="A2473">
        <v>213</v>
      </c>
      <c r="B2473" s="5">
        <v>43884</v>
      </c>
      <c r="C2473" t="s">
        <v>11</v>
      </c>
      <c r="D2473">
        <v>187</v>
      </c>
      <c r="E2473">
        <v>-1199</v>
      </c>
      <c r="F2473" s="5">
        <v>43862</v>
      </c>
      <c r="G2473">
        <v>-187</v>
      </c>
      <c r="H2473" t="s">
        <v>58</v>
      </c>
    </row>
    <row r="2474" spans="1:8" x14ac:dyDescent="0.3">
      <c r="A2474">
        <v>213</v>
      </c>
      <c r="B2474" s="5">
        <v>43911</v>
      </c>
      <c r="C2474" t="s">
        <v>10</v>
      </c>
      <c r="D2474">
        <v>562</v>
      </c>
      <c r="E2474">
        <v>-637</v>
      </c>
      <c r="F2474" s="5">
        <v>43891</v>
      </c>
      <c r="G2474">
        <v>562</v>
      </c>
      <c r="H2474" t="s">
        <v>58</v>
      </c>
    </row>
    <row r="2475" spans="1:8" x14ac:dyDescent="0.3">
      <c r="A2475">
        <v>213</v>
      </c>
      <c r="B2475" s="5">
        <v>43913</v>
      </c>
      <c r="C2475" t="s">
        <v>12</v>
      </c>
      <c r="D2475">
        <v>4</v>
      </c>
      <c r="E2475">
        <v>-641</v>
      </c>
      <c r="F2475" s="5">
        <v>43891</v>
      </c>
      <c r="G2475">
        <v>-4</v>
      </c>
      <c r="H2475" t="s">
        <v>58</v>
      </c>
    </row>
    <row r="2476" spans="1:8" x14ac:dyDescent="0.3">
      <c r="A2476">
        <v>213</v>
      </c>
      <c r="B2476" s="5">
        <v>43913</v>
      </c>
      <c r="C2476" t="s">
        <v>11</v>
      </c>
      <c r="D2476">
        <v>543</v>
      </c>
      <c r="E2476">
        <v>-1184</v>
      </c>
      <c r="F2476" s="5">
        <v>43891</v>
      </c>
      <c r="G2476">
        <v>-543</v>
      </c>
      <c r="H2476" t="s">
        <v>58</v>
      </c>
    </row>
    <row r="2477" spans="1:8" x14ac:dyDescent="0.3">
      <c r="A2477">
        <v>213</v>
      </c>
      <c r="B2477" s="5">
        <v>43935</v>
      </c>
      <c r="C2477" t="s">
        <v>11</v>
      </c>
      <c r="D2477">
        <v>533</v>
      </c>
      <c r="E2477">
        <v>-1717</v>
      </c>
      <c r="F2477" s="5">
        <v>43922</v>
      </c>
      <c r="G2477">
        <v>-533</v>
      </c>
      <c r="H2477" t="s">
        <v>58</v>
      </c>
    </row>
    <row r="2478" spans="1:8" x14ac:dyDescent="0.3">
      <c r="A2478">
        <v>214</v>
      </c>
      <c r="B2478" s="5">
        <v>43844</v>
      </c>
      <c r="C2478" t="s">
        <v>10</v>
      </c>
      <c r="D2478">
        <v>325</v>
      </c>
      <c r="E2478">
        <v>325</v>
      </c>
      <c r="F2478" s="5">
        <v>43831</v>
      </c>
      <c r="G2478">
        <v>325</v>
      </c>
      <c r="H2478" t="s">
        <v>57</v>
      </c>
    </row>
    <row r="2479" spans="1:8" x14ac:dyDescent="0.3">
      <c r="A2479">
        <v>214</v>
      </c>
      <c r="B2479" s="5">
        <v>43850</v>
      </c>
      <c r="C2479" t="s">
        <v>10</v>
      </c>
      <c r="D2479">
        <v>191</v>
      </c>
      <c r="E2479">
        <v>516</v>
      </c>
      <c r="F2479" s="5">
        <v>43831</v>
      </c>
      <c r="G2479">
        <v>191</v>
      </c>
      <c r="H2479" t="s">
        <v>57</v>
      </c>
    </row>
    <row r="2480" spans="1:8" x14ac:dyDescent="0.3">
      <c r="A2480">
        <v>214</v>
      </c>
      <c r="B2480" s="5">
        <v>43851</v>
      </c>
      <c r="C2480" t="s">
        <v>11</v>
      </c>
      <c r="D2480">
        <v>940</v>
      </c>
      <c r="E2480">
        <v>-424</v>
      </c>
      <c r="F2480" s="5">
        <v>43831</v>
      </c>
      <c r="G2480">
        <v>-940</v>
      </c>
      <c r="H2480" t="s">
        <v>58</v>
      </c>
    </row>
    <row r="2481" spans="1:8" x14ac:dyDescent="0.3">
      <c r="A2481">
        <v>214</v>
      </c>
      <c r="B2481" s="5">
        <v>43861</v>
      </c>
      <c r="C2481" t="s">
        <v>11</v>
      </c>
      <c r="D2481">
        <v>21</v>
      </c>
      <c r="E2481">
        <v>-445</v>
      </c>
      <c r="F2481" s="5">
        <v>43831</v>
      </c>
      <c r="G2481">
        <v>-21</v>
      </c>
      <c r="H2481" t="s">
        <v>58</v>
      </c>
    </row>
    <row r="2482" spans="1:8" x14ac:dyDescent="0.3">
      <c r="A2482">
        <v>214</v>
      </c>
      <c r="B2482" s="5">
        <v>43873</v>
      </c>
      <c r="C2482" t="s">
        <v>12</v>
      </c>
      <c r="D2482">
        <v>645</v>
      </c>
      <c r="E2482">
        <v>-1090</v>
      </c>
      <c r="F2482" s="5">
        <v>43862</v>
      </c>
      <c r="G2482">
        <v>-645</v>
      </c>
      <c r="H2482" t="s">
        <v>58</v>
      </c>
    </row>
    <row r="2483" spans="1:8" x14ac:dyDescent="0.3">
      <c r="A2483">
        <v>214</v>
      </c>
      <c r="B2483" s="5">
        <v>43882</v>
      </c>
      <c r="C2483" t="s">
        <v>12</v>
      </c>
      <c r="D2483">
        <v>626</v>
      </c>
      <c r="E2483">
        <v>-1716</v>
      </c>
      <c r="F2483" s="5">
        <v>43862</v>
      </c>
      <c r="G2483">
        <v>-626</v>
      </c>
      <c r="H2483" t="s">
        <v>58</v>
      </c>
    </row>
    <row r="2484" spans="1:8" x14ac:dyDescent="0.3">
      <c r="A2484">
        <v>214</v>
      </c>
      <c r="B2484" s="5">
        <v>43883</v>
      </c>
      <c r="C2484" t="s">
        <v>12</v>
      </c>
      <c r="D2484">
        <v>233</v>
      </c>
      <c r="E2484">
        <v>-1949</v>
      </c>
      <c r="F2484" s="5">
        <v>43862</v>
      </c>
      <c r="G2484">
        <v>-233</v>
      </c>
      <c r="H2484" t="s">
        <v>58</v>
      </c>
    </row>
    <row r="2485" spans="1:8" x14ac:dyDescent="0.3">
      <c r="A2485">
        <v>214</v>
      </c>
      <c r="B2485" s="5">
        <v>43884</v>
      </c>
      <c r="C2485" t="s">
        <v>10</v>
      </c>
      <c r="D2485">
        <v>438</v>
      </c>
      <c r="E2485">
        <v>-1511</v>
      </c>
      <c r="F2485" s="5">
        <v>43862</v>
      </c>
      <c r="G2485">
        <v>438</v>
      </c>
      <c r="H2485" t="s">
        <v>58</v>
      </c>
    </row>
    <row r="2486" spans="1:8" x14ac:dyDescent="0.3">
      <c r="A2486">
        <v>214</v>
      </c>
      <c r="B2486" s="5">
        <v>43892</v>
      </c>
      <c r="C2486" t="s">
        <v>10</v>
      </c>
      <c r="D2486">
        <v>698</v>
      </c>
      <c r="E2486">
        <v>-813</v>
      </c>
      <c r="F2486" s="5">
        <v>43891</v>
      </c>
      <c r="G2486">
        <v>698</v>
      </c>
      <c r="H2486" t="s">
        <v>58</v>
      </c>
    </row>
    <row r="2487" spans="1:8" x14ac:dyDescent="0.3">
      <c r="A2487">
        <v>214</v>
      </c>
      <c r="B2487" s="5">
        <v>43894</v>
      </c>
      <c r="C2487" t="s">
        <v>10</v>
      </c>
      <c r="D2487">
        <v>116</v>
      </c>
      <c r="E2487">
        <v>-697</v>
      </c>
      <c r="F2487" s="5">
        <v>43891</v>
      </c>
      <c r="G2487">
        <v>116</v>
      </c>
      <c r="H2487" t="s">
        <v>58</v>
      </c>
    </row>
    <row r="2488" spans="1:8" x14ac:dyDescent="0.3">
      <c r="A2488">
        <v>214</v>
      </c>
      <c r="B2488" s="5">
        <v>43895</v>
      </c>
      <c r="C2488" t="s">
        <v>10</v>
      </c>
      <c r="D2488">
        <v>780</v>
      </c>
      <c r="E2488">
        <v>83</v>
      </c>
      <c r="F2488" s="5">
        <v>43891</v>
      </c>
      <c r="G2488">
        <v>780</v>
      </c>
      <c r="H2488" t="s">
        <v>57</v>
      </c>
    </row>
    <row r="2489" spans="1:8" x14ac:dyDescent="0.3">
      <c r="A2489">
        <v>214</v>
      </c>
      <c r="B2489" s="5">
        <v>43927</v>
      </c>
      <c r="C2489" t="s">
        <v>11</v>
      </c>
      <c r="D2489">
        <v>546</v>
      </c>
      <c r="E2489">
        <v>-463</v>
      </c>
      <c r="F2489" s="5">
        <v>43922</v>
      </c>
      <c r="G2489">
        <v>-546</v>
      </c>
      <c r="H2489" t="s">
        <v>58</v>
      </c>
    </row>
    <row r="2490" spans="1:8" x14ac:dyDescent="0.3">
      <c r="A2490">
        <v>214</v>
      </c>
      <c r="B2490" s="5">
        <v>43928</v>
      </c>
      <c r="C2490" t="s">
        <v>10</v>
      </c>
      <c r="D2490">
        <v>918</v>
      </c>
      <c r="E2490">
        <v>455</v>
      </c>
      <c r="F2490" s="5">
        <v>43922</v>
      </c>
      <c r="G2490">
        <v>918</v>
      </c>
      <c r="H2490" t="s">
        <v>57</v>
      </c>
    </row>
    <row r="2491" spans="1:8" x14ac:dyDescent="0.3">
      <c r="A2491">
        <v>214</v>
      </c>
      <c r="B2491" s="5">
        <v>43931</v>
      </c>
      <c r="C2491" t="s">
        <v>10</v>
      </c>
      <c r="D2491">
        <v>347</v>
      </c>
      <c r="E2491">
        <v>802</v>
      </c>
      <c r="F2491" s="5">
        <v>43922</v>
      </c>
      <c r="G2491">
        <v>347</v>
      </c>
      <c r="H2491" t="s">
        <v>57</v>
      </c>
    </row>
    <row r="2492" spans="1:8" x14ac:dyDescent="0.3">
      <c r="A2492">
        <v>215</v>
      </c>
      <c r="B2492" s="5">
        <v>43857</v>
      </c>
      <c r="C2492" t="s">
        <v>10</v>
      </c>
      <c r="D2492">
        <v>822</v>
      </c>
      <c r="E2492">
        <v>822</v>
      </c>
      <c r="F2492" s="5">
        <v>43831</v>
      </c>
      <c r="G2492">
        <v>822</v>
      </c>
      <c r="H2492" t="s">
        <v>57</v>
      </c>
    </row>
    <row r="2493" spans="1:8" x14ac:dyDescent="0.3">
      <c r="A2493">
        <v>215</v>
      </c>
      <c r="B2493" s="5">
        <v>43874</v>
      </c>
      <c r="C2493" t="s">
        <v>10</v>
      </c>
      <c r="D2493">
        <v>157</v>
      </c>
      <c r="E2493">
        <v>979</v>
      </c>
      <c r="F2493" s="5">
        <v>43862</v>
      </c>
      <c r="G2493">
        <v>157</v>
      </c>
      <c r="H2493" t="s">
        <v>57</v>
      </c>
    </row>
    <row r="2494" spans="1:8" x14ac:dyDescent="0.3">
      <c r="A2494">
        <v>215</v>
      </c>
      <c r="B2494" s="5">
        <v>43876</v>
      </c>
      <c r="C2494" t="s">
        <v>10</v>
      </c>
      <c r="D2494">
        <v>813</v>
      </c>
      <c r="E2494">
        <v>1792</v>
      </c>
      <c r="F2494" s="5">
        <v>43862</v>
      </c>
      <c r="G2494">
        <v>813</v>
      </c>
      <c r="H2494" t="s">
        <v>57</v>
      </c>
    </row>
    <row r="2495" spans="1:8" x14ac:dyDescent="0.3">
      <c r="A2495">
        <v>215</v>
      </c>
      <c r="B2495" s="5">
        <v>43882</v>
      </c>
      <c r="C2495" t="s">
        <v>11</v>
      </c>
      <c r="D2495">
        <v>34</v>
      </c>
      <c r="E2495">
        <v>1758</v>
      </c>
      <c r="F2495" s="5">
        <v>43862</v>
      </c>
      <c r="G2495">
        <v>-34</v>
      </c>
      <c r="H2495" t="s">
        <v>57</v>
      </c>
    </row>
    <row r="2496" spans="1:8" x14ac:dyDescent="0.3">
      <c r="A2496">
        <v>215</v>
      </c>
      <c r="B2496" s="5">
        <v>43886</v>
      </c>
      <c r="C2496" t="s">
        <v>11</v>
      </c>
      <c r="D2496">
        <v>966</v>
      </c>
      <c r="E2496">
        <v>792</v>
      </c>
      <c r="F2496" s="5">
        <v>43862</v>
      </c>
      <c r="G2496">
        <v>-966</v>
      </c>
      <c r="H2496" t="s">
        <v>57</v>
      </c>
    </row>
    <row r="2497" spans="1:8" x14ac:dyDescent="0.3">
      <c r="A2497">
        <v>215</v>
      </c>
      <c r="B2497" s="5">
        <v>43889</v>
      </c>
      <c r="C2497" t="s">
        <v>10</v>
      </c>
      <c r="D2497">
        <v>978</v>
      </c>
      <c r="E2497">
        <v>1770</v>
      </c>
      <c r="F2497" s="5">
        <v>43862</v>
      </c>
      <c r="G2497">
        <v>978</v>
      </c>
      <c r="H2497" t="s">
        <v>57</v>
      </c>
    </row>
    <row r="2498" spans="1:8" x14ac:dyDescent="0.3">
      <c r="A2498">
        <v>215</v>
      </c>
      <c r="B2498" s="5">
        <v>43895</v>
      </c>
      <c r="C2498" t="s">
        <v>11</v>
      </c>
      <c r="D2498">
        <v>212</v>
      </c>
      <c r="E2498">
        <v>1558</v>
      </c>
      <c r="F2498" s="5">
        <v>43891</v>
      </c>
      <c r="G2498">
        <v>-212</v>
      </c>
      <c r="H2498" t="s">
        <v>57</v>
      </c>
    </row>
    <row r="2499" spans="1:8" x14ac:dyDescent="0.3">
      <c r="A2499">
        <v>215</v>
      </c>
      <c r="B2499" s="5">
        <v>43903</v>
      </c>
      <c r="C2499" t="s">
        <v>11</v>
      </c>
      <c r="D2499">
        <v>861</v>
      </c>
      <c r="E2499">
        <v>697</v>
      </c>
      <c r="F2499" s="5">
        <v>43891</v>
      </c>
      <c r="G2499">
        <v>-861</v>
      </c>
      <c r="H2499" t="s">
        <v>57</v>
      </c>
    </row>
    <row r="2500" spans="1:8" x14ac:dyDescent="0.3">
      <c r="A2500">
        <v>215</v>
      </c>
      <c r="B2500" s="5">
        <v>43937</v>
      </c>
      <c r="C2500" t="s">
        <v>12</v>
      </c>
      <c r="D2500">
        <v>283</v>
      </c>
      <c r="E2500">
        <v>414</v>
      </c>
      <c r="F2500" s="5">
        <v>43922</v>
      </c>
      <c r="G2500">
        <v>-283</v>
      </c>
      <c r="H2500" t="s">
        <v>57</v>
      </c>
    </row>
    <row r="2501" spans="1:8" x14ac:dyDescent="0.3">
      <c r="A2501">
        <v>216</v>
      </c>
      <c r="B2501" s="5">
        <v>43834</v>
      </c>
      <c r="C2501" t="s">
        <v>10</v>
      </c>
      <c r="D2501">
        <v>567</v>
      </c>
      <c r="E2501">
        <v>567</v>
      </c>
      <c r="F2501" s="5">
        <v>43831</v>
      </c>
      <c r="G2501">
        <v>567</v>
      </c>
      <c r="H2501" t="s">
        <v>57</v>
      </c>
    </row>
    <row r="2502" spans="1:8" x14ac:dyDescent="0.3">
      <c r="A2502">
        <v>216</v>
      </c>
      <c r="B2502" s="5">
        <v>43834</v>
      </c>
      <c r="C2502" t="s">
        <v>10</v>
      </c>
      <c r="D2502">
        <v>140</v>
      </c>
      <c r="E2502">
        <v>707</v>
      </c>
      <c r="F2502" s="5">
        <v>43831</v>
      </c>
      <c r="G2502">
        <v>140</v>
      </c>
      <c r="H2502" t="s">
        <v>57</v>
      </c>
    </row>
    <row r="2503" spans="1:8" x14ac:dyDescent="0.3">
      <c r="A2503">
        <v>216</v>
      </c>
      <c r="B2503" s="5">
        <v>43835</v>
      </c>
      <c r="C2503" t="s">
        <v>10</v>
      </c>
      <c r="D2503">
        <v>721</v>
      </c>
      <c r="E2503">
        <v>1428</v>
      </c>
      <c r="F2503" s="5">
        <v>43831</v>
      </c>
      <c r="G2503">
        <v>721</v>
      </c>
      <c r="H2503" t="s">
        <v>57</v>
      </c>
    </row>
    <row r="2504" spans="1:8" x14ac:dyDescent="0.3">
      <c r="A2504">
        <v>216</v>
      </c>
      <c r="B2504" s="5">
        <v>43835</v>
      </c>
      <c r="C2504" t="s">
        <v>11</v>
      </c>
      <c r="D2504">
        <v>378</v>
      </c>
      <c r="E2504">
        <v>1050</v>
      </c>
      <c r="F2504" s="5">
        <v>43831</v>
      </c>
      <c r="G2504">
        <v>-378</v>
      </c>
      <c r="H2504" t="s">
        <v>57</v>
      </c>
    </row>
    <row r="2505" spans="1:8" x14ac:dyDescent="0.3">
      <c r="A2505">
        <v>216</v>
      </c>
      <c r="B2505" s="5">
        <v>43840</v>
      </c>
      <c r="C2505" t="s">
        <v>12</v>
      </c>
      <c r="D2505">
        <v>673</v>
      </c>
      <c r="E2505">
        <v>377</v>
      </c>
      <c r="F2505" s="5">
        <v>43831</v>
      </c>
      <c r="G2505">
        <v>-673</v>
      </c>
      <c r="H2505" t="s">
        <v>57</v>
      </c>
    </row>
    <row r="2506" spans="1:8" x14ac:dyDescent="0.3">
      <c r="A2506">
        <v>216</v>
      </c>
      <c r="B2506" s="5">
        <v>43845</v>
      </c>
      <c r="C2506" t="s">
        <v>10</v>
      </c>
      <c r="D2506">
        <v>763</v>
      </c>
      <c r="E2506">
        <v>1140</v>
      </c>
      <c r="F2506" s="5">
        <v>43831</v>
      </c>
      <c r="G2506">
        <v>763</v>
      </c>
      <c r="H2506" t="s">
        <v>57</v>
      </c>
    </row>
    <row r="2507" spans="1:8" x14ac:dyDescent="0.3">
      <c r="A2507">
        <v>216</v>
      </c>
      <c r="B2507" s="5">
        <v>43860</v>
      </c>
      <c r="C2507" t="s">
        <v>10</v>
      </c>
      <c r="D2507">
        <v>479</v>
      </c>
      <c r="E2507">
        <v>1619</v>
      </c>
      <c r="F2507" s="5">
        <v>43831</v>
      </c>
      <c r="G2507">
        <v>479</v>
      </c>
      <c r="H2507" t="s">
        <v>57</v>
      </c>
    </row>
    <row r="2508" spans="1:8" x14ac:dyDescent="0.3">
      <c r="A2508">
        <v>216</v>
      </c>
      <c r="B2508" s="5">
        <v>43863</v>
      </c>
      <c r="C2508" t="s">
        <v>10</v>
      </c>
      <c r="D2508">
        <v>913</v>
      </c>
      <c r="E2508">
        <v>2532</v>
      </c>
      <c r="F2508" s="5">
        <v>43862</v>
      </c>
      <c r="G2508">
        <v>913</v>
      </c>
      <c r="H2508" t="s">
        <v>57</v>
      </c>
    </row>
    <row r="2509" spans="1:8" x14ac:dyDescent="0.3">
      <c r="A2509">
        <v>216</v>
      </c>
      <c r="B2509" s="5">
        <v>43867</v>
      </c>
      <c r="C2509" t="s">
        <v>10</v>
      </c>
      <c r="D2509">
        <v>889</v>
      </c>
      <c r="E2509">
        <v>3421</v>
      </c>
      <c r="F2509" s="5">
        <v>43862</v>
      </c>
      <c r="G2509">
        <v>889</v>
      </c>
      <c r="H2509" t="s">
        <v>57</v>
      </c>
    </row>
    <row r="2510" spans="1:8" x14ac:dyDescent="0.3">
      <c r="A2510">
        <v>216</v>
      </c>
      <c r="B2510" s="5">
        <v>43873</v>
      </c>
      <c r="C2510" t="s">
        <v>10</v>
      </c>
      <c r="D2510">
        <v>201</v>
      </c>
      <c r="E2510">
        <v>3622</v>
      </c>
      <c r="F2510" s="5">
        <v>43862</v>
      </c>
      <c r="G2510">
        <v>201</v>
      </c>
      <c r="H2510" t="s">
        <v>57</v>
      </c>
    </row>
    <row r="2511" spans="1:8" x14ac:dyDescent="0.3">
      <c r="A2511">
        <v>216</v>
      </c>
      <c r="B2511" s="5">
        <v>43875</v>
      </c>
      <c r="C2511" t="s">
        <v>10</v>
      </c>
      <c r="D2511">
        <v>766</v>
      </c>
      <c r="E2511">
        <v>4388</v>
      </c>
      <c r="F2511" s="5">
        <v>43862</v>
      </c>
      <c r="G2511">
        <v>766</v>
      </c>
      <c r="H2511" t="s">
        <v>57</v>
      </c>
    </row>
    <row r="2512" spans="1:8" x14ac:dyDescent="0.3">
      <c r="A2512">
        <v>216</v>
      </c>
      <c r="B2512" s="5">
        <v>43884</v>
      </c>
      <c r="C2512" t="s">
        <v>12</v>
      </c>
      <c r="D2512">
        <v>780</v>
      </c>
      <c r="E2512">
        <v>3608</v>
      </c>
      <c r="F2512" s="5">
        <v>43862</v>
      </c>
      <c r="G2512">
        <v>-780</v>
      </c>
      <c r="H2512" t="s">
        <v>57</v>
      </c>
    </row>
    <row r="2513" spans="1:8" x14ac:dyDescent="0.3">
      <c r="A2513">
        <v>216</v>
      </c>
      <c r="B2513" s="5">
        <v>43890</v>
      </c>
      <c r="C2513" t="s">
        <v>12</v>
      </c>
      <c r="D2513">
        <v>306</v>
      </c>
      <c r="E2513">
        <v>3302</v>
      </c>
      <c r="F2513" s="5">
        <v>43862</v>
      </c>
      <c r="G2513">
        <v>-306</v>
      </c>
      <c r="H2513" t="s">
        <v>57</v>
      </c>
    </row>
    <row r="2514" spans="1:8" x14ac:dyDescent="0.3">
      <c r="A2514">
        <v>216</v>
      </c>
      <c r="B2514" s="5">
        <v>43899</v>
      </c>
      <c r="C2514" t="s">
        <v>11</v>
      </c>
      <c r="D2514">
        <v>931</v>
      </c>
      <c r="E2514">
        <v>2371</v>
      </c>
      <c r="F2514" s="5">
        <v>43891</v>
      </c>
      <c r="G2514">
        <v>-931</v>
      </c>
      <c r="H2514" t="s">
        <v>57</v>
      </c>
    </row>
    <row r="2515" spans="1:8" x14ac:dyDescent="0.3">
      <c r="A2515">
        <v>216</v>
      </c>
      <c r="B2515" s="5">
        <v>43907</v>
      </c>
      <c r="C2515" t="s">
        <v>12</v>
      </c>
      <c r="D2515">
        <v>648</v>
      </c>
      <c r="E2515">
        <v>1723</v>
      </c>
      <c r="F2515" s="5">
        <v>43891</v>
      </c>
      <c r="G2515">
        <v>-648</v>
      </c>
      <c r="H2515" t="s">
        <v>57</v>
      </c>
    </row>
    <row r="2516" spans="1:8" x14ac:dyDescent="0.3">
      <c r="A2516">
        <v>216</v>
      </c>
      <c r="B2516" s="5">
        <v>43911</v>
      </c>
      <c r="C2516" t="s">
        <v>12</v>
      </c>
      <c r="D2516">
        <v>181</v>
      </c>
      <c r="E2516">
        <v>1542</v>
      </c>
      <c r="F2516" s="5">
        <v>43891</v>
      </c>
      <c r="G2516">
        <v>-181</v>
      </c>
      <c r="H2516" t="s">
        <v>57</v>
      </c>
    </row>
    <row r="2517" spans="1:8" x14ac:dyDescent="0.3">
      <c r="A2517">
        <v>216</v>
      </c>
      <c r="B2517" s="5">
        <v>43916</v>
      </c>
      <c r="C2517" t="s">
        <v>12</v>
      </c>
      <c r="D2517">
        <v>350</v>
      </c>
      <c r="E2517">
        <v>1192</v>
      </c>
      <c r="F2517" s="5">
        <v>43891</v>
      </c>
      <c r="G2517">
        <v>-350</v>
      </c>
      <c r="H2517" t="s">
        <v>57</v>
      </c>
    </row>
    <row r="2518" spans="1:8" x14ac:dyDescent="0.3">
      <c r="A2518">
        <v>216</v>
      </c>
      <c r="B2518" s="5">
        <v>43916</v>
      </c>
      <c r="C2518" t="s">
        <v>12</v>
      </c>
      <c r="D2518">
        <v>320</v>
      </c>
      <c r="E2518">
        <v>872</v>
      </c>
      <c r="F2518" s="5">
        <v>43891</v>
      </c>
      <c r="G2518">
        <v>-320</v>
      </c>
      <c r="H2518" t="s">
        <v>57</v>
      </c>
    </row>
    <row r="2519" spans="1:8" x14ac:dyDescent="0.3">
      <c r="A2519">
        <v>216</v>
      </c>
      <c r="B2519" s="5">
        <v>43922</v>
      </c>
      <c r="C2519" t="s">
        <v>11</v>
      </c>
      <c r="D2519">
        <v>982</v>
      </c>
      <c r="E2519">
        <v>-110</v>
      </c>
      <c r="F2519" s="5">
        <v>43922</v>
      </c>
      <c r="G2519">
        <v>-982</v>
      </c>
      <c r="H2519" t="s">
        <v>58</v>
      </c>
    </row>
    <row r="2520" spans="1:8" x14ac:dyDescent="0.3">
      <c r="A2520">
        <v>217</v>
      </c>
      <c r="B2520" s="5">
        <v>43838</v>
      </c>
      <c r="C2520" t="s">
        <v>10</v>
      </c>
      <c r="D2520">
        <v>783</v>
      </c>
      <c r="E2520">
        <v>783</v>
      </c>
      <c r="F2520" s="5">
        <v>43831</v>
      </c>
      <c r="G2520">
        <v>783</v>
      </c>
      <c r="H2520" t="s">
        <v>57</v>
      </c>
    </row>
    <row r="2521" spans="1:8" x14ac:dyDescent="0.3">
      <c r="A2521">
        <v>217</v>
      </c>
      <c r="B2521" s="5">
        <v>43839</v>
      </c>
      <c r="C2521" t="s">
        <v>12</v>
      </c>
      <c r="D2521">
        <v>281</v>
      </c>
      <c r="E2521">
        <v>502</v>
      </c>
      <c r="F2521" s="5">
        <v>43831</v>
      </c>
      <c r="G2521">
        <v>-281</v>
      </c>
      <c r="H2521" t="s">
        <v>57</v>
      </c>
    </row>
    <row r="2522" spans="1:8" x14ac:dyDescent="0.3">
      <c r="A2522">
        <v>217</v>
      </c>
      <c r="B2522" s="5">
        <v>43847</v>
      </c>
      <c r="C2522" t="s">
        <v>10</v>
      </c>
      <c r="D2522">
        <v>847</v>
      </c>
      <c r="E2522">
        <v>1349</v>
      </c>
      <c r="F2522" s="5">
        <v>43831</v>
      </c>
      <c r="G2522">
        <v>847</v>
      </c>
      <c r="H2522" t="s">
        <v>57</v>
      </c>
    </row>
    <row r="2523" spans="1:8" x14ac:dyDescent="0.3">
      <c r="A2523">
        <v>217</v>
      </c>
      <c r="B2523" s="5">
        <v>43847</v>
      </c>
      <c r="C2523" t="s">
        <v>12</v>
      </c>
      <c r="D2523">
        <v>667</v>
      </c>
      <c r="E2523">
        <v>682</v>
      </c>
      <c r="F2523" s="5">
        <v>43831</v>
      </c>
      <c r="G2523">
        <v>-667</v>
      </c>
      <c r="H2523" t="s">
        <v>57</v>
      </c>
    </row>
    <row r="2524" spans="1:8" x14ac:dyDescent="0.3">
      <c r="A2524">
        <v>217</v>
      </c>
      <c r="B2524" s="5">
        <v>43853</v>
      </c>
      <c r="C2524" t="s">
        <v>10</v>
      </c>
      <c r="D2524">
        <v>188</v>
      </c>
      <c r="E2524">
        <v>870</v>
      </c>
      <c r="F2524" s="5">
        <v>43831</v>
      </c>
      <c r="G2524">
        <v>188</v>
      </c>
      <c r="H2524" t="s">
        <v>57</v>
      </c>
    </row>
    <row r="2525" spans="1:8" x14ac:dyDescent="0.3">
      <c r="A2525">
        <v>217</v>
      </c>
      <c r="B2525" s="5">
        <v>43862</v>
      </c>
      <c r="C2525" t="s">
        <v>10</v>
      </c>
      <c r="D2525">
        <v>304</v>
      </c>
      <c r="E2525">
        <v>1174</v>
      </c>
      <c r="F2525" s="5">
        <v>43862</v>
      </c>
      <c r="G2525">
        <v>304</v>
      </c>
      <c r="H2525" t="s">
        <v>57</v>
      </c>
    </row>
    <row r="2526" spans="1:8" x14ac:dyDescent="0.3">
      <c r="A2526">
        <v>217</v>
      </c>
      <c r="B2526" s="5">
        <v>43874</v>
      </c>
      <c r="C2526" t="s">
        <v>10</v>
      </c>
      <c r="D2526">
        <v>874</v>
      </c>
      <c r="E2526">
        <v>2048</v>
      </c>
      <c r="F2526" s="5">
        <v>43862</v>
      </c>
      <c r="G2526">
        <v>874</v>
      </c>
      <c r="H2526" t="s">
        <v>57</v>
      </c>
    </row>
    <row r="2527" spans="1:8" x14ac:dyDescent="0.3">
      <c r="A2527">
        <v>217</v>
      </c>
      <c r="B2527" s="5">
        <v>43876</v>
      </c>
      <c r="C2527" t="s">
        <v>11</v>
      </c>
      <c r="D2527">
        <v>15</v>
      </c>
      <c r="E2527">
        <v>2033</v>
      </c>
      <c r="F2527" s="5">
        <v>43862</v>
      </c>
      <c r="G2527">
        <v>-15</v>
      </c>
      <c r="H2527" t="s">
        <v>57</v>
      </c>
    </row>
    <row r="2528" spans="1:8" x14ac:dyDescent="0.3">
      <c r="A2528">
        <v>217</v>
      </c>
      <c r="B2528" s="5">
        <v>43877</v>
      </c>
      <c r="C2528" t="s">
        <v>12</v>
      </c>
      <c r="D2528">
        <v>909</v>
      </c>
      <c r="E2528">
        <v>1124</v>
      </c>
      <c r="F2528" s="5">
        <v>43862</v>
      </c>
      <c r="G2528">
        <v>-909</v>
      </c>
      <c r="H2528" t="s">
        <v>57</v>
      </c>
    </row>
    <row r="2529" spans="1:8" x14ac:dyDescent="0.3">
      <c r="A2529">
        <v>217</v>
      </c>
      <c r="B2529" s="5">
        <v>43878</v>
      </c>
      <c r="C2529" t="s">
        <v>10</v>
      </c>
      <c r="D2529">
        <v>299</v>
      </c>
      <c r="E2529">
        <v>1423</v>
      </c>
      <c r="F2529" s="5">
        <v>43862</v>
      </c>
      <c r="G2529">
        <v>299</v>
      </c>
      <c r="H2529" t="s">
        <v>57</v>
      </c>
    </row>
    <row r="2530" spans="1:8" x14ac:dyDescent="0.3">
      <c r="A2530">
        <v>217</v>
      </c>
      <c r="B2530" s="5">
        <v>43882</v>
      </c>
      <c r="C2530" t="s">
        <v>10</v>
      </c>
      <c r="D2530">
        <v>475</v>
      </c>
      <c r="E2530">
        <v>1898</v>
      </c>
      <c r="F2530" s="5">
        <v>43862</v>
      </c>
      <c r="G2530">
        <v>475</v>
      </c>
      <c r="H2530" t="s">
        <v>57</v>
      </c>
    </row>
    <row r="2531" spans="1:8" x14ac:dyDescent="0.3">
      <c r="A2531">
        <v>217</v>
      </c>
      <c r="B2531" s="5">
        <v>43884</v>
      </c>
      <c r="C2531" t="s">
        <v>12</v>
      </c>
      <c r="D2531">
        <v>582</v>
      </c>
      <c r="E2531">
        <v>1316</v>
      </c>
      <c r="F2531" s="5">
        <v>43862</v>
      </c>
      <c r="G2531">
        <v>-582</v>
      </c>
      <c r="H2531" t="s">
        <v>57</v>
      </c>
    </row>
    <row r="2532" spans="1:8" x14ac:dyDescent="0.3">
      <c r="A2532">
        <v>217</v>
      </c>
      <c r="B2532" s="5">
        <v>43887</v>
      </c>
      <c r="C2532" t="s">
        <v>12</v>
      </c>
      <c r="D2532">
        <v>99</v>
      </c>
      <c r="E2532">
        <v>1217</v>
      </c>
      <c r="F2532" s="5">
        <v>43862</v>
      </c>
      <c r="G2532">
        <v>-99</v>
      </c>
      <c r="H2532" t="s">
        <v>57</v>
      </c>
    </row>
    <row r="2533" spans="1:8" x14ac:dyDescent="0.3">
      <c r="A2533">
        <v>217</v>
      </c>
      <c r="B2533" s="5">
        <v>43890</v>
      </c>
      <c r="C2533" t="s">
        <v>10</v>
      </c>
      <c r="D2533">
        <v>622</v>
      </c>
      <c r="E2533">
        <v>1839</v>
      </c>
      <c r="F2533" s="5">
        <v>43862</v>
      </c>
      <c r="G2533">
        <v>622</v>
      </c>
      <c r="H2533" t="s">
        <v>57</v>
      </c>
    </row>
    <row r="2534" spans="1:8" x14ac:dyDescent="0.3">
      <c r="A2534">
        <v>217</v>
      </c>
      <c r="B2534" s="5">
        <v>43903</v>
      </c>
      <c r="C2534" t="s">
        <v>12</v>
      </c>
      <c r="D2534">
        <v>555</v>
      </c>
      <c r="E2534">
        <v>1284</v>
      </c>
      <c r="F2534" s="5">
        <v>43891</v>
      </c>
      <c r="G2534">
        <v>-555</v>
      </c>
      <c r="H2534" t="s">
        <v>57</v>
      </c>
    </row>
    <row r="2535" spans="1:8" x14ac:dyDescent="0.3">
      <c r="A2535">
        <v>217</v>
      </c>
      <c r="B2535" s="5">
        <v>43905</v>
      </c>
      <c r="C2535" t="s">
        <v>10</v>
      </c>
      <c r="D2535">
        <v>713</v>
      </c>
      <c r="E2535">
        <v>1997</v>
      </c>
      <c r="F2535" s="5">
        <v>43891</v>
      </c>
      <c r="G2535">
        <v>713</v>
      </c>
      <c r="H2535" t="s">
        <v>57</v>
      </c>
    </row>
    <row r="2536" spans="1:8" x14ac:dyDescent="0.3">
      <c r="A2536">
        <v>217</v>
      </c>
      <c r="B2536" s="5">
        <v>43915</v>
      </c>
      <c r="C2536" t="s">
        <v>11</v>
      </c>
      <c r="D2536">
        <v>487</v>
      </c>
      <c r="E2536">
        <v>1510</v>
      </c>
      <c r="F2536" s="5">
        <v>43891</v>
      </c>
      <c r="G2536">
        <v>-487</v>
      </c>
      <c r="H2536" t="s">
        <v>57</v>
      </c>
    </row>
    <row r="2537" spans="1:8" x14ac:dyDescent="0.3">
      <c r="A2537">
        <v>217</v>
      </c>
      <c r="B2537" s="5">
        <v>43916</v>
      </c>
      <c r="C2537" t="s">
        <v>10</v>
      </c>
      <c r="D2537">
        <v>35</v>
      </c>
      <c r="E2537">
        <v>1545</v>
      </c>
      <c r="F2537" s="5">
        <v>43891</v>
      </c>
      <c r="G2537">
        <v>35</v>
      </c>
      <c r="H2537" t="s">
        <v>57</v>
      </c>
    </row>
    <row r="2538" spans="1:8" x14ac:dyDescent="0.3">
      <c r="A2538">
        <v>217</v>
      </c>
      <c r="B2538" s="5">
        <v>43917</v>
      </c>
      <c r="C2538" t="s">
        <v>12</v>
      </c>
      <c r="D2538">
        <v>951</v>
      </c>
      <c r="E2538">
        <v>594</v>
      </c>
      <c r="F2538" s="5">
        <v>43891</v>
      </c>
      <c r="G2538">
        <v>-951</v>
      </c>
      <c r="H2538" t="s">
        <v>57</v>
      </c>
    </row>
    <row r="2539" spans="1:8" x14ac:dyDescent="0.3">
      <c r="A2539">
        <v>217</v>
      </c>
      <c r="B2539" s="5">
        <v>43921</v>
      </c>
      <c r="C2539" t="s">
        <v>11</v>
      </c>
      <c r="D2539">
        <v>585</v>
      </c>
      <c r="E2539">
        <v>9</v>
      </c>
      <c r="F2539" s="5">
        <v>43891</v>
      </c>
      <c r="G2539">
        <v>-585</v>
      </c>
      <c r="H2539" t="s">
        <v>57</v>
      </c>
    </row>
    <row r="2540" spans="1:8" x14ac:dyDescent="0.3">
      <c r="A2540">
        <v>218</v>
      </c>
      <c r="B2540" s="5">
        <v>43859</v>
      </c>
      <c r="C2540" t="s">
        <v>10</v>
      </c>
      <c r="D2540">
        <v>208</v>
      </c>
      <c r="E2540">
        <v>208</v>
      </c>
      <c r="F2540" s="5">
        <v>43831</v>
      </c>
      <c r="G2540">
        <v>208</v>
      </c>
      <c r="H2540" t="s">
        <v>57</v>
      </c>
    </row>
    <row r="2541" spans="1:8" x14ac:dyDescent="0.3">
      <c r="A2541">
        <v>218</v>
      </c>
      <c r="B2541" s="5">
        <v>43870</v>
      </c>
      <c r="C2541" t="s">
        <v>11</v>
      </c>
      <c r="D2541">
        <v>805</v>
      </c>
      <c r="E2541">
        <v>-597</v>
      </c>
      <c r="F2541" s="5">
        <v>43862</v>
      </c>
      <c r="G2541">
        <v>-805</v>
      </c>
      <c r="H2541" t="s">
        <v>58</v>
      </c>
    </row>
    <row r="2542" spans="1:8" x14ac:dyDescent="0.3">
      <c r="A2542">
        <v>218</v>
      </c>
      <c r="B2542" s="5">
        <v>43873</v>
      </c>
      <c r="C2542" t="s">
        <v>11</v>
      </c>
      <c r="D2542">
        <v>697</v>
      </c>
      <c r="E2542">
        <v>-1294</v>
      </c>
      <c r="F2542" s="5">
        <v>43862</v>
      </c>
      <c r="G2542">
        <v>-697</v>
      </c>
      <c r="H2542" t="s">
        <v>58</v>
      </c>
    </row>
    <row r="2543" spans="1:8" x14ac:dyDescent="0.3">
      <c r="A2543">
        <v>218</v>
      </c>
      <c r="B2543" s="5">
        <v>43874</v>
      </c>
      <c r="C2543" t="s">
        <v>11</v>
      </c>
      <c r="D2543">
        <v>933</v>
      </c>
      <c r="E2543">
        <v>-2227</v>
      </c>
      <c r="F2543" s="5">
        <v>43862</v>
      </c>
      <c r="G2543">
        <v>-933</v>
      </c>
      <c r="H2543" t="s">
        <v>58</v>
      </c>
    </row>
    <row r="2544" spans="1:8" x14ac:dyDescent="0.3">
      <c r="A2544">
        <v>218</v>
      </c>
      <c r="B2544" s="5">
        <v>43877</v>
      </c>
      <c r="C2544" t="s">
        <v>11</v>
      </c>
      <c r="D2544">
        <v>142</v>
      </c>
      <c r="E2544">
        <v>-2369</v>
      </c>
      <c r="F2544" s="5">
        <v>43862</v>
      </c>
      <c r="G2544">
        <v>-142</v>
      </c>
      <c r="H2544" t="s">
        <v>58</v>
      </c>
    </row>
    <row r="2545" spans="1:8" x14ac:dyDescent="0.3">
      <c r="A2545">
        <v>218</v>
      </c>
      <c r="B2545" s="5">
        <v>43889</v>
      </c>
      <c r="C2545" t="s">
        <v>10</v>
      </c>
      <c r="D2545">
        <v>749</v>
      </c>
      <c r="E2545">
        <v>-1620</v>
      </c>
      <c r="F2545" s="5">
        <v>43862</v>
      </c>
      <c r="G2545">
        <v>749</v>
      </c>
      <c r="H2545" t="s">
        <v>58</v>
      </c>
    </row>
    <row r="2546" spans="1:8" x14ac:dyDescent="0.3">
      <c r="A2546">
        <v>218</v>
      </c>
      <c r="B2546" s="5">
        <v>43892</v>
      </c>
      <c r="C2546" t="s">
        <v>12</v>
      </c>
      <c r="D2546">
        <v>146</v>
      </c>
      <c r="E2546">
        <v>-1766</v>
      </c>
      <c r="F2546" s="5">
        <v>43891</v>
      </c>
      <c r="G2546">
        <v>-146</v>
      </c>
      <c r="H2546" t="s">
        <v>58</v>
      </c>
    </row>
    <row r="2547" spans="1:8" x14ac:dyDescent="0.3">
      <c r="A2547">
        <v>218</v>
      </c>
      <c r="B2547" s="5">
        <v>43893</v>
      </c>
      <c r="C2547" t="s">
        <v>10</v>
      </c>
      <c r="D2547">
        <v>1000</v>
      </c>
      <c r="E2547">
        <v>-766</v>
      </c>
      <c r="F2547" s="5">
        <v>43891</v>
      </c>
      <c r="G2547">
        <v>1000</v>
      </c>
      <c r="H2547" t="s">
        <v>58</v>
      </c>
    </row>
    <row r="2548" spans="1:8" x14ac:dyDescent="0.3">
      <c r="A2548">
        <v>218</v>
      </c>
      <c r="B2548" s="5">
        <v>43894</v>
      </c>
      <c r="C2548" t="s">
        <v>10</v>
      </c>
      <c r="D2548">
        <v>67</v>
      </c>
      <c r="E2548">
        <v>-699</v>
      </c>
      <c r="F2548" s="5">
        <v>43891</v>
      </c>
      <c r="G2548">
        <v>67</v>
      </c>
      <c r="H2548" t="s">
        <v>58</v>
      </c>
    </row>
    <row r="2549" spans="1:8" x14ac:dyDescent="0.3">
      <c r="A2549">
        <v>218</v>
      </c>
      <c r="B2549" s="5">
        <v>43895</v>
      </c>
      <c r="C2549" t="s">
        <v>10</v>
      </c>
      <c r="D2549">
        <v>33</v>
      </c>
      <c r="E2549">
        <v>-666</v>
      </c>
      <c r="F2549" s="5">
        <v>43891</v>
      </c>
      <c r="G2549">
        <v>33</v>
      </c>
      <c r="H2549" t="s">
        <v>58</v>
      </c>
    </row>
    <row r="2550" spans="1:8" x14ac:dyDescent="0.3">
      <c r="A2550">
        <v>218</v>
      </c>
      <c r="B2550" s="5">
        <v>43898</v>
      </c>
      <c r="C2550" t="s">
        <v>12</v>
      </c>
      <c r="D2550">
        <v>774</v>
      </c>
      <c r="E2550">
        <v>-1440</v>
      </c>
      <c r="F2550" s="5">
        <v>43891</v>
      </c>
      <c r="G2550">
        <v>-774</v>
      </c>
      <c r="H2550" t="s">
        <v>58</v>
      </c>
    </row>
    <row r="2551" spans="1:8" x14ac:dyDescent="0.3">
      <c r="A2551">
        <v>218</v>
      </c>
      <c r="B2551" s="5">
        <v>43898</v>
      </c>
      <c r="C2551" t="s">
        <v>10</v>
      </c>
      <c r="D2551">
        <v>583</v>
      </c>
      <c r="E2551">
        <v>-857</v>
      </c>
      <c r="F2551" s="5">
        <v>43891</v>
      </c>
      <c r="G2551">
        <v>583</v>
      </c>
      <c r="H2551" t="s">
        <v>58</v>
      </c>
    </row>
    <row r="2552" spans="1:8" x14ac:dyDescent="0.3">
      <c r="A2552">
        <v>218</v>
      </c>
      <c r="B2552" s="5">
        <v>43900</v>
      </c>
      <c r="C2552" t="s">
        <v>10</v>
      </c>
      <c r="D2552">
        <v>829</v>
      </c>
      <c r="E2552">
        <v>-28</v>
      </c>
      <c r="F2552" s="5">
        <v>43891</v>
      </c>
      <c r="G2552">
        <v>829</v>
      </c>
      <c r="H2552" t="s">
        <v>58</v>
      </c>
    </row>
    <row r="2553" spans="1:8" x14ac:dyDescent="0.3">
      <c r="A2553">
        <v>218</v>
      </c>
      <c r="B2553" s="5">
        <v>43903</v>
      </c>
      <c r="C2553" t="s">
        <v>11</v>
      </c>
      <c r="D2553">
        <v>894</v>
      </c>
      <c r="E2553">
        <v>-922</v>
      </c>
      <c r="F2553" s="5">
        <v>43891</v>
      </c>
      <c r="G2553">
        <v>-894</v>
      </c>
      <c r="H2553" t="s">
        <v>58</v>
      </c>
    </row>
    <row r="2554" spans="1:8" x14ac:dyDescent="0.3">
      <c r="A2554">
        <v>218</v>
      </c>
      <c r="B2554" s="5">
        <v>43905</v>
      </c>
      <c r="C2554" t="s">
        <v>10</v>
      </c>
      <c r="D2554">
        <v>80</v>
      </c>
      <c r="E2554">
        <v>-842</v>
      </c>
      <c r="F2554" s="5">
        <v>43891</v>
      </c>
      <c r="G2554">
        <v>80</v>
      </c>
      <c r="H2554" t="s">
        <v>58</v>
      </c>
    </row>
    <row r="2555" spans="1:8" x14ac:dyDescent="0.3">
      <c r="A2555">
        <v>218</v>
      </c>
      <c r="B2555" s="5">
        <v>43905</v>
      </c>
      <c r="C2555" t="s">
        <v>10</v>
      </c>
      <c r="D2555">
        <v>766</v>
      </c>
      <c r="E2555">
        <v>-76</v>
      </c>
      <c r="F2555" s="5">
        <v>43891</v>
      </c>
      <c r="G2555">
        <v>766</v>
      </c>
      <c r="H2555" t="s">
        <v>58</v>
      </c>
    </row>
    <row r="2556" spans="1:8" x14ac:dyDescent="0.3">
      <c r="A2556">
        <v>218</v>
      </c>
      <c r="B2556" s="5">
        <v>43909</v>
      </c>
      <c r="C2556" t="s">
        <v>10</v>
      </c>
      <c r="D2556">
        <v>333</v>
      </c>
      <c r="E2556">
        <v>257</v>
      </c>
      <c r="F2556" s="5">
        <v>43891</v>
      </c>
      <c r="G2556">
        <v>333</v>
      </c>
      <c r="H2556" t="s">
        <v>57</v>
      </c>
    </row>
    <row r="2557" spans="1:8" x14ac:dyDescent="0.3">
      <c r="A2557">
        <v>218</v>
      </c>
      <c r="B2557" s="5">
        <v>43912</v>
      </c>
      <c r="C2557" t="s">
        <v>11</v>
      </c>
      <c r="D2557">
        <v>494</v>
      </c>
      <c r="E2557">
        <v>-237</v>
      </c>
      <c r="F2557" s="5">
        <v>43891</v>
      </c>
      <c r="G2557">
        <v>-494</v>
      </c>
      <c r="H2557" t="s">
        <v>58</v>
      </c>
    </row>
    <row r="2558" spans="1:8" x14ac:dyDescent="0.3">
      <c r="A2558">
        <v>218</v>
      </c>
      <c r="B2558" s="5">
        <v>43913</v>
      </c>
      <c r="C2558" t="s">
        <v>11</v>
      </c>
      <c r="D2558">
        <v>228</v>
      </c>
      <c r="E2558">
        <v>-465</v>
      </c>
      <c r="F2558" s="5">
        <v>43891</v>
      </c>
      <c r="G2558">
        <v>-228</v>
      </c>
      <c r="H2558" t="s">
        <v>58</v>
      </c>
    </row>
    <row r="2559" spans="1:8" x14ac:dyDescent="0.3">
      <c r="A2559">
        <v>218</v>
      </c>
      <c r="B2559" s="5">
        <v>43925</v>
      </c>
      <c r="C2559" t="s">
        <v>10</v>
      </c>
      <c r="D2559">
        <v>835</v>
      </c>
      <c r="E2559">
        <v>370</v>
      </c>
      <c r="F2559" s="5">
        <v>43922</v>
      </c>
      <c r="G2559">
        <v>835</v>
      </c>
      <c r="H2559" t="s">
        <v>57</v>
      </c>
    </row>
    <row r="2560" spans="1:8" x14ac:dyDescent="0.3">
      <c r="A2560">
        <v>218</v>
      </c>
      <c r="B2560" s="5">
        <v>43931</v>
      </c>
      <c r="C2560" t="s">
        <v>12</v>
      </c>
      <c r="D2560">
        <v>80</v>
      </c>
      <c r="E2560">
        <v>290</v>
      </c>
      <c r="F2560" s="5">
        <v>43922</v>
      </c>
      <c r="G2560">
        <v>-80</v>
      </c>
      <c r="H2560" t="s">
        <v>57</v>
      </c>
    </row>
    <row r="2561" spans="1:8" x14ac:dyDescent="0.3">
      <c r="A2561">
        <v>218</v>
      </c>
      <c r="B2561" s="5">
        <v>43940</v>
      </c>
      <c r="C2561" t="s">
        <v>10</v>
      </c>
      <c r="D2561">
        <v>877</v>
      </c>
      <c r="E2561">
        <v>1167</v>
      </c>
      <c r="F2561" s="5">
        <v>43922</v>
      </c>
      <c r="G2561">
        <v>877</v>
      </c>
      <c r="H2561" t="s">
        <v>57</v>
      </c>
    </row>
    <row r="2562" spans="1:8" x14ac:dyDescent="0.3">
      <c r="A2562">
        <v>219</v>
      </c>
      <c r="B2562" s="5">
        <v>43836</v>
      </c>
      <c r="C2562" t="s">
        <v>11</v>
      </c>
      <c r="D2562">
        <v>274</v>
      </c>
      <c r="E2562">
        <v>-274</v>
      </c>
      <c r="F2562" s="5">
        <v>43831</v>
      </c>
      <c r="G2562">
        <v>-274</v>
      </c>
      <c r="H2562" t="s">
        <v>58</v>
      </c>
    </row>
    <row r="2563" spans="1:8" x14ac:dyDescent="0.3">
      <c r="A2563">
        <v>219</v>
      </c>
      <c r="B2563" s="5">
        <v>43836</v>
      </c>
      <c r="C2563" t="s">
        <v>10</v>
      </c>
      <c r="D2563">
        <v>419</v>
      </c>
      <c r="E2563">
        <v>145</v>
      </c>
      <c r="F2563" s="5">
        <v>43831</v>
      </c>
      <c r="G2563">
        <v>419</v>
      </c>
      <c r="H2563" t="s">
        <v>57</v>
      </c>
    </row>
    <row r="2564" spans="1:8" x14ac:dyDescent="0.3">
      <c r="A2564">
        <v>219</v>
      </c>
      <c r="B2564" s="5">
        <v>43840</v>
      </c>
      <c r="C2564" t="s">
        <v>10</v>
      </c>
      <c r="D2564">
        <v>20</v>
      </c>
      <c r="E2564">
        <v>165</v>
      </c>
      <c r="F2564" s="5">
        <v>43831</v>
      </c>
      <c r="G2564">
        <v>20</v>
      </c>
      <c r="H2564" t="s">
        <v>57</v>
      </c>
    </row>
    <row r="2565" spans="1:8" x14ac:dyDescent="0.3">
      <c r="A2565">
        <v>219</v>
      </c>
      <c r="B2565" s="5">
        <v>43874</v>
      </c>
      <c r="C2565" t="s">
        <v>11</v>
      </c>
      <c r="D2565">
        <v>142</v>
      </c>
      <c r="E2565">
        <v>23</v>
      </c>
      <c r="F2565" s="5">
        <v>43862</v>
      </c>
      <c r="G2565">
        <v>-142</v>
      </c>
      <c r="H2565" t="s">
        <v>57</v>
      </c>
    </row>
    <row r="2566" spans="1:8" x14ac:dyDescent="0.3">
      <c r="A2566">
        <v>219</v>
      </c>
      <c r="B2566" s="5">
        <v>43876</v>
      </c>
      <c r="C2566" t="s">
        <v>11</v>
      </c>
      <c r="D2566">
        <v>428</v>
      </c>
      <c r="E2566">
        <v>-405</v>
      </c>
      <c r="F2566" s="5">
        <v>43862</v>
      </c>
      <c r="G2566">
        <v>-428</v>
      </c>
      <c r="H2566" t="s">
        <v>58</v>
      </c>
    </row>
    <row r="2567" spans="1:8" x14ac:dyDescent="0.3">
      <c r="A2567">
        <v>219</v>
      </c>
      <c r="B2567" s="5">
        <v>43878</v>
      </c>
      <c r="C2567" t="s">
        <v>12</v>
      </c>
      <c r="D2567">
        <v>609</v>
      </c>
      <c r="E2567">
        <v>-1014</v>
      </c>
      <c r="F2567" s="5">
        <v>43862</v>
      </c>
      <c r="G2567">
        <v>-609</v>
      </c>
      <c r="H2567" t="s">
        <v>58</v>
      </c>
    </row>
    <row r="2568" spans="1:8" x14ac:dyDescent="0.3">
      <c r="A2568">
        <v>219</v>
      </c>
      <c r="B2568" s="5">
        <v>43885</v>
      </c>
      <c r="C2568" t="s">
        <v>12</v>
      </c>
      <c r="D2568">
        <v>282</v>
      </c>
      <c r="E2568">
        <v>-1296</v>
      </c>
      <c r="F2568" s="5">
        <v>43862</v>
      </c>
      <c r="G2568">
        <v>-282</v>
      </c>
      <c r="H2568" t="s">
        <v>58</v>
      </c>
    </row>
    <row r="2569" spans="1:8" x14ac:dyDescent="0.3">
      <c r="A2569">
        <v>219</v>
      </c>
      <c r="B2569" s="5">
        <v>43887</v>
      </c>
      <c r="C2569" t="s">
        <v>10</v>
      </c>
      <c r="D2569">
        <v>93</v>
      </c>
      <c r="E2569">
        <v>-1203</v>
      </c>
      <c r="F2569" s="5">
        <v>43862</v>
      </c>
      <c r="G2569">
        <v>93</v>
      </c>
      <c r="H2569" t="s">
        <v>58</v>
      </c>
    </row>
    <row r="2570" spans="1:8" x14ac:dyDescent="0.3">
      <c r="A2570">
        <v>219</v>
      </c>
      <c r="B2570" s="5">
        <v>43888</v>
      </c>
      <c r="C2570" t="s">
        <v>12</v>
      </c>
      <c r="D2570">
        <v>256</v>
      </c>
      <c r="E2570">
        <v>-1459</v>
      </c>
      <c r="F2570" s="5">
        <v>43862</v>
      </c>
      <c r="G2570">
        <v>-256</v>
      </c>
      <c r="H2570" t="s">
        <v>58</v>
      </c>
    </row>
    <row r="2571" spans="1:8" x14ac:dyDescent="0.3">
      <c r="A2571">
        <v>219</v>
      </c>
      <c r="B2571" s="5">
        <v>43889</v>
      </c>
      <c r="C2571" t="s">
        <v>10</v>
      </c>
      <c r="D2571">
        <v>614</v>
      </c>
      <c r="E2571">
        <v>-845</v>
      </c>
      <c r="F2571" s="5">
        <v>43862</v>
      </c>
      <c r="G2571">
        <v>614</v>
      </c>
      <c r="H2571" t="s">
        <v>58</v>
      </c>
    </row>
    <row r="2572" spans="1:8" x14ac:dyDescent="0.3">
      <c r="A2572">
        <v>219</v>
      </c>
      <c r="B2572" s="5">
        <v>43891</v>
      </c>
      <c r="C2572" t="s">
        <v>10</v>
      </c>
      <c r="D2572">
        <v>1000</v>
      </c>
      <c r="E2572">
        <v>155</v>
      </c>
      <c r="F2572" s="5">
        <v>43891</v>
      </c>
      <c r="G2572">
        <v>1000</v>
      </c>
      <c r="H2572" t="s">
        <v>57</v>
      </c>
    </row>
    <row r="2573" spans="1:8" x14ac:dyDescent="0.3">
      <c r="A2573">
        <v>219</v>
      </c>
      <c r="B2573" s="5">
        <v>43911</v>
      </c>
      <c r="C2573" t="s">
        <v>10</v>
      </c>
      <c r="D2573">
        <v>502</v>
      </c>
      <c r="E2573">
        <v>657</v>
      </c>
      <c r="F2573" s="5">
        <v>43891</v>
      </c>
      <c r="G2573">
        <v>502</v>
      </c>
      <c r="H2573" t="s">
        <v>57</v>
      </c>
    </row>
    <row r="2574" spans="1:8" x14ac:dyDescent="0.3">
      <c r="A2574">
        <v>219</v>
      </c>
      <c r="B2574" s="5">
        <v>43912</v>
      </c>
      <c r="C2574" t="s">
        <v>10</v>
      </c>
      <c r="D2574">
        <v>489</v>
      </c>
      <c r="E2574">
        <v>1146</v>
      </c>
      <c r="F2574" s="5">
        <v>43891</v>
      </c>
      <c r="G2574">
        <v>489</v>
      </c>
      <c r="H2574" t="s">
        <v>57</v>
      </c>
    </row>
    <row r="2575" spans="1:8" x14ac:dyDescent="0.3">
      <c r="A2575">
        <v>219</v>
      </c>
      <c r="B2575" s="5">
        <v>43914</v>
      </c>
      <c r="C2575" t="s">
        <v>11</v>
      </c>
      <c r="D2575">
        <v>291</v>
      </c>
      <c r="E2575">
        <v>855</v>
      </c>
      <c r="F2575" s="5">
        <v>43891</v>
      </c>
      <c r="G2575">
        <v>-291</v>
      </c>
      <c r="H2575" t="s">
        <v>57</v>
      </c>
    </row>
    <row r="2576" spans="1:8" x14ac:dyDescent="0.3">
      <c r="A2576">
        <v>219</v>
      </c>
      <c r="B2576" s="5">
        <v>43919</v>
      </c>
      <c r="C2576" t="s">
        <v>10</v>
      </c>
      <c r="D2576">
        <v>253</v>
      </c>
      <c r="E2576">
        <v>1108</v>
      </c>
      <c r="F2576" s="5">
        <v>43891</v>
      </c>
      <c r="G2576">
        <v>253</v>
      </c>
      <c r="H2576" t="s">
        <v>57</v>
      </c>
    </row>
    <row r="2577" spans="1:8" x14ac:dyDescent="0.3">
      <c r="A2577">
        <v>219</v>
      </c>
      <c r="B2577" s="5">
        <v>43924</v>
      </c>
      <c r="C2577" t="s">
        <v>11</v>
      </c>
      <c r="D2577">
        <v>802</v>
      </c>
      <c r="E2577">
        <v>306</v>
      </c>
      <c r="F2577" s="5">
        <v>43922</v>
      </c>
      <c r="G2577">
        <v>-802</v>
      </c>
      <c r="H2577" t="s">
        <v>57</v>
      </c>
    </row>
    <row r="2578" spans="1:8" x14ac:dyDescent="0.3">
      <c r="A2578">
        <v>220</v>
      </c>
      <c r="B2578" s="5">
        <v>43851</v>
      </c>
      <c r="C2578" t="s">
        <v>10</v>
      </c>
      <c r="D2578">
        <v>307</v>
      </c>
      <c r="E2578">
        <v>307</v>
      </c>
      <c r="F2578" s="5">
        <v>43831</v>
      </c>
      <c r="G2578">
        <v>307</v>
      </c>
      <c r="H2578" t="s">
        <v>57</v>
      </c>
    </row>
    <row r="2579" spans="1:8" x14ac:dyDescent="0.3">
      <c r="A2579">
        <v>220</v>
      </c>
      <c r="B2579" s="5">
        <v>43863</v>
      </c>
      <c r="C2579" t="s">
        <v>10</v>
      </c>
      <c r="D2579">
        <v>776</v>
      </c>
      <c r="E2579">
        <v>1083</v>
      </c>
      <c r="F2579" s="5">
        <v>43862</v>
      </c>
      <c r="G2579">
        <v>776</v>
      </c>
      <c r="H2579" t="s">
        <v>57</v>
      </c>
    </row>
    <row r="2580" spans="1:8" x14ac:dyDescent="0.3">
      <c r="A2580">
        <v>220</v>
      </c>
      <c r="B2580" s="5">
        <v>43870</v>
      </c>
      <c r="C2580" t="s">
        <v>11</v>
      </c>
      <c r="D2580">
        <v>465</v>
      </c>
      <c r="E2580">
        <v>618</v>
      </c>
      <c r="F2580" s="5">
        <v>43862</v>
      </c>
      <c r="G2580">
        <v>-465</v>
      </c>
      <c r="H2580" t="s">
        <v>57</v>
      </c>
    </row>
    <row r="2581" spans="1:8" x14ac:dyDescent="0.3">
      <c r="A2581">
        <v>220</v>
      </c>
      <c r="B2581" s="5">
        <v>43877</v>
      </c>
      <c r="C2581" t="s">
        <v>10</v>
      </c>
      <c r="D2581">
        <v>514</v>
      </c>
      <c r="E2581">
        <v>1132</v>
      </c>
      <c r="F2581" s="5">
        <v>43862</v>
      </c>
      <c r="G2581">
        <v>514</v>
      </c>
      <c r="H2581" t="s">
        <v>57</v>
      </c>
    </row>
    <row r="2582" spans="1:8" x14ac:dyDescent="0.3">
      <c r="A2582">
        <v>220</v>
      </c>
      <c r="B2582" s="5">
        <v>43887</v>
      </c>
      <c r="C2582" t="s">
        <v>12</v>
      </c>
      <c r="D2582">
        <v>418</v>
      </c>
      <c r="E2582">
        <v>714</v>
      </c>
      <c r="F2582" s="5">
        <v>43862</v>
      </c>
      <c r="G2582">
        <v>-418</v>
      </c>
      <c r="H2582" t="s">
        <v>57</v>
      </c>
    </row>
    <row r="2583" spans="1:8" x14ac:dyDescent="0.3">
      <c r="A2583">
        <v>220</v>
      </c>
      <c r="B2583" s="5">
        <v>43909</v>
      </c>
      <c r="C2583" t="s">
        <v>10</v>
      </c>
      <c r="D2583">
        <v>579</v>
      </c>
      <c r="E2583">
        <v>1293</v>
      </c>
      <c r="F2583" s="5">
        <v>43891</v>
      </c>
      <c r="G2583">
        <v>579</v>
      </c>
      <c r="H2583" t="s">
        <v>57</v>
      </c>
    </row>
    <row r="2584" spans="1:8" x14ac:dyDescent="0.3">
      <c r="A2584">
        <v>220</v>
      </c>
      <c r="B2584" s="5">
        <v>43913</v>
      </c>
      <c r="C2584" t="s">
        <v>11</v>
      </c>
      <c r="D2584">
        <v>350</v>
      </c>
      <c r="E2584">
        <v>943</v>
      </c>
      <c r="F2584" s="5">
        <v>43891</v>
      </c>
      <c r="G2584">
        <v>-350</v>
      </c>
      <c r="H2584" t="s">
        <v>57</v>
      </c>
    </row>
    <row r="2585" spans="1:8" x14ac:dyDescent="0.3">
      <c r="A2585">
        <v>220</v>
      </c>
      <c r="B2585" s="5">
        <v>43919</v>
      </c>
      <c r="C2585" t="s">
        <v>11</v>
      </c>
      <c r="D2585">
        <v>972</v>
      </c>
      <c r="E2585">
        <v>-29</v>
      </c>
      <c r="F2585" s="5">
        <v>43891</v>
      </c>
      <c r="G2585">
        <v>-972</v>
      </c>
      <c r="H2585" t="s">
        <v>58</v>
      </c>
    </row>
    <row r="2586" spans="1:8" x14ac:dyDescent="0.3">
      <c r="A2586">
        <v>220</v>
      </c>
      <c r="B2586" s="5">
        <v>43922</v>
      </c>
      <c r="C2586" t="s">
        <v>10</v>
      </c>
      <c r="D2586">
        <v>326</v>
      </c>
      <c r="E2586">
        <v>297</v>
      </c>
      <c r="F2586" s="5">
        <v>43922</v>
      </c>
      <c r="G2586">
        <v>326</v>
      </c>
      <c r="H2586" t="s">
        <v>57</v>
      </c>
    </row>
    <row r="2587" spans="1:8" x14ac:dyDescent="0.3">
      <c r="A2587">
        <v>220</v>
      </c>
      <c r="B2587" s="5">
        <v>43926</v>
      </c>
      <c r="C2587" t="s">
        <v>12</v>
      </c>
      <c r="D2587">
        <v>657</v>
      </c>
      <c r="E2587">
        <v>-360</v>
      </c>
      <c r="F2587" s="5">
        <v>43922</v>
      </c>
      <c r="G2587">
        <v>-657</v>
      </c>
      <c r="H2587" t="s">
        <v>58</v>
      </c>
    </row>
    <row r="2588" spans="1:8" x14ac:dyDescent="0.3">
      <c r="A2588">
        <v>220</v>
      </c>
      <c r="B2588" s="5">
        <v>43927</v>
      </c>
      <c r="C2588" t="s">
        <v>12</v>
      </c>
      <c r="D2588">
        <v>762</v>
      </c>
      <c r="E2588">
        <v>-1122</v>
      </c>
      <c r="F2588" s="5">
        <v>43922</v>
      </c>
      <c r="G2588">
        <v>-762</v>
      </c>
      <c r="H2588" t="s">
        <v>58</v>
      </c>
    </row>
    <row r="2589" spans="1:8" x14ac:dyDescent="0.3">
      <c r="A2589">
        <v>220</v>
      </c>
      <c r="B2589" s="5">
        <v>43934</v>
      </c>
      <c r="C2589" t="s">
        <v>10</v>
      </c>
      <c r="D2589">
        <v>164</v>
      </c>
      <c r="E2589">
        <v>-958</v>
      </c>
      <c r="F2589" s="5">
        <v>43922</v>
      </c>
      <c r="G2589">
        <v>164</v>
      </c>
      <c r="H2589" t="s">
        <v>58</v>
      </c>
    </row>
    <row r="2590" spans="1:8" x14ac:dyDescent="0.3">
      <c r="A2590">
        <v>221</v>
      </c>
      <c r="B2590" s="5">
        <v>43836</v>
      </c>
      <c r="C2590" t="s">
        <v>10</v>
      </c>
      <c r="D2590">
        <v>147</v>
      </c>
      <c r="E2590">
        <v>147</v>
      </c>
      <c r="F2590" s="5">
        <v>43831</v>
      </c>
      <c r="G2590">
        <v>147</v>
      </c>
      <c r="H2590" t="s">
        <v>57</v>
      </c>
    </row>
    <row r="2591" spans="1:8" x14ac:dyDescent="0.3">
      <c r="A2591">
        <v>221</v>
      </c>
      <c r="B2591" s="5">
        <v>43847</v>
      </c>
      <c r="C2591" t="s">
        <v>10</v>
      </c>
      <c r="D2591">
        <v>112</v>
      </c>
      <c r="E2591">
        <v>259</v>
      </c>
      <c r="F2591" s="5">
        <v>43831</v>
      </c>
      <c r="G2591">
        <v>112</v>
      </c>
      <c r="H2591" t="s">
        <v>57</v>
      </c>
    </row>
    <row r="2592" spans="1:8" x14ac:dyDescent="0.3">
      <c r="A2592">
        <v>221</v>
      </c>
      <c r="B2592" s="5">
        <v>43851</v>
      </c>
      <c r="C2592" t="s">
        <v>11</v>
      </c>
      <c r="D2592">
        <v>14</v>
      </c>
      <c r="E2592">
        <v>245</v>
      </c>
      <c r="F2592" s="5">
        <v>43831</v>
      </c>
      <c r="G2592">
        <v>-14</v>
      </c>
      <c r="H2592" t="s">
        <v>57</v>
      </c>
    </row>
    <row r="2593" spans="1:8" x14ac:dyDescent="0.3">
      <c r="A2593">
        <v>221</v>
      </c>
      <c r="B2593" s="5">
        <v>43853</v>
      </c>
      <c r="C2593" t="s">
        <v>10</v>
      </c>
      <c r="D2593">
        <v>256</v>
      </c>
      <c r="E2593">
        <v>501</v>
      </c>
      <c r="F2593" s="5">
        <v>43831</v>
      </c>
      <c r="G2593">
        <v>256</v>
      </c>
      <c r="H2593" t="s">
        <v>57</v>
      </c>
    </row>
    <row r="2594" spans="1:8" x14ac:dyDescent="0.3">
      <c r="A2594">
        <v>221</v>
      </c>
      <c r="B2594" s="5">
        <v>43854</v>
      </c>
      <c r="C2594" t="s">
        <v>10</v>
      </c>
      <c r="D2594">
        <v>883</v>
      </c>
      <c r="E2594">
        <v>1384</v>
      </c>
      <c r="F2594" s="5">
        <v>43831</v>
      </c>
      <c r="G2594">
        <v>883</v>
      </c>
      <c r="H2594" t="s">
        <v>57</v>
      </c>
    </row>
    <row r="2595" spans="1:8" x14ac:dyDescent="0.3">
      <c r="A2595">
        <v>221</v>
      </c>
      <c r="B2595" s="5">
        <v>43885</v>
      </c>
      <c r="C2595" t="s">
        <v>10</v>
      </c>
      <c r="D2595">
        <v>508</v>
      </c>
      <c r="E2595">
        <v>1892</v>
      </c>
      <c r="F2595" s="5">
        <v>43862</v>
      </c>
      <c r="G2595">
        <v>508</v>
      </c>
      <c r="H2595" t="s">
        <v>57</v>
      </c>
    </row>
    <row r="2596" spans="1:8" x14ac:dyDescent="0.3">
      <c r="A2596">
        <v>221</v>
      </c>
      <c r="B2596" s="5">
        <v>43888</v>
      </c>
      <c r="C2596" t="s">
        <v>11</v>
      </c>
      <c r="D2596">
        <v>411</v>
      </c>
      <c r="E2596">
        <v>1481</v>
      </c>
      <c r="F2596" s="5">
        <v>43862</v>
      </c>
      <c r="G2596">
        <v>-411</v>
      </c>
      <c r="H2596" t="s">
        <v>57</v>
      </c>
    </row>
    <row r="2597" spans="1:8" x14ac:dyDescent="0.3">
      <c r="A2597">
        <v>221</v>
      </c>
      <c r="B2597" s="5">
        <v>43897</v>
      </c>
      <c r="C2597" t="s">
        <v>12</v>
      </c>
      <c r="D2597">
        <v>427</v>
      </c>
      <c r="E2597">
        <v>1054</v>
      </c>
      <c r="F2597" s="5">
        <v>43891</v>
      </c>
      <c r="G2597">
        <v>-427</v>
      </c>
      <c r="H2597" t="s">
        <v>57</v>
      </c>
    </row>
    <row r="2598" spans="1:8" x14ac:dyDescent="0.3">
      <c r="A2598">
        <v>221</v>
      </c>
      <c r="B2598" s="5">
        <v>43897</v>
      </c>
      <c r="C2598" t="s">
        <v>10</v>
      </c>
      <c r="D2598">
        <v>312</v>
      </c>
      <c r="E2598">
        <v>1366</v>
      </c>
      <c r="F2598" s="5">
        <v>43891</v>
      </c>
      <c r="G2598">
        <v>312</v>
      </c>
      <c r="H2598" t="s">
        <v>57</v>
      </c>
    </row>
    <row r="2599" spans="1:8" x14ac:dyDescent="0.3">
      <c r="A2599">
        <v>221</v>
      </c>
      <c r="B2599" s="5">
        <v>43898</v>
      </c>
      <c r="C2599" t="s">
        <v>11</v>
      </c>
      <c r="D2599">
        <v>136</v>
      </c>
      <c r="E2599">
        <v>1230</v>
      </c>
      <c r="F2599" s="5">
        <v>43891</v>
      </c>
      <c r="G2599">
        <v>-136</v>
      </c>
      <c r="H2599" t="s">
        <v>57</v>
      </c>
    </row>
    <row r="2600" spans="1:8" x14ac:dyDescent="0.3">
      <c r="A2600">
        <v>221</v>
      </c>
      <c r="B2600" s="5">
        <v>43904</v>
      </c>
      <c r="C2600" t="s">
        <v>11</v>
      </c>
      <c r="D2600">
        <v>175</v>
      </c>
      <c r="E2600">
        <v>1055</v>
      </c>
      <c r="F2600" s="5">
        <v>43891</v>
      </c>
      <c r="G2600">
        <v>-175</v>
      </c>
      <c r="H2600" t="s">
        <v>57</v>
      </c>
    </row>
    <row r="2601" spans="1:8" x14ac:dyDescent="0.3">
      <c r="A2601">
        <v>222</v>
      </c>
      <c r="B2601" s="5">
        <v>43841</v>
      </c>
      <c r="C2601" t="s">
        <v>10</v>
      </c>
      <c r="D2601">
        <v>311</v>
      </c>
      <c r="E2601">
        <v>311</v>
      </c>
      <c r="F2601" s="5">
        <v>43831</v>
      </c>
      <c r="G2601">
        <v>311</v>
      </c>
      <c r="H2601" t="s">
        <v>57</v>
      </c>
    </row>
    <row r="2602" spans="1:8" x14ac:dyDescent="0.3">
      <c r="A2602">
        <v>222</v>
      </c>
      <c r="B2602" s="5">
        <v>43855</v>
      </c>
      <c r="C2602" t="s">
        <v>10</v>
      </c>
      <c r="D2602">
        <v>57</v>
      </c>
      <c r="E2602">
        <v>368</v>
      </c>
      <c r="F2602" s="5">
        <v>43831</v>
      </c>
      <c r="G2602">
        <v>57</v>
      </c>
      <c r="H2602" t="s">
        <v>57</v>
      </c>
    </row>
    <row r="2603" spans="1:8" x14ac:dyDescent="0.3">
      <c r="A2603">
        <v>222</v>
      </c>
      <c r="B2603" s="5">
        <v>43857</v>
      </c>
      <c r="C2603" t="s">
        <v>10</v>
      </c>
      <c r="D2603">
        <v>289</v>
      </c>
      <c r="E2603">
        <v>657</v>
      </c>
      <c r="F2603" s="5">
        <v>43831</v>
      </c>
      <c r="G2603">
        <v>289</v>
      </c>
      <c r="H2603" t="s">
        <v>57</v>
      </c>
    </row>
    <row r="2604" spans="1:8" x14ac:dyDescent="0.3">
      <c r="A2604">
        <v>222</v>
      </c>
      <c r="B2604" s="5">
        <v>43865</v>
      </c>
      <c r="C2604" t="s">
        <v>10</v>
      </c>
      <c r="D2604">
        <v>245</v>
      </c>
      <c r="E2604">
        <v>902</v>
      </c>
      <c r="F2604" s="5">
        <v>43862</v>
      </c>
      <c r="G2604">
        <v>245</v>
      </c>
      <c r="H2604" t="s">
        <v>57</v>
      </c>
    </row>
    <row r="2605" spans="1:8" x14ac:dyDescent="0.3">
      <c r="A2605">
        <v>222</v>
      </c>
      <c r="B2605" s="5">
        <v>43878</v>
      </c>
      <c r="C2605" t="s">
        <v>10</v>
      </c>
      <c r="D2605">
        <v>925</v>
      </c>
      <c r="E2605">
        <v>1827</v>
      </c>
      <c r="F2605" s="5">
        <v>43862</v>
      </c>
      <c r="G2605">
        <v>925</v>
      </c>
      <c r="H2605" t="s">
        <v>57</v>
      </c>
    </row>
    <row r="2606" spans="1:8" x14ac:dyDescent="0.3">
      <c r="A2606">
        <v>222</v>
      </c>
      <c r="B2606" s="5">
        <v>43880</v>
      </c>
      <c r="C2606" t="s">
        <v>10</v>
      </c>
      <c r="D2606">
        <v>640</v>
      </c>
      <c r="E2606">
        <v>2467</v>
      </c>
      <c r="F2606" s="5">
        <v>43862</v>
      </c>
      <c r="G2606">
        <v>640</v>
      </c>
      <c r="H2606" t="s">
        <v>57</v>
      </c>
    </row>
    <row r="2607" spans="1:8" x14ac:dyDescent="0.3">
      <c r="A2607">
        <v>222</v>
      </c>
      <c r="B2607" s="5">
        <v>43880</v>
      </c>
      <c r="C2607" t="s">
        <v>12</v>
      </c>
      <c r="D2607">
        <v>567</v>
      </c>
      <c r="E2607">
        <v>1900</v>
      </c>
      <c r="F2607" s="5">
        <v>43862</v>
      </c>
      <c r="G2607">
        <v>-567</v>
      </c>
      <c r="H2607" t="s">
        <v>57</v>
      </c>
    </row>
    <row r="2608" spans="1:8" x14ac:dyDescent="0.3">
      <c r="A2608">
        <v>222</v>
      </c>
      <c r="B2608" s="5">
        <v>43882</v>
      </c>
      <c r="C2608" t="s">
        <v>10</v>
      </c>
      <c r="D2608">
        <v>97</v>
      </c>
      <c r="E2608">
        <v>1997</v>
      </c>
      <c r="F2608" s="5">
        <v>43862</v>
      </c>
      <c r="G2608">
        <v>97</v>
      </c>
      <c r="H2608" t="s">
        <v>57</v>
      </c>
    </row>
    <row r="2609" spans="1:8" x14ac:dyDescent="0.3">
      <c r="A2609">
        <v>222</v>
      </c>
      <c r="B2609" s="5">
        <v>43898</v>
      </c>
      <c r="C2609" t="s">
        <v>11</v>
      </c>
      <c r="D2609">
        <v>861</v>
      </c>
      <c r="E2609">
        <v>1136</v>
      </c>
      <c r="F2609" s="5">
        <v>43891</v>
      </c>
      <c r="G2609">
        <v>-861</v>
      </c>
      <c r="H2609" t="s">
        <v>57</v>
      </c>
    </row>
    <row r="2610" spans="1:8" x14ac:dyDescent="0.3">
      <c r="A2610">
        <v>222</v>
      </c>
      <c r="B2610" s="5">
        <v>43930</v>
      </c>
      <c r="C2610" t="s">
        <v>10</v>
      </c>
      <c r="D2610">
        <v>396</v>
      </c>
      <c r="E2610">
        <v>1532</v>
      </c>
      <c r="F2610" s="5">
        <v>43922</v>
      </c>
      <c r="G2610">
        <v>396</v>
      </c>
      <c r="H2610" t="s">
        <v>57</v>
      </c>
    </row>
    <row r="2611" spans="1:8" x14ac:dyDescent="0.3">
      <c r="A2611">
        <v>223</v>
      </c>
      <c r="B2611" s="5">
        <v>43841</v>
      </c>
      <c r="C2611" t="s">
        <v>10</v>
      </c>
      <c r="D2611">
        <v>431</v>
      </c>
      <c r="E2611">
        <v>431</v>
      </c>
      <c r="F2611" s="5">
        <v>43831</v>
      </c>
      <c r="G2611">
        <v>431</v>
      </c>
      <c r="H2611" t="s">
        <v>57</v>
      </c>
    </row>
    <row r="2612" spans="1:8" x14ac:dyDescent="0.3">
      <c r="A2612">
        <v>223</v>
      </c>
      <c r="B2612" s="5">
        <v>43844</v>
      </c>
      <c r="C2612" t="s">
        <v>10</v>
      </c>
      <c r="D2612">
        <v>813</v>
      </c>
      <c r="E2612">
        <v>1244</v>
      </c>
      <c r="F2612" s="5">
        <v>43831</v>
      </c>
      <c r="G2612">
        <v>813</v>
      </c>
      <c r="H2612" t="s">
        <v>57</v>
      </c>
    </row>
    <row r="2613" spans="1:8" x14ac:dyDescent="0.3">
      <c r="A2613">
        <v>223</v>
      </c>
      <c r="B2613" s="5">
        <v>43853</v>
      </c>
      <c r="C2613" t="s">
        <v>12</v>
      </c>
      <c r="D2613">
        <v>948</v>
      </c>
      <c r="E2613">
        <v>296</v>
      </c>
      <c r="F2613" s="5">
        <v>43831</v>
      </c>
      <c r="G2613">
        <v>-948</v>
      </c>
      <c r="H2613" t="s">
        <v>57</v>
      </c>
    </row>
    <row r="2614" spans="1:8" x14ac:dyDescent="0.3">
      <c r="A2614">
        <v>223</v>
      </c>
      <c r="B2614" s="5">
        <v>43856</v>
      </c>
      <c r="C2614" t="s">
        <v>10</v>
      </c>
      <c r="D2614">
        <v>336</v>
      </c>
      <c r="E2614">
        <v>632</v>
      </c>
      <c r="F2614" s="5">
        <v>43831</v>
      </c>
      <c r="G2614">
        <v>336</v>
      </c>
      <c r="H2614" t="s">
        <v>57</v>
      </c>
    </row>
    <row r="2615" spans="1:8" x14ac:dyDescent="0.3">
      <c r="A2615">
        <v>223</v>
      </c>
      <c r="B2615" s="5">
        <v>43857</v>
      </c>
      <c r="C2615" t="s">
        <v>11</v>
      </c>
      <c r="D2615">
        <v>268</v>
      </c>
      <c r="E2615">
        <v>364</v>
      </c>
      <c r="F2615" s="5">
        <v>43831</v>
      </c>
      <c r="G2615">
        <v>-268</v>
      </c>
      <c r="H2615" t="s">
        <v>57</v>
      </c>
    </row>
    <row r="2616" spans="1:8" x14ac:dyDescent="0.3">
      <c r="A2616">
        <v>223</v>
      </c>
      <c r="B2616" s="5">
        <v>43861</v>
      </c>
      <c r="C2616" t="s">
        <v>10</v>
      </c>
      <c r="D2616">
        <v>32</v>
      </c>
      <c r="E2616">
        <v>396</v>
      </c>
      <c r="F2616" s="5">
        <v>43831</v>
      </c>
      <c r="G2616">
        <v>32</v>
      </c>
      <c r="H2616" t="s">
        <v>57</v>
      </c>
    </row>
    <row r="2617" spans="1:8" x14ac:dyDescent="0.3">
      <c r="A2617">
        <v>223</v>
      </c>
      <c r="B2617" s="5">
        <v>43863</v>
      </c>
      <c r="C2617" t="s">
        <v>11</v>
      </c>
      <c r="D2617">
        <v>956</v>
      </c>
      <c r="E2617">
        <v>-560</v>
      </c>
      <c r="F2617" s="5">
        <v>43862</v>
      </c>
      <c r="G2617">
        <v>-956</v>
      </c>
      <c r="H2617" t="s">
        <v>58</v>
      </c>
    </row>
    <row r="2618" spans="1:8" x14ac:dyDescent="0.3">
      <c r="A2618">
        <v>223</v>
      </c>
      <c r="B2618" s="5">
        <v>43873</v>
      </c>
      <c r="C2618" t="s">
        <v>12</v>
      </c>
      <c r="D2618">
        <v>540</v>
      </c>
      <c r="E2618">
        <v>-1100</v>
      </c>
      <c r="F2618" s="5">
        <v>43862</v>
      </c>
      <c r="G2618">
        <v>-540</v>
      </c>
      <c r="H2618" t="s">
        <v>58</v>
      </c>
    </row>
    <row r="2619" spans="1:8" x14ac:dyDescent="0.3">
      <c r="A2619">
        <v>223</v>
      </c>
      <c r="B2619" s="5">
        <v>43891</v>
      </c>
      <c r="C2619" t="s">
        <v>11</v>
      </c>
      <c r="D2619">
        <v>364</v>
      </c>
      <c r="E2619">
        <v>-1464</v>
      </c>
      <c r="F2619" s="5">
        <v>43891</v>
      </c>
      <c r="G2619">
        <v>-364</v>
      </c>
      <c r="H2619" t="s">
        <v>58</v>
      </c>
    </row>
    <row r="2620" spans="1:8" x14ac:dyDescent="0.3">
      <c r="A2620">
        <v>223</v>
      </c>
      <c r="B2620" s="5">
        <v>43895</v>
      </c>
      <c r="C2620" t="s">
        <v>12</v>
      </c>
      <c r="D2620">
        <v>822</v>
      </c>
      <c r="E2620">
        <v>-2286</v>
      </c>
      <c r="F2620" s="5">
        <v>43891</v>
      </c>
      <c r="G2620">
        <v>-822</v>
      </c>
      <c r="H2620" t="s">
        <v>58</v>
      </c>
    </row>
    <row r="2621" spans="1:8" x14ac:dyDescent="0.3">
      <c r="A2621">
        <v>223</v>
      </c>
      <c r="B2621" s="5">
        <v>43896</v>
      </c>
      <c r="C2621" t="s">
        <v>10</v>
      </c>
      <c r="D2621">
        <v>956</v>
      </c>
      <c r="E2621">
        <v>-1330</v>
      </c>
      <c r="F2621" s="5">
        <v>43891</v>
      </c>
      <c r="G2621">
        <v>956</v>
      </c>
      <c r="H2621" t="s">
        <v>58</v>
      </c>
    </row>
    <row r="2622" spans="1:8" x14ac:dyDescent="0.3">
      <c r="A2622">
        <v>223</v>
      </c>
      <c r="B2622" s="5">
        <v>43901</v>
      </c>
      <c r="C2622" t="s">
        <v>10</v>
      </c>
      <c r="D2622">
        <v>24</v>
      </c>
      <c r="E2622">
        <v>-1306</v>
      </c>
      <c r="F2622" s="5">
        <v>43891</v>
      </c>
      <c r="G2622">
        <v>24</v>
      </c>
      <c r="H2622" t="s">
        <v>58</v>
      </c>
    </row>
    <row r="2623" spans="1:8" x14ac:dyDescent="0.3">
      <c r="A2623">
        <v>223</v>
      </c>
      <c r="B2623" s="5">
        <v>43908</v>
      </c>
      <c r="C2623" t="s">
        <v>10</v>
      </c>
      <c r="D2623">
        <v>139</v>
      </c>
      <c r="E2623">
        <v>-1167</v>
      </c>
      <c r="F2623" s="5">
        <v>43891</v>
      </c>
      <c r="G2623">
        <v>139</v>
      </c>
      <c r="H2623" t="s">
        <v>58</v>
      </c>
    </row>
    <row r="2624" spans="1:8" x14ac:dyDescent="0.3">
      <c r="A2624">
        <v>223</v>
      </c>
      <c r="B2624" s="5">
        <v>43910</v>
      </c>
      <c r="C2624" t="s">
        <v>12</v>
      </c>
      <c r="D2624">
        <v>257</v>
      </c>
      <c r="E2624">
        <v>-1424</v>
      </c>
      <c r="F2624" s="5">
        <v>43891</v>
      </c>
      <c r="G2624">
        <v>-257</v>
      </c>
      <c r="H2624" t="s">
        <v>58</v>
      </c>
    </row>
    <row r="2625" spans="1:8" x14ac:dyDescent="0.3">
      <c r="A2625">
        <v>223</v>
      </c>
      <c r="B2625" s="5">
        <v>43916</v>
      </c>
      <c r="C2625" t="s">
        <v>12</v>
      </c>
      <c r="D2625">
        <v>846</v>
      </c>
      <c r="E2625">
        <v>-2270</v>
      </c>
      <c r="F2625" s="5">
        <v>43891</v>
      </c>
      <c r="G2625">
        <v>-846</v>
      </c>
      <c r="H2625" t="s">
        <v>58</v>
      </c>
    </row>
    <row r="2626" spans="1:8" x14ac:dyDescent="0.3">
      <c r="A2626">
        <v>223</v>
      </c>
      <c r="B2626" s="5">
        <v>43919</v>
      </c>
      <c r="C2626" t="s">
        <v>11</v>
      </c>
      <c r="D2626">
        <v>25</v>
      </c>
      <c r="E2626">
        <v>-2295</v>
      </c>
      <c r="F2626" s="5">
        <v>43891</v>
      </c>
      <c r="G2626">
        <v>-25</v>
      </c>
      <c r="H2626" t="s">
        <v>58</v>
      </c>
    </row>
    <row r="2627" spans="1:8" x14ac:dyDescent="0.3">
      <c r="A2627">
        <v>223</v>
      </c>
      <c r="B2627" s="5">
        <v>43919</v>
      </c>
      <c r="C2627" t="s">
        <v>10</v>
      </c>
      <c r="D2627">
        <v>572</v>
      </c>
      <c r="E2627">
        <v>-1723</v>
      </c>
      <c r="F2627" s="5">
        <v>43891</v>
      </c>
      <c r="G2627">
        <v>572</v>
      </c>
      <c r="H2627" t="s">
        <v>58</v>
      </c>
    </row>
    <row r="2628" spans="1:8" x14ac:dyDescent="0.3">
      <c r="A2628">
        <v>223</v>
      </c>
      <c r="B2628" s="5">
        <v>43927</v>
      </c>
      <c r="C2628" t="s">
        <v>10</v>
      </c>
      <c r="D2628">
        <v>490</v>
      </c>
      <c r="E2628">
        <v>-1233</v>
      </c>
      <c r="F2628" s="5">
        <v>43922</v>
      </c>
      <c r="G2628">
        <v>490</v>
      </c>
      <c r="H2628" t="s">
        <v>58</v>
      </c>
    </row>
    <row r="2629" spans="1:8" x14ac:dyDescent="0.3">
      <c r="A2629">
        <v>223</v>
      </c>
      <c r="B2629" s="5">
        <v>43927</v>
      </c>
      <c r="C2629" t="s">
        <v>11</v>
      </c>
      <c r="D2629">
        <v>870</v>
      </c>
      <c r="E2629">
        <v>-2103</v>
      </c>
      <c r="F2629" s="5">
        <v>43922</v>
      </c>
      <c r="G2629">
        <v>-870</v>
      </c>
      <c r="H2629" t="s">
        <v>58</v>
      </c>
    </row>
    <row r="2630" spans="1:8" x14ac:dyDescent="0.3">
      <c r="A2630">
        <v>223</v>
      </c>
      <c r="B2630" s="5">
        <v>43930</v>
      </c>
      <c r="C2630" t="s">
        <v>12</v>
      </c>
      <c r="D2630">
        <v>332</v>
      </c>
      <c r="E2630">
        <v>-2435</v>
      </c>
      <c r="F2630" s="5">
        <v>43922</v>
      </c>
      <c r="G2630">
        <v>-332</v>
      </c>
      <c r="H2630" t="s">
        <v>58</v>
      </c>
    </row>
    <row r="2631" spans="1:8" x14ac:dyDescent="0.3">
      <c r="A2631">
        <v>224</v>
      </c>
      <c r="B2631" s="5">
        <v>43851</v>
      </c>
      <c r="C2631" t="s">
        <v>10</v>
      </c>
      <c r="D2631">
        <v>487</v>
      </c>
      <c r="E2631">
        <v>487</v>
      </c>
      <c r="F2631" s="5">
        <v>43831</v>
      </c>
      <c r="G2631">
        <v>487</v>
      </c>
      <c r="H2631" t="s">
        <v>57</v>
      </c>
    </row>
    <row r="2632" spans="1:8" x14ac:dyDescent="0.3">
      <c r="A2632">
        <v>224</v>
      </c>
      <c r="B2632" s="5">
        <v>43874</v>
      </c>
      <c r="C2632" t="s">
        <v>11</v>
      </c>
      <c r="D2632">
        <v>491</v>
      </c>
      <c r="E2632">
        <v>-4</v>
      </c>
      <c r="F2632" s="5">
        <v>43862</v>
      </c>
      <c r="G2632">
        <v>-491</v>
      </c>
      <c r="H2632" t="s">
        <v>58</v>
      </c>
    </row>
    <row r="2633" spans="1:8" x14ac:dyDescent="0.3">
      <c r="A2633">
        <v>224</v>
      </c>
      <c r="B2633" s="5">
        <v>43875</v>
      </c>
      <c r="C2633" t="s">
        <v>11</v>
      </c>
      <c r="D2633">
        <v>765</v>
      </c>
      <c r="E2633">
        <v>-769</v>
      </c>
      <c r="F2633" s="5">
        <v>43862</v>
      </c>
      <c r="G2633">
        <v>-765</v>
      </c>
      <c r="H2633" t="s">
        <v>58</v>
      </c>
    </row>
    <row r="2634" spans="1:8" x14ac:dyDescent="0.3">
      <c r="A2634">
        <v>224</v>
      </c>
      <c r="B2634" s="5">
        <v>43881</v>
      </c>
      <c r="C2634" t="s">
        <v>10</v>
      </c>
      <c r="D2634">
        <v>899</v>
      </c>
      <c r="E2634">
        <v>130</v>
      </c>
      <c r="F2634" s="5">
        <v>43862</v>
      </c>
      <c r="G2634">
        <v>899</v>
      </c>
      <c r="H2634" t="s">
        <v>57</v>
      </c>
    </row>
    <row r="2635" spans="1:8" x14ac:dyDescent="0.3">
      <c r="A2635">
        <v>224</v>
      </c>
      <c r="B2635" s="5">
        <v>43883</v>
      </c>
      <c r="C2635" t="s">
        <v>11</v>
      </c>
      <c r="D2635">
        <v>336</v>
      </c>
      <c r="E2635">
        <v>-206</v>
      </c>
      <c r="F2635" s="5">
        <v>43862</v>
      </c>
      <c r="G2635">
        <v>-336</v>
      </c>
      <c r="H2635" t="s">
        <v>58</v>
      </c>
    </row>
    <row r="2636" spans="1:8" x14ac:dyDescent="0.3">
      <c r="A2636">
        <v>224</v>
      </c>
      <c r="B2636" s="5">
        <v>43902</v>
      </c>
      <c r="C2636" t="s">
        <v>12</v>
      </c>
      <c r="D2636">
        <v>907</v>
      </c>
      <c r="E2636">
        <v>-1113</v>
      </c>
      <c r="F2636" s="5">
        <v>43891</v>
      </c>
      <c r="G2636">
        <v>-907</v>
      </c>
      <c r="H2636" t="s">
        <v>58</v>
      </c>
    </row>
    <row r="2637" spans="1:8" x14ac:dyDescent="0.3">
      <c r="A2637">
        <v>224</v>
      </c>
      <c r="B2637" s="5">
        <v>43903</v>
      </c>
      <c r="C2637" t="s">
        <v>10</v>
      </c>
      <c r="D2637">
        <v>883</v>
      </c>
      <c r="E2637">
        <v>-230</v>
      </c>
      <c r="F2637" s="5">
        <v>43891</v>
      </c>
      <c r="G2637">
        <v>883</v>
      </c>
      <c r="H2637" t="s">
        <v>58</v>
      </c>
    </row>
    <row r="2638" spans="1:8" x14ac:dyDescent="0.3">
      <c r="A2638">
        <v>224</v>
      </c>
      <c r="B2638" s="5">
        <v>43916</v>
      </c>
      <c r="C2638" t="s">
        <v>10</v>
      </c>
      <c r="D2638">
        <v>486</v>
      </c>
      <c r="E2638">
        <v>256</v>
      </c>
      <c r="F2638" s="5">
        <v>43891</v>
      </c>
      <c r="G2638">
        <v>486</v>
      </c>
      <c r="H2638" t="s">
        <v>57</v>
      </c>
    </row>
    <row r="2639" spans="1:8" x14ac:dyDescent="0.3">
      <c r="A2639">
        <v>224</v>
      </c>
      <c r="B2639" s="5">
        <v>43918</v>
      </c>
      <c r="C2639" t="s">
        <v>11</v>
      </c>
      <c r="D2639">
        <v>910</v>
      </c>
      <c r="E2639">
        <v>-654</v>
      </c>
      <c r="F2639" s="5">
        <v>43891</v>
      </c>
      <c r="G2639">
        <v>-910</v>
      </c>
      <c r="H2639" t="s">
        <v>58</v>
      </c>
    </row>
    <row r="2640" spans="1:8" x14ac:dyDescent="0.3">
      <c r="A2640">
        <v>224</v>
      </c>
      <c r="B2640" s="5">
        <v>43921</v>
      </c>
      <c r="C2640" t="s">
        <v>12</v>
      </c>
      <c r="D2640">
        <v>927</v>
      </c>
      <c r="E2640">
        <v>-1581</v>
      </c>
      <c r="F2640" s="5">
        <v>43891</v>
      </c>
      <c r="G2640">
        <v>-927</v>
      </c>
      <c r="H2640" t="s">
        <v>58</v>
      </c>
    </row>
    <row r="2641" spans="1:8" x14ac:dyDescent="0.3">
      <c r="A2641">
        <v>224</v>
      </c>
      <c r="B2641" s="5">
        <v>43925</v>
      </c>
      <c r="C2641" t="s">
        <v>10</v>
      </c>
      <c r="D2641">
        <v>212</v>
      </c>
      <c r="E2641">
        <v>-1369</v>
      </c>
      <c r="F2641" s="5">
        <v>43922</v>
      </c>
      <c r="G2641">
        <v>212</v>
      </c>
      <c r="H2641" t="s">
        <v>58</v>
      </c>
    </row>
    <row r="2642" spans="1:8" x14ac:dyDescent="0.3">
      <c r="A2642">
        <v>225</v>
      </c>
      <c r="B2642" s="5">
        <v>43840</v>
      </c>
      <c r="C2642" t="s">
        <v>10</v>
      </c>
      <c r="D2642">
        <v>280</v>
      </c>
      <c r="E2642">
        <v>280</v>
      </c>
      <c r="F2642" s="5">
        <v>43831</v>
      </c>
      <c r="G2642">
        <v>280</v>
      </c>
      <c r="H2642" t="s">
        <v>57</v>
      </c>
    </row>
    <row r="2643" spans="1:8" x14ac:dyDescent="0.3">
      <c r="A2643">
        <v>225</v>
      </c>
      <c r="B2643" s="5">
        <v>43874</v>
      </c>
      <c r="C2643" t="s">
        <v>10</v>
      </c>
      <c r="D2643">
        <v>489</v>
      </c>
      <c r="E2643">
        <v>769</v>
      </c>
      <c r="F2643" s="5">
        <v>43862</v>
      </c>
      <c r="G2643">
        <v>489</v>
      </c>
      <c r="H2643" t="s">
        <v>57</v>
      </c>
    </row>
    <row r="2644" spans="1:8" x14ac:dyDescent="0.3">
      <c r="A2644">
        <v>225</v>
      </c>
      <c r="B2644" s="5">
        <v>43890</v>
      </c>
      <c r="C2644" t="s">
        <v>12</v>
      </c>
      <c r="D2644">
        <v>858</v>
      </c>
      <c r="E2644">
        <v>-89</v>
      </c>
      <c r="F2644" s="5">
        <v>43862</v>
      </c>
      <c r="G2644">
        <v>-858</v>
      </c>
      <c r="H2644" t="s">
        <v>58</v>
      </c>
    </row>
    <row r="2645" spans="1:8" x14ac:dyDescent="0.3">
      <c r="A2645">
        <v>225</v>
      </c>
      <c r="B2645" s="5">
        <v>43901</v>
      </c>
      <c r="C2645" t="s">
        <v>10</v>
      </c>
      <c r="D2645">
        <v>567</v>
      </c>
      <c r="E2645">
        <v>478</v>
      </c>
      <c r="F2645" s="5">
        <v>43891</v>
      </c>
      <c r="G2645">
        <v>567</v>
      </c>
      <c r="H2645" t="s">
        <v>57</v>
      </c>
    </row>
    <row r="2646" spans="1:8" x14ac:dyDescent="0.3">
      <c r="A2646">
        <v>225</v>
      </c>
      <c r="B2646" s="5">
        <v>43916</v>
      </c>
      <c r="C2646" t="s">
        <v>12</v>
      </c>
      <c r="D2646">
        <v>75</v>
      </c>
      <c r="E2646">
        <v>403</v>
      </c>
      <c r="F2646" s="5">
        <v>43891</v>
      </c>
      <c r="G2646">
        <v>-75</v>
      </c>
      <c r="H2646" t="s">
        <v>57</v>
      </c>
    </row>
    <row r="2647" spans="1:8" x14ac:dyDescent="0.3">
      <c r="A2647">
        <v>225</v>
      </c>
      <c r="B2647" s="5">
        <v>43918</v>
      </c>
      <c r="C2647" t="s">
        <v>11</v>
      </c>
      <c r="D2647">
        <v>106</v>
      </c>
      <c r="E2647">
        <v>297</v>
      </c>
      <c r="F2647" s="5">
        <v>43891</v>
      </c>
      <c r="G2647">
        <v>-106</v>
      </c>
      <c r="H2647" t="s">
        <v>57</v>
      </c>
    </row>
    <row r="2648" spans="1:8" x14ac:dyDescent="0.3">
      <c r="A2648">
        <v>226</v>
      </c>
      <c r="B2648" s="5">
        <v>43841</v>
      </c>
      <c r="C2648" t="s">
        <v>10</v>
      </c>
      <c r="D2648">
        <v>854</v>
      </c>
      <c r="E2648">
        <v>854</v>
      </c>
      <c r="F2648" s="5">
        <v>43831</v>
      </c>
      <c r="G2648">
        <v>854</v>
      </c>
      <c r="H2648" t="s">
        <v>57</v>
      </c>
    </row>
    <row r="2649" spans="1:8" x14ac:dyDescent="0.3">
      <c r="A2649">
        <v>226</v>
      </c>
      <c r="B2649" s="5">
        <v>43847</v>
      </c>
      <c r="C2649" t="s">
        <v>12</v>
      </c>
      <c r="D2649">
        <v>762</v>
      </c>
      <c r="E2649">
        <v>92</v>
      </c>
      <c r="F2649" s="5">
        <v>43831</v>
      </c>
      <c r="G2649">
        <v>-762</v>
      </c>
      <c r="H2649" t="s">
        <v>57</v>
      </c>
    </row>
    <row r="2650" spans="1:8" x14ac:dyDescent="0.3">
      <c r="A2650">
        <v>226</v>
      </c>
      <c r="B2650" s="5">
        <v>43849</v>
      </c>
      <c r="C2650" t="s">
        <v>11</v>
      </c>
      <c r="D2650">
        <v>930</v>
      </c>
      <c r="E2650">
        <v>-838</v>
      </c>
      <c r="F2650" s="5">
        <v>43831</v>
      </c>
      <c r="G2650">
        <v>-930</v>
      </c>
      <c r="H2650" t="s">
        <v>58</v>
      </c>
    </row>
    <row r="2651" spans="1:8" x14ac:dyDescent="0.3">
      <c r="A2651">
        <v>226</v>
      </c>
      <c r="B2651" s="5">
        <v>43853</v>
      </c>
      <c r="C2651" t="s">
        <v>10</v>
      </c>
      <c r="D2651">
        <v>529</v>
      </c>
      <c r="E2651">
        <v>-309</v>
      </c>
      <c r="F2651" s="5">
        <v>43831</v>
      </c>
      <c r="G2651">
        <v>529</v>
      </c>
      <c r="H2651" t="s">
        <v>58</v>
      </c>
    </row>
    <row r="2652" spans="1:8" x14ac:dyDescent="0.3">
      <c r="A2652">
        <v>226</v>
      </c>
      <c r="B2652" s="5">
        <v>43859</v>
      </c>
      <c r="C2652" t="s">
        <v>12</v>
      </c>
      <c r="D2652">
        <v>671</v>
      </c>
      <c r="E2652">
        <v>-980</v>
      </c>
      <c r="F2652" s="5">
        <v>43831</v>
      </c>
      <c r="G2652">
        <v>-671</v>
      </c>
      <c r="H2652" t="s">
        <v>58</v>
      </c>
    </row>
    <row r="2653" spans="1:8" x14ac:dyDescent="0.3">
      <c r="A2653">
        <v>226</v>
      </c>
      <c r="B2653" s="5">
        <v>43862</v>
      </c>
      <c r="C2653" t="s">
        <v>10</v>
      </c>
      <c r="D2653">
        <v>485</v>
      </c>
      <c r="E2653">
        <v>-495</v>
      </c>
      <c r="F2653" s="5">
        <v>43862</v>
      </c>
      <c r="G2653">
        <v>485</v>
      </c>
      <c r="H2653" t="s">
        <v>58</v>
      </c>
    </row>
    <row r="2654" spans="1:8" x14ac:dyDescent="0.3">
      <c r="A2654">
        <v>226</v>
      </c>
      <c r="B2654" s="5">
        <v>43867</v>
      </c>
      <c r="C2654" t="s">
        <v>10</v>
      </c>
      <c r="D2654">
        <v>427</v>
      </c>
      <c r="E2654">
        <v>-68</v>
      </c>
      <c r="F2654" s="5">
        <v>43862</v>
      </c>
      <c r="G2654">
        <v>427</v>
      </c>
      <c r="H2654" t="s">
        <v>58</v>
      </c>
    </row>
    <row r="2655" spans="1:8" x14ac:dyDescent="0.3">
      <c r="A2655">
        <v>226</v>
      </c>
      <c r="B2655" s="5">
        <v>43873</v>
      </c>
      <c r="C2655" t="s">
        <v>11</v>
      </c>
      <c r="D2655">
        <v>47</v>
      </c>
      <c r="E2655">
        <v>-115</v>
      </c>
      <c r="F2655" s="5">
        <v>43862</v>
      </c>
      <c r="G2655">
        <v>-47</v>
      </c>
      <c r="H2655" t="s">
        <v>58</v>
      </c>
    </row>
    <row r="2656" spans="1:8" x14ac:dyDescent="0.3">
      <c r="A2656">
        <v>226</v>
      </c>
      <c r="B2656" s="5">
        <v>43873</v>
      </c>
      <c r="C2656" t="s">
        <v>10</v>
      </c>
      <c r="D2656">
        <v>262</v>
      </c>
      <c r="E2656">
        <v>147</v>
      </c>
      <c r="F2656" s="5">
        <v>43862</v>
      </c>
      <c r="G2656">
        <v>262</v>
      </c>
      <c r="H2656" t="s">
        <v>57</v>
      </c>
    </row>
    <row r="2657" spans="1:8" x14ac:dyDescent="0.3">
      <c r="A2657">
        <v>226</v>
      </c>
      <c r="B2657" s="5">
        <v>43873</v>
      </c>
      <c r="C2657" t="s">
        <v>11</v>
      </c>
      <c r="D2657">
        <v>757</v>
      </c>
      <c r="E2657">
        <v>-610</v>
      </c>
      <c r="F2657" s="5">
        <v>43862</v>
      </c>
      <c r="G2657">
        <v>-757</v>
      </c>
      <c r="H2657" t="s">
        <v>58</v>
      </c>
    </row>
    <row r="2658" spans="1:8" x14ac:dyDescent="0.3">
      <c r="A2658">
        <v>226</v>
      </c>
      <c r="B2658" s="5">
        <v>43873</v>
      </c>
      <c r="C2658" t="s">
        <v>11</v>
      </c>
      <c r="D2658">
        <v>200</v>
      </c>
      <c r="E2658">
        <v>-810</v>
      </c>
      <c r="F2658" s="5">
        <v>43862</v>
      </c>
      <c r="G2658">
        <v>-200</v>
      </c>
      <c r="H2658" t="s">
        <v>58</v>
      </c>
    </row>
    <row r="2659" spans="1:8" x14ac:dyDescent="0.3">
      <c r="A2659">
        <v>226</v>
      </c>
      <c r="B2659" s="5">
        <v>43886</v>
      </c>
      <c r="C2659" t="s">
        <v>10</v>
      </c>
      <c r="D2659">
        <v>560</v>
      </c>
      <c r="E2659">
        <v>-250</v>
      </c>
      <c r="F2659" s="5">
        <v>43862</v>
      </c>
      <c r="G2659">
        <v>560</v>
      </c>
      <c r="H2659" t="s">
        <v>58</v>
      </c>
    </row>
    <row r="2660" spans="1:8" x14ac:dyDescent="0.3">
      <c r="A2660">
        <v>226</v>
      </c>
      <c r="B2660" s="5">
        <v>43887</v>
      </c>
      <c r="C2660" t="s">
        <v>11</v>
      </c>
      <c r="D2660">
        <v>336</v>
      </c>
      <c r="E2660">
        <v>-586</v>
      </c>
      <c r="F2660" s="5">
        <v>43862</v>
      </c>
      <c r="G2660">
        <v>-336</v>
      </c>
      <c r="H2660" t="s">
        <v>58</v>
      </c>
    </row>
    <row r="2661" spans="1:8" x14ac:dyDescent="0.3">
      <c r="A2661">
        <v>226</v>
      </c>
      <c r="B2661" s="5">
        <v>43904</v>
      </c>
      <c r="C2661" t="s">
        <v>12</v>
      </c>
      <c r="D2661">
        <v>479</v>
      </c>
      <c r="E2661">
        <v>-1065</v>
      </c>
      <c r="F2661" s="5">
        <v>43891</v>
      </c>
      <c r="G2661">
        <v>-479</v>
      </c>
      <c r="H2661" t="s">
        <v>58</v>
      </c>
    </row>
    <row r="2662" spans="1:8" x14ac:dyDescent="0.3">
      <c r="A2662">
        <v>226</v>
      </c>
      <c r="B2662" s="5">
        <v>43908</v>
      </c>
      <c r="C2662" t="s">
        <v>12</v>
      </c>
      <c r="D2662">
        <v>320</v>
      </c>
      <c r="E2662">
        <v>-1385</v>
      </c>
      <c r="F2662" s="5">
        <v>43891</v>
      </c>
      <c r="G2662">
        <v>-320</v>
      </c>
      <c r="H2662" t="s">
        <v>58</v>
      </c>
    </row>
    <row r="2663" spans="1:8" x14ac:dyDescent="0.3">
      <c r="A2663">
        <v>226</v>
      </c>
      <c r="B2663" s="5">
        <v>43908</v>
      </c>
      <c r="C2663" t="s">
        <v>11</v>
      </c>
      <c r="D2663">
        <v>946</v>
      </c>
      <c r="E2663">
        <v>-2331</v>
      </c>
      <c r="F2663" s="5">
        <v>43891</v>
      </c>
      <c r="G2663">
        <v>-946</v>
      </c>
      <c r="H2663" t="s">
        <v>58</v>
      </c>
    </row>
    <row r="2664" spans="1:8" x14ac:dyDescent="0.3">
      <c r="A2664">
        <v>226</v>
      </c>
      <c r="B2664" s="5">
        <v>43915</v>
      </c>
      <c r="C2664" t="s">
        <v>10</v>
      </c>
      <c r="D2664">
        <v>429</v>
      </c>
      <c r="E2664">
        <v>-1902</v>
      </c>
      <c r="F2664" s="5">
        <v>43891</v>
      </c>
      <c r="G2664">
        <v>429</v>
      </c>
      <c r="H2664" t="s">
        <v>58</v>
      </c>
    </row>
    <row r="2665" spans="1:8" x14ac:dyDescent="0.3">
      <c r="A2665">
        <v>226</v>
      </c>
      <c r="B2665" s="5">
        <v>43920</v>
      </c>
      <c r="C2665" t="s">
        <v>12</v>
      </c>
      <c r="D2665">
        <v>231</v>
      </c>
      <c r="E2665">
        <v>-2133</v>
      </c>
      <c r="F2665" s="5">
        <v>43891</v>
      </c>
      <c r="G2665">
        <v>-231</v>
      </c>
      <c r="H2665" t="s">
        <v>58</v>
      </c>
    </row>
    <row r="2666" spans="1:8" x14ac:dyDescent="0.3">
      <c r="A2666">
        <v>226</v>
      </c>
      <c r="B2666" s="5">
        <v>43921</v>
      </c>
      <c r="C2666" t="s">
        <v>10</v>
      </c>
      <c r="D2666">
        <v>278</v>
      </c>
      <c r="E2666">
        <v>-1855</v>
      </c>
      <c r="F2666" s="5">
        <v>43891</v>
      </c>
      <c r="G2666">
        <v>278</v>
      </c>
      <c r="H2666" t="s">
        <v>58</v>
      </c>
    </row>
    <row r="2667" spans="1:8" x14ac:dyDescent="0.3">
      <c r="A2667">
        <v>226</v>
      </c>
      <c r="B2667" s="5">
        <v>43922</v>
      </c>
      <c r="C2667" t="s">
        <v>12</v>
      </c>
      <c r="D2667">
        <v>356</v>
      </c>
      <c r="E2667">
        <v>-2211</v>
      </c>
      <c r="F2667" s="5">
        <v>43922</v>
      </c>
      <c r="G2667">
        <v>-356</v>
      </c>
      <c r="H2667" t="s">
        <v>58</v>
      </c>
    </row>
    <row r="2668" spans="1:8" x14ac:dyDescent="0.3">
      <c r="A2668">
        <v>226</v>
      </c>
      <c r="B2668" s="5">
        <v>43924</v>
      </c>
      <c r="C2668" t="s">
        <v>11</v>
      </c>
      <c r="D2668">
        <v>73</v>
      </c>
      <c r="E2668">
        <v>-2284</v>
      </c>
      <c r="F2668" s="5">
        <v>43922</v>
      </c>
      <c r="G2668">
        <v>-73</v>
      </c>
      <c r="H2668" t="s">
        <v>58</v>
      </c>
    </row>
    <row r="2669" spans="1:8" x14ac:dyDescent="0.3">
      <c r="A2669">
        <v>226</v>
      </c>
      <c r="B2669" s="5">
        <v>43928</v>
      </c>
      <c r="C2669" t="s">
        <v>10</v>
      </c>
      <c r="D2669">
        <v>854</v>
      </c>
      <c r="E2669">
        <v>-1430</v>
      </c>
      <c r="F2669" s="5">
        <v>43922</v>
      </c>
      <c r="G2669">
        <v>854</v>
      </c>
      <c r="H2669" t="s">
        <v>58</v>
      </c>
    </row>
    <row r="2670" spans="1:8" x14ac:dyDescent="0.3">
      <c r="A2670">
        <v>227</v>
      </c>
      <c r="B2670" s="5">
        <v>43837</v>
      </c>
      <c r="C2670" t="s">
        <v>10</v>
      </c>
      <c r="D2670">
        <v>468</v>
      </c>
      <c r="E2670">
        <v>468</v>
      </c>
      <c r="F2670" s="5">
        <v>43831</v>
      </c>
      <c r="G2670">
        <v>468</v>
      </c>
      <c r="H2670" t="s">
        <v>57</v>
      </c>
    </row>
    <row r="2671" spans="1:8" x14ac:dyDescent="0.3">
      <c r="A2671">
        <v>227</v>
      </c>
      <c r="B2671" s="5">
        <v>43842</v>
      </c>
      <c r="C2671" t="s">
        <v>12</v>
      </c>
      <c r="D2671">
        <v>819</v>
      </c>
      <c r="E2671">
        <v>-351</v>
      </c>
      <c r="F2671" s="5">
        <v>43831</v>
      </c>
      <c r="G2671">
        <v>-819</v>
      </c>
      <c r="H2671" t="s">
        <v>58</v>
      </c>
    </row>
    <row r="2672" spans="1:8" x14ac:dyDescent="0.3">
      <c r="A2672">
        <v>227</v>
      </c>
      <c r="B2672" s="5">
        <v>43854</v>
      </c>
      <c r="C2672" t="s">
        <v>11</v>
      </c>
      <c r="D2672">
        <v>271</v>
      </c>
      <c r="E2672">
        <v>-622</v>
      </c>
      <c r="F2672" s="5">
        <v>43831</v>
      </c>
      <c r="G2672">
        <v>-271</v>
      </c>
      <c r="H2672" t="s">
        <v>58</v>
      </c>
    </row>
    <row r="2673" spans="1:8" x14ac:dyDescent="0.3">
      <c r="A2673">
        <v>227</v>
      </c>
      <c r="B2673" s="5">
        <v>43864</v>
      </c>
      <c r="C2673" t="s">
        <v>12</v>
      </c>
      <c r="D2673">
        <v>872</v>
      </c>
      <c r="E2673">
        <v>-1494</v>
      </c>
      <c r="F2673" s="5">
        <v>43862</v>
      </c>
      <c r="G2673">
        <v>-872</v>
      </c>
      <c r="H2673" t="s">
        <v>58</v>
      </c>
    </row>
    <row r="2674" spans="1:8" x14ac:dyDescent="0.3">
      <c r="A2674">
        <v>227</v>
      </c>
      <c r="B2674" s="5">
        <v>43885</v>
      </c>
      <c r="C2674" t="s">
        <v>10</v>
      </c>
      <c r="D2674">
        <v>449</v>
      </c>
      <c r="E2674">
        <v>-1045</v>
      </c>
      <c r="F2674" s="5">
        <v>43862</v>
      </c>
      <c r="G2674">
        <v>449</v>
      </c>
      <c r="H2674" t="s">
        <v>58</v>
      </c>
    </row>
    <row r="2675" spans="1:8" x14ac:dyDescent="0.3">
      <c r="A2675">
        <v>227</v>
      </c>
      <c r="B2675" s="5">
        <v>43891</v>
      </c>
      <c r="C2675" t="s">
        <v>11</v>
      </c>
      <c r="D2675">
        <v>537</v>
      </c>
      <c r="E2675">
        <v>-1582</v>
      </c>
      <c r="F2675" s="5">
        <v>43891</v>
      </c>
      <c r="G2675">
        <v>-537</v>
      </c>
      <c r="H2675" t="s">
        <v>58</v>
      </c>
    </row>
    <row r="2676" spans="1:8" x14ac:dyDescent="0.3">
      <c r="A2676">
        <v>227</v>
      </c>
      <c r="B2676" s="5">
        <v>43900</v>
      </c>
      <c r="C2676" t="s">
        <v>10</v>
      </c>
      <c r="D2676">
        <v>393</v>
      </c>
      <c r="E2676">
        <v>-1189</v>
      </c>
      <c r="F2676" s="5">
        <v>43891</v>
      </c>
      <c r="G2676">
        <v>393</v>
      </c>
      <c r="H2676" t="s">
        <v>58</v>
      </c>
    </row>
    <row r="2677" spans="1:8" x14ac:dyDescent="0.3">
      <c r="A2677">
        <v>227</v>
      </c>
      <c r="B2677" s="5">
        <v>43906</v>
      </c>
      <c r="C2677" t="s">
        <v>11</v>
      </c>
      <c r="D2677">
        <v>559</v>
      </c>
      <c r="E2677">
        <v>-1748</v>
      </c>
      <c r="F2677" s="5">
        <v>43891</v>
      </c>
      <c r="G2677">
        <v>-559</v>
      </c>
      <c r="H2677" t="s">
        <v>58</v>
      </c>
    </row>
    <row r="2678" spans="1:8" x14ac:dyDescent="0.3">
      <c r="A2678">
        <v>227</v>
      </c>
      <c r="B2678" s="5">
        <v>43911</v>
      </c>
      <c r="C2678" t="s">
        <v>12</v>
      </c>
      <c r="D2678">
        <v>106</v>
      </c>
      <c r="E2678">
        <v>-1854</v>
      </c>
      <c r="F2678" s="5">
        <v>43891</v>
      </c>
      <c r="G2678">
        <v>-106</v>
      </c>
      <c r="H2678" t="s">
        <v>58</v>
      </c>
    </row>
    <row r="2679" spans="1:8" x14ac:dyDescent="0.3">
      <c r="A2679">
        <v>227</v>
      </c>
      <c r="B2679" s="5">
        <v>43912</v>
      </c>
      <c r="C2679" t="s">
        <v>12</v>
      </c>
      <c r="D2679">
        <v>482</v>
      </c>
      <c r="E2679">
        <v>-2336</v>
      </c>
      <c r="F2679" s="5">
        <v>43891</v>
      </c>
      <c r="G2679">
        <v>-482</v>
      </c>
      <c r="H2679" t="s">
        <v>58</v>
      </c>
    </row>
    <row r="2680" spans="1:8" x14ac:dyDescent="0.3">
      <c r="A2680">
        <v>227</v>
      </c>
      <c r="B2680" s="5">
        <v>43925</v>
      </c>
      <c r="C2680" t="s">
        <v>12</v>
      </c>
      <c r="D2680">
        <v>825</v>
      </c>
      <c r="E2680">
        <v>-3161</v>
      </c>
      <c r="F2680" s="5">
        <v>43922</v>
      </c>
      <c r="G2680">
        <v>-825</v>
      </c>
      <c r="H2680" t="s">
        <v>58</v>
      </c>
    </row>
    <row r="2681" spans="1:8" x14ac:dyDescent="0.3">
      <c r="A2681">
        <v>228</v>
      </c>
      <c r="B2681" s="5">
        <v>43840</v>
      </c>
      <c r="C2681" t="s">
        <v>10</v>
      </c>
      <c r="D2681">
        <v>294</v>
      </c>
      <c r="E2681">
        <v>294</v>
      </c>
      <c r="F2681" s="5">
        <v>43831</v>
      </c>
      <c r="G2681">
        <v>294</v>
      </c>
      <c r="H2681" t="s">
        <v>57</v>
      </c>
    </row>
    <row r="2682" spans="1:8" x14ac:dyDescent="0.3">
      <c r="A2682">
        <v>228</v>
      </c>
      <c r="B2682" s="5">
        <v>43888</v>
      </c>
      <c r="C2682" t="s">
        <v>12</v>
      </c>
      <c r="D2682">
        <v>547</v>
      </c>
      <c r="E2682">
        <v>-253</v>
      </c>
      <c r="F2682" s="5">
        <v>43862</v>
      </c>
      <c r="G2682">
        <v>-547</v>
      </c>
      <c r="H2682" t="s">
        <v>58</v>
      </c>
    </row>
    <row r="2683" spans="1:8" x14ac:dyDescent="0.3">
      <c r="A2683">
        <v>228</v>
      </c>
      <c r="B2683" s="5">
        <v>43918</v>
      </c>
      <c r="C2683" t="s">
        <v>11</v>
      </c>
      <c r="D2683">
        <v>760</v>
      </c>
      <c r="E2683">
        <v>-1013</v>
      </c>
      <c r="F2683" s="5">
        <v>43891</v>
      </c>
      <c r="G2683">
        <v>-760</v>
      </c>
      <c r="H2683" t="s">
        <v>58</v>
      </c>
    </row>
    <row r="2684" spans="1:8" x14ac:dyDescent="0.3">
      <c r="A2684">
        <v>228</v>
      </c>
      <c r="B2684" s="5">
        <v>43920</v>
      </c>
      <c r="C2684" t="s">
        <v>11</v>
      </c>
      <c r="D2684">
        <v>711</v>
      </c>
      <c r="E2684">
        <v>-1724</v>
      </c>
      <c r="F2684" s="5">
        <v>43891</v>
      </c>
      <c r="G2684">
        <v>-711</v>
      </c>
      <c r="H2684" t="s">
        <v>58</v>
      </c>
    </row>
    <row r="2685" spans="1:8" x14ac:dyDescent="0.3">
      <c r="A2685">
        <v>229</v>
      </c>
      <c r="B2685" s="5">
        <v>43853</v>
      </c>
      <c r="C2685" t="s">
        <v>10</v>
      </c>
      <c r="D2685">
        <v>180</v>
      </c>
      <c r="E2685">
        <v>180</v>
      </c>
      <c r="F2685" s="5">
        <v>43831</v>
      </c>
      <c r="G2685">
        <v>180</v>
      </c>
      <c r="H2685" t="s">
        <v>57</v>
      </c>
    </row>
    <row r="2686" spans="1:8" x14ac:dyDescent="0.3">
      <c r="A2686">
        <v>229</v>
      </c>
      <c r="B2686" s="5">
        <v>43860</v>
      </c>
      <c r="C2686" t="s">
        <v>10</v>
      </c>
      <c r="D2686">
        <v>441</v>
      </c>
      <c r="E2686">
        <v>621</v>
      </c>
      <c r="F2686" s="5">
        <v>43831</v>
      </c>
      <c r="G2686">
        <v>441</v>
      </c>
      <c r="H2686" t="s">
        <v>57</v>
      </c>
    </row>
    <row r="2687" spans="1:8" x14ac:dyDescent="0.3">
      <c r="A2687">
        <v>229</v>
      </c>
      <c r="B2687" s="5">
        <v>43880</v>
      </c>
      <c r="C2687" t="s">
        <v>10</v>
      </c>
      <c r="D2687">
        <v>997</v>
      </c>
      <c r="E2687">
        <v>1618</v>
      </c>
      <c r="F2687" s="5">
        <v>43862</v>
      </c>
      <c r="G2687">
        <v>997</v>
      </c>
      <c r="H2687" t="s">
        <v>57</v>
      </c>
    </row>
    <row r="2688" spans="1:8" x14ac:dyDescent="0.3">
      <c r="A2688">
        <v>229</v>
      </c>
      <c r="B2688" s="5">
        <v>43906</v>
      </c>
      <c r="C2688" t="s">
        <v>11</v>
      </c>
      <c r="D2688">
        <v>915</v>
      </c>
      <c r="E2688">
        <v>703</v>
      </c>
      <c r="F2688" s="5">
        <v>43891</v>
      </c>
      <c r="G2688">
        <v>-915</v>
      </c>
      <c r="H2688" t="s">
        <v>57</v>
      </c>
    </row>
    <row r="2689" spans="1:8" x14ac:dyDescent="0.3">
      <c r="A2689">
        <v>230</v>
      </c>
      <c r="B2689" s="5">
        <v>43851</v>
      </c>
      <c r="C2689" t="s">
        <v>10</v>
      </c>
      <c r="D2689">
        <v>675</v>
      </c>
      <c r="E2689">
        <v>675</v>
      </c>
      <c r="F2689" s="5">
        <v>43831</v>
      </c>
      <c r="G2689">
        <v>675</v>
      </c>
      <c r="H2689" t="s">
        <v>57</v>
      </c>
    </row>
    <row r="2690" spans="1:8" x14ac:dyDescent="0.3">
      <c r="A2690">
        <v>230</v>
      </c>
      <c r="B2690" s="5">
        <v>43858</v>
      </c>
      <c r="C2690" t="s">
        <v>12</v>
      </c>
      <c r="D2690">
        <v>176</v>
      </c>
      <c r="E2690">
        <v>499</v>
      </c>
      <c r="F2690" s="5">
        <v>43831</v>
      </c>
      <c r="G2690">
        <v>-176</v>
      </c>
      <c r="H2690" t="s">
        <v>57</v>
      </c>
    </row>
    <row r="2691" spans="1:8" x14ac:dyDescent="0.3">
      <c r="A2691">
        <v>230</v>
      </c>
      <c r="B2691" s="5">
        <v>43869</v>
      </c>
      <c r="C2691" t="s">
        <v>12</v>
      </c>
      <c r="D2691">
        <v>108</v>
      </c>
      <c r="E2691">
        <v>391</v>
      </c>
      <c r="F2691" s="5">
        <v>43862</v>
      </c>
      <c r="G2691">
        <v>-108</v>
      </c>
      <c r="H2691" t="s">
        <v>57</v>
      </c>
    </row>
    <row r="2692" spans="1:8" x14ac:dyDescent="0.3">
      <c r="A2692">
        <v>230</v>
      </c>
      <c r="B2692" s="5">
        <v>43870</v>
      </c>
      <c r="C2692" t="s">
        <v>10</v>
      </c>
      <c r="D2692">
        <v>959</v>
      </c>
      <c r="E2692">
        <v>1350</v>
      </c>
      <c r="F2692" s="5">
        <v>43862</v>
      </c>
      <c r="G2692">
        <v>959</v>
      </c>
      <c r="H2692" t="s">
        <v>57</v>
      </c>
    </row>
    <row r="2693" spans="1:8" x14ac:dyDescent="0.3">
      <c r="A2693">
        <v>230</v>
      </c>
      <c r="B2693" s="5">
        <v>43886</v>
      </c>
      <c r="C2693" t="s">
        <v>11</v>
      </c>
      <c r="D2693">
        <v>360</v>
      </c>
      <c r="E2693">
        <v>990</v>
      </c>
      <c r="F2693" s="5">
        <v>43862</v>
      </c>
      <c r="G2693">
        <v>-360</v>
      </c>
      <c r="H2693" t="s">
        <v>57</v>
      </c>
    </row>
    <row r="2694" spans="1:8" x14ac:dyDescent="0.3">
      <c r="A2694">
        <v>230</v>
      </c>
      <c r="B2694" s="5">
        <v>43892</v>
      </c>
      <c r="C2694" t="s">
        <v>10</v>
      </c>
      <c r="D2694">
        <v>35</v>
      </c>
      <c r="E2694">
        <v>1025</v>
      </c>
      <c r="F2694" s="5">
        <v>43891</v>
      </c>
      <c r="G2694">
        <v>35</v>
      </c>
      <c r="H2694" t="s">
        <v>57</v>
      </c>
    </row>
    <row r="2695" spans="1:8" x14ac:dyDescent="0.3">
      <c r="A2695">
        <v>230</v>
      </c>
      <c r="B2695" s="5">
        <v>43909</v>
      </c>
      <c r="C2695" t="s">
        <v>10</v>
      </c>
      <c r="D2695">
        <v>527</v>
      </c>
      <c r="E2695">
        <v>1552</v>
      </c>
      <c r="F2695" s="5">
        <v>43891</v>
      </c>
      <c r="G2695">
        <v>527</v>
      </c>
      <c r="H2695" t="s">
        <v>57</v>
      </c>
    </row>
    <row r="2696" spans="1:8" x14ac:dyDescent="0.3">
      <c r="A2696">
        <v>230</v>
      </c>
      <c r="B2696" s="5">
        <v>43914</v>
      </c>
      <c r="C2696" t="s">
        <v>10</v>
      </c>
      <c r="D2696">
        <v>876</v>
      </c>
      <c r="E2696">
        <v>2428</v>
      </c>
      <c r="F2696" s="5">
        <v>43891</v>
      </c>
      <c r="G2696">
        <v>876</v>
      </c>
      <c r="H2696" t="s">
        <v>57</v>
      </c>
    </row>
    <row r="2697" spans="1:8" x14ac:dyDescent="0.3">
      <c r="A2697">
        <v>230</v>
      </c>
      <c r="B2697" s="5">
        <v>43927</v>
      </c>
      <c r="C2697" t="s">
        <v>12</v>
      </c>
      <c r="D2697">
        <v>72</v>
      </c>
      <c r="E2697">
        <v>2356</v>
      </c>
      <c r="F2697" s="5">
        <v>43922</v>
      </c>
      <c r="G2697">
        <v>-72</v>
      </c>
      <c r="H2697" t="s">
        <v>57</v>
      </c>
    </row>
    <row r="2698" spans="1:8" x14ac:dyDescent="0.3">
      <c r="A2698">
        <v>231</v>
      </c>
      <c r="B2698" s="5">
        <v>43850</v>
      </c>
      <c r="C2698" t="s">
        <v>10</v>
      </c>
      <c r="D2698">
        <v>122</v>
      </c>
      <c r="E2698">
        <v>122</v>
      </c>
      <c r="F2698" s="5">
        <v>43831</v>
      </c>
      <c r="G2698">
        <v>122</v>
      </c>
      <c r="H2698" t="s">
        <v>57</v>
      </c>
    </row>
    <row r="2699" spans="1:8" x14ac:dyDescent="0.3">
      <c r="A2699">
        <v>231</v>
      </c>
      <c r="B2699" s="5">
        <v>43858</v>
      </c>
      <c r="C2699" t="s">
        <v>12</v>
      </c>
      <c r="D2699">
        <v>120</v>
      </c>
      <c r="E2699">
        <v>2</v>
      </c>
      <c r="F2699" s="5">
        <v>43831</v>
      </c>
      <c r="G2699">
        <v>-120</v>
      </c>
      <c r="H2699" t="s">
        <v>57</v>
      </c>
    </row>
    <row r="2700" spans="1:8" x14ac:dyDescent="0.3">
      <c r="A2700">
        <v>231</v>
      </c>
      <c r="B2700" s="5">
        <v>43860</v>
      </c>
      <c r="C2700" t="s">
        <v>11</v>
      </c>
      <c r="D2700">
        <v>238</v>
      </c>
      <c r="E2700">
        <v>-236</v>
      </c>
      <c r="F2700" s="5">
        <v>43831</v>
      </c>
      <c r="G2700">
        <v>-238</v>
      </c>
      <c r="H2700" t="s">
        <v>58</v>
      </c>
    </row>
    <row r="2701" spans="1:8" x14ac:dyDescent="0.3">
      <c r="A2701">
        <v>231</v>
      </c>
      <c r="B2701" s="5">
        <v>43868</v>
      </c>
      <c r="C2701" t="s">
        <v>12</v>
      </c>
      <c r="D2701">
        <v>64</v>
      </c>
      <c r="E2701">
        <v>-300</v>
      </c>
      <c r="F2701" s="5">
        <v>43862</v>
      </c>
      <c r="G2701">
        <v>-64</v>
      </c>
      <c r="H2701" t="s">
        <v>58</v>
      </c>
    </row>
    <row r="2702" spans="1:8" x14ac:dyDescent="0.3">
      <c r="A2702">
        <v>231</v>
      </c>
      <c r="B2702" s="5">
        <v>43875</v>
      </c>
      <c r="C2702" t="s">
        <v>12</v>
      </c>
      <c r="D2702">
        <v>572</v>
      </c>
      <c r="E2702">
        <v>-872</v>
      </c>
      <c r="F2702" s="5">
        <v>43862</v>
      </c>
      <c r="G2702">
        <v>-572</v>
      </c>
      <c r="H2702" t="s">
        <v>58</v>
      </c>
    </row>
    <row r="2703" spans="1:8" x14ac:dyDescent="0.3">
      <c r="A2703">
        <v>231</v>
      </c>
      <c r="B2703" s="5">
        <v>43877</v>
      </c>
      <c r="C2703" t="s">
        <v>10</v>
      </c>
      <c r="D2703">
        <v>736</v>
      </c>
      <c r="E2703">
        <v>-136</v>
      </c>
      <c r="F2703" s="5">
        <v>43862</v>
      </c>
      <c r="G2703">
        <v>736</v>
      </c>
      <c r="H2703" t="s">
        <v>58</v>
      </c>
    </row>
    <row r="2704" spans="1:8" x14ac:dyDescent="0.3">
      <c r="A2704">
        <v>231</v>
      </c>
      <c r="B2704" s="5">
        <v>43883</v>
      </c>
      <c r="C2704" t="s">
        <v>11</v>
      </c>
      <c r="D2704">
        <v>398</v>
      </c>
      <c r="E2704">
        <v>-534</v>
      </c>
      <c r="F2704" s="5">
        <v>43862</v>
      </c>
      <c r="G2704">
        <v>-398</v>
      </c>
      <c r="H2704" t="s">
        <v>58</v>
      </c>
    </row>
    <row r="2705" spans="1:8" x14ac:dyDescent="0.3">
      <c r="A2705">
        <v>231</v>
      </c>
      <c r="B2705" s="5">
        <v>43892</v>
      </c>
      <c r="C2705" t="s">
        <v>12</v>
      </c>
      <c r="D2705">
        <v>199</v>
      </c>
      <c r="E2705">
        <v>-733</v>
      </c>
      <c r="F2705" s="5">
        <v>43891</v>
      </c>
      <c r="G2705">
        <v>-199</v>
      </c>
      <c r="H2705" t="s">
        <v>58</v>
      </c>
    </row>
    <row r="2706" spans="1:8" x14ac:dyDescent="0.3">
      <c r="A2706">
        <v>231</v>
      </c>
      <c r="B2706" s="5">
        <v>43896</v>
      </c>
      <c r="C2706" t="s">
        <v>11</v>
      </c>
      <c r="D2706">
        <v>952</v>
      </c>
      <c r="E2706">
        <v>-1685</v>
      </c>
      <c r="F2706" s="5">
        <v>43891</v>
      </c>
      <c r="G2706">
        <v>-952</v>
      </c>
      <c r="H2706" t="s">
        <v>58</v>
      </c>
    </row>
    <row r="2707" spans="1:8" x14ac:dyDescent="0.3">
      <c r="A2707">
        <v>231</v>
      </c>
      <c r="B2707" s="5">
        <v>43903</v>
      </c>
      <c r="C2707" t="s">
        <v>11</v>
      </c>
      <c r="D2707">
        <v>258</v>
      </c>
      <c r="E2707">
        <v>-1943</v>
      </c>
      <c r="F2707" s="5">
        <v>43891</v>
      </c>
      <c r="G2707">
        <v>-258</v>
      </c>
      <c r="H2707" t="s">
        <v>58</v>
      </c>
    </row>
    <row r="2708" spans="1:8" x14ac:dyDescent="0.3">
      <c r="A2708">
        <v>231</v>
      </c>
      <c r="B2708" s="5">
        <v>43921</v>
      </c>
      <c r="C2708" t="s">
        <v>12</v>
      </c>
      <c r="D2708">
        <v>67</v>
      </c>
      <c r="E2708">
        <v>-2010</v>
      </c>
      <c r="F2708" s="5">
        <v>43891</v>
      </c>
      <c r="G2708">
        <v>-67</v>
      </c>
      <c r="H2708" t="s">
        <v>58</v>
      </c>
    </row>
    <row r="2709" spans="1:8" x14ac:dyDescent="0.3">
      <c r="A2709">
        <v>231</v>
      </c>
      <c r="B2709" s="5">
        <v>43925</v>
      </c>
      <c r="C2709" t="s">
        <v>10</v>
      </c>
      <c r="D2709">
        <v>22</v>
      </c>
      <c r="E2709">
        <v>-1988</v>
      </c>
      <c r="F2709" s="5">
        <v>43922</v>
      </c>
      <c r="G2709">
        <v>22</v>
      </c>
      <c r="H2709" t="s">
        <v>58</v>
      </c>
    </row>
    <row r="2710" spans="1:8" x14ac:dyDescent="0.3">
      <c r="A2710">
        <v>231</v>
      </c>
      <c r="B2710" s="5">
        <v>43930</v>
      </c>
      <c r="C2710" t="s">
        <v>12</v>
      </c>
      <c r="D2710">
        <v>487</v>
      </c>
      <c r="E2710">
        <v>-2475</v>
      </c>
      <c r="F2710" s="5">
        <v>43922</v>
      </c>
      <c r="G2710">
        <v>-487</v>
      </c>
      <c r="H2710" t="s">
        <v>58</v>
      </c>
    </row>
    <row r="2711" spans="1:8" x14ac:dyDescent="0.3">
      <c r="A2711">
        <v>232</v>
      </c>
      <c r="B2711" s="5">
        <v>43832</v>
      </c>
      <c r="C2711" t="s">
        <v>10</v>
      </c>
      <c r="D2711">
        <v>843</v>
      </c>
      <c r="E2711">
        <v>843</v>
      </c>
      <c r="F2711" s="5">
        <v>43831</v>
      </c>
      <c r="G2711">
        <v>843</v>
      </c>
      <c r="H2711" t="s">
        <v>57</v>
      </c>
    </row>
    <row r="2712" spans="1:8" x14ac:dyDescent="0.3">
      <c r="A2712">
        <v>232</v>
      </c>
      <c r="B2712" s="5">
        <v>43841</v>
      </c>
      <c r="C2712" t="s">
        <v>10</v>
      </c>
      <c r="D2712">
        <v>833</v>
      </c>
      <c r="E2712">
        <v>1676</v>
      </c>
      <c r="F2712" s="5">
        <v>43831</v>
      </c>
      <c r="G2712">
        <v>833</v>
      </c>
      <c r="H2712" t="s">
        <v>57</v>
      </c>
    </row>
    <row r="2713" spans="1:8" x14ac:dyDescent="0.3">
      <c r="A2713">
        <v>232</v>
      </c>
      <c r="B2713" s="5">
        <v>43853</v>
      </c>
      <c r="C2713" t="s">
        <v>10</v>
      </c>
      <c r="D2713">
        <v>551</v>
      </c>
      <c r="E2713">
        <v>2227</v>
      </c>
      <c r="F2713" s="5">
        <v>43831</v>
      </c>
      <c r="G2713">
        <v>551</v>
      </c>
      <c r="H2713" t="s">
        <v>57</v>
      </c>
    </row>
    <row r="2714" spans="1:8" x14ac:dyDescent="0.3">
      <c r="A2714">
        <v>232</v>
      </c>
      <c r="B2714" s="5">
        <v>43857</v>
      </c>
      <c r="C2714" t="s">
        <v>11</v>
      </c>
      <c r="D2714">
        <v>809</v>
      </c>
      <c r="E2714">
        <v>1418</v>
      </c>
      <c r="F2714" s="5">
        <v>43831</v>
      </c>
      <c r="G2714">
        <v>-809</v>
      </c>
      <c r="H2714" t="s">
        <v>57</v>
      </c>
    </row>
    <row r="2715" spans="1:8" x14ac:dyDescent="0.3">
      <c r="A2715">
        <v>232</v>
      </c>
      <c r="B2715" s="5">
        <v>43869</v>
      </c>
      <c r="C2715" t="s">
        <v>11</v>
      </c>
      <c r="D2715">
        <v>227</v>
      </c>
      <c r="E2715">
        <v>1191</v>
      </c>
      <c r="F2715" s="5">
        <v>43862</v>
      </c>
      <c r="G2715">
        <v>-227</v>
      </c>
      <c r="H2715" t="s">
        <v>57</v>
      </c>
    </row>
    <row r="2716" spans="1:8" x14ac:dyDescent="0.3">
      <c r="A2716">
        <v>232</v>
      </c>
      <c r="B2716" s="5">
        <v>43871</v>
      </c>
      <c r="C2716" t="s">
        <v>12</v>
      </c>
      <c r="D2716">
        <v>54</v>
      </c>
      <c r="E2716">
        <v>1137</v>
      </c>
      <c r="F2716" s="5">
        <v>43862</v>
      </c>
      <c r="G2716">
        <v>-54</v>
      </c>
      <c r="H2716" t="s">
        <v>57</v>
      </c>
    </row>
    <row r="2717" spans="1:8" x14ac:dyDescent="0.3">
      <c r="A2717">
        <v>232</v>
      </c>
      <c r="B2717" s="5">
        <v>43871</v>
      </c>
      <c r="C2717" t="s">
        <v>10</v>
      </c>
      <c r="D2717">
        <v>411</v>
      </c>
      <c r="E2717">
        <v>1548</v>
      </c>
      <c r="F2717" s="5">
        <v>43862</v>
      </c>
      <c r="G2717">
        <v>411</v>
      </c>
      <c r="H2717" t="s">
        <v>57</v>
      </c>
    </row>
    <row r="2718" spans="1:8" x14ac:dyDescent="0.3">
      <c r="A2718">
        <v>232</v>
      </c>
      <c r="B2718" s="5">
        <v>43877</v>
      </c>
      <c r="C2718" t="s">
        <v>11</v>
      </c>
      <c r="D2718">
        <v>612</v>
      </c>
      <c r="E2718">
        <v>936</v>
      </c>
      <c r="F2718" s="5">
        <v>43862</v>
      </c>
      <c r="G2718">
        <v>-612</v>
      </c>
      <c r="H2718" t="s">
        <v>57</v>
      </c>
    </row>
    <row r="2719" spans="1:8" x14ac:dyDescent="0.3">
      <c r="A2719">
        <v>232</v>
      </c>
      <c r="B2719" s="5">
        <v>43877</v>
      </c>
      <c r="C2719" t="s">
        <v>11</v>
      </c>
      <c r="D2719">
        <v>502</v>
      </c>
      <c r="E2719">
        <v>434</v>
      </c>
      <c r="F2719" s="5">
        <v>43862</v>
      </c>
      <c r="G2719">
        <v>-502</v>
      </c>
      <c r="H2719" t="s">
        <v>57</v>
      </c>
    </row>
    <row r="2720" spans="1:8" x14ac:dyDescent="0.3">
      <c r="A2720">
        <v>232</v>
      </c>
      <c r="B2720" s="5">
        <v>43881</v>
      </c>
      <c r="C2720" t="s">
        <v>10</v>
      </c>
      <c r="D2720">
        <v>227</v>
      </c>
      <c r="E2720">
        <v>661</v>
      </c>
      <c r="F2720" s="5">
        <v>43862</v>
      </c>
      <c r="G2720">
        <v>227</v>
      </c>
      <c r="H2720" t="s">
        <v>57</v>
      </c>
    </row>
    <row r="2721" spans="1:8" x14ac:dyDescent="0.3">
      <c r="A2721">
        <v>232</v>
      </c>
      <c r="B2721" s="5">
        <v>43882</v>
      </c>
      <c r="C2721" t="s">
        <v>12</v>
      </c>
      <c r="D2721">
        <v>252</v>
      </c>
      <c r="E2721">
        <v>409</v>
      </c>
      <c r="F2721" s="5">
        <v>43862</v>
      </c>
      <c r="G2721">
        <v>-252</v>
      </c>
      <c r="H2721" t="s">
        <v>57</v>
      </c>
    </row>
    <row r="2722" spans="1:8" x14ac:dyDescent="0.3">
      <c r="A2722">
        <v>232</v>
      </c>
      <c r="B2722" s="5">
        <v>43888</v>
      </c>
      <c r="C2722" t="s">
        <v>10</v>
      </c>
      <c r="D2722">
        <v>455</v>
      </c>
      <c r="E2722">
        <v>864</v>
      </c>
      <c r="F2722" s="5">
        <v>43862</v>
      </c>
      <c r="G2722">
        <v>455</v>
      </c>
      <c r="H2722" t="s">
        <v>57</v>
      </c>
    </row>
    <row r="2723" spans="1:8" x14ac:dyDescent="0.3">
      <c r="A2723">
        <v>232</v>
      </c>
      <c r="B2723" s="5">
        <v>43896</v>
      </c>
      <c r="C2723" t="s">
        <v>12</v>
      </c>
      <c r="D2723">
        <v>738</v>
      </c>
      <c r="E2723">
        <v>126</v>
      </c>
      <c r="F2723" s="5">
        <v>43891</v>
      </c>
      <c r="G2723">
        <v>-738</v>
      </c>
      <c r="H2723" t="s">
        <v>57</v>
      </c>
    </row>
    <row r="2724" spans="1:8" x14ac:dyDescent="0.3">
      <c r="A2724">
        <v>232</v>
      </c>
      <c r="B2724" s="5">
        <v>43899</v>
      </c>
      <c r="C2724" t="s">
        <v>11</v>
      </c>
      <c r="D2724">
        <v>22</v>
      </c>
      <c r="E2724">
        <v>104</v>
      </c>
      <c r="F2724" s="5">
        <v>43891</v>
      </c>
      <c r="G2724">
        <v>-22</v>
      </c>
      <c r="H2724" t="s">
        <v>57</v>
      </c>
    </row>
    <row r="2725" spans="1:8" x14ac:dyDescent="0.3">
      <c r="A2725">
        <v>232</v>
      </c>
      <c r="B2725" s="5">
        <v>43918</v>
      </c>
      <c r="C2725" t="s">
        <v>10</v>
      </c>
      <c r="D2725">
        <v>584</v>
      </c>
      <c r="E2725">
        <v>688</v>
      </c>
      <c r="F2725" s="5">
        <v>43891</v>
      </c>
      <c r="G2725">
        <v>584</v>
      </c>
      <c r="H2725" t="s">
        <v>57</v>
      </c>
    </row>
    <row r="2726" spans="1:8" x14ac:dyDescent="0.3">
      <c r="A2726">
        <v>232</v>
      </c>
      <c r="B2726" s="5">
        <v>43920</v>
      </c>
      <c r="C2726" t="s">
        <v>10</v>
      </c>
      <c r="D2726">
        <v>235</v>
      </c>
      <c r="E2726">
        <v>923</v>
      </c>
      <c r="F2726" s="5">
        <v>43891</v>
      </c>
      <c r="G2726">
        <v>235</v>
      </c>
      <c r="H2726" t="s">
        <v>57</v>
      </c>
    </row>
    <row r="2727" spans="1:8" x14ac:dyDescent="0.3">
      <c r="A2727">
        <v>233</v>
      </c>
      <c r="B2727" s="5">
        <v>43833</v>
      </c>
      <c r="C2727" t="s">
        <v>10</v>
      </c>
      <c r="D2727">
        <v>187</v>
      </c>
      <c r="E2727">
        <v>187</v>
      </c>
      <c r="F2727" s="5">
        <v>43831</v>
      </c>
      <c r="G2727">
        <v>187</v>
      </c>
      <c r="H2727" t="s">
        <v>57</v>
      </c>
    </row>
    <row r="2728" spans="1:8" x14ac:dyDescent="0.3">
      <c r="A2728">
        <v>233</v>
      </c>
      <c r="B2728" s="5">
        <v>43838</v>
      </c>
      <c r="C2728" t="s">
        <v>10</v>
      </c>
      <c r="D2728">
        <v>833</v>
      </c>
      <c r="E2728">
        <v>1020</v>
      </c>
      <c r="F2728" s="5">
        <v>43831</v>
      </c>
      <c r="G2728">
        <v>833</v>
      </c>
      <c r="H2728" t="s">
        <v>57</v>
      </c>
    </row>
    <row r="2729" spans="1:8" x14ac:dyDescent="0.3">
      <c r="A2729">
        <v>233</v>
      </c>
      <c r="B2729" s="5">
        <v>43847</v>
      </c>
      <c r="C2729" t="s">
        <v>10</v>
      </c>
      <c r="D2729">
        <v>801</v>
      </c>
      <c r="E2729">
        <v>1821</v>
      </c>
      <c r="F2729" s="5">
        <v>43831</v>
      </c>
      <c r="G2729">
        <v>801</v>
      </c>
      <c r="H2729" t="s">
        <v>57</v>
      </c>
    </row>
    <row r="2730" spans="1:8" x14ac:dyDescent="0.3">
      <c r="A2730">
        <v>233</v>
      </c>
      <c r="B2730" s="5">
        <v>43851</v>
      </c>
      <c r="C2730" t="s">
        <v>11</v>
      </c>
      <c r="D2730">
        <v>471</v>
      </c>
      <c r="E2730">
        <v>1350</v>
      </c>
      <c r="F2730" s="5">
        <v>43831</v>
      </c>
      <c r="G2730">
        <v>-471</v>
      </c>
      <c r="H2730" t="s">
        <v>57</v>
      </c>
    </row>
    <row r="2731" spans="1:8" x14ac:dyDescent="0.3">
      <c r="A2731">
        <v>233</v>
      </c>
      <c r="B2731" s="5">
        <v>43853</v>
      </c>
      <c r="C2731" t="s">
        <v>10</v>
      </c>
      <c r="D2731">
        <v>445</v>
      </c>
      <c r="E2731">
        <v>1795</v>
      </c>
      <c r="F2731" s="5">
        <v>43831</v>
      </c>
      <c r="G2731">
        <v>445</v>
      </c>
      <c r="H2731" t="s">
        <v>57</v>
      </c>
    </row>
    <row r="2732" spans="1:8" x14ac:dyDescent="0.3">
      <c r="A2732">
        <v>233</v>
      </c>
      <c r="B2732" s="5">
        <v>43869</v>
      </c>
      <c r="C2732" t="s">
        <v>10</v>
      </c>
      <c r="D2732">
        <v>234</v>
      </c>
      <c r="E2732">
        <v>2029</v>
      </c>
      <c r="F2732" s="5">
        <v>43862</v>
      </c>
      <c r="G2732">
        <v>234</v>
      </c>
      <c r="H2732" t="s">
        <v>57</v>
      </c>
    </row>
    <row r="2733" spans="1:8" x14ac:dyDescent="0.3">
      <c r="A2733">
        <v>233</v>
      </c>
      <c r="B2733" s="5">
        <v>43873</v>
      </c>
      <c r="C2733" t="s">
        <v>10</v>
      </c>
      <c r="D2733">
        <v>837</v>
      </c>
      <c r="E2733">
        <v>2866</v>
      </c>
      <c r="F2733" s="5">
        <v>43862</v>
      </c>
      <c r="G2733">
        <v>837</v>
      </c>
      <c r="H2733" t="s">
        <v>57</v>
      </c>
    </row>
    <row r="2734" spans="1:8" x14ac:dyDescent="0.3">
      <c r="A2734">
        <v>233</v>
      </c>
      <c r="B2734" s="5">
        <v>43875</v>
      </c>
      <c r="C2734" t="s">
        <v>10</v>
      </c>
      <c r="D2734">
        <v>572</v>
      </c>
      <c r="E2734">
        <v>3438</v>
      </c>
      <c r="F2734" s="5">
        <v>43862</v>
      </c>
      <c r="G2734">
        <v>572</v>
      </c>
      <c r="H2734" t="s">
        <v>57</v>
      </c>
    </row>
    <row r="2735" spans="1:8" x14ac:dyDescent="0.3">
      <c r="A2735">
        <v>233</v>
      </c>
      <c r="B2735" s="5">
        <v>43889</v>
      </c>
      <c r="C2735" t="s">
        <v>11</v>
      </c>
      <c r="D2735">
        <v>528</v>
      </c>
      <c r="E2735">
        <v>2910</v>
      </c>
      <c r="F2735" s="5">
        <v>43862</v>
      </c>
      <c r="G2735">
        <v>-528</v>
      </c>
      <c r="H2735" t="s">
        <v>57</v>
      </c>
    </row>
    <row r="2736" spans="1:8" x14ac:dyDescent="0.3">
      <c r="A2736">
        <v>233</v>
      </c>
      <c r="B2736" s="5">
        <v>43891</v>
      </c>
      <c r="C2736" t="s">
        <v>10</v>
      </c>
      <c r="D2736">
        <v>832</v>
      </c>
      <c r="E2736">
        <v>3742</v>
      </c>
      <c r="F2736" s="5">
        <v>43891</v>
      </c>
      <c r="G2736">
        <v>832</v>
      </c>
      <c r="H2736" t="s">
        <v>57</v>
      </c>
    </row>
    <row r="2737" spans="1:8" x14ac:dyDescent="0.3">
      <c r="A2737">
        <v>234</v>
      </c>
      <c r="B2737" s="5">
        <v>43833</v>
      </c>
      <c r="C2737" t="s">
        <v>10</v>
      </c>
      <c r="D2737">
        <v>236</v>
      </c>
      <c r="E2737">
        <v>236</v>
      </c>
      <c r="F2737" s="5">
        <v>43831</v>
      </c>
      <c r="G2737">
        <v>236</v>
      </c>
      <c r="H2737" t="s">
        <v>57</v>
      </c>
    </row>
    <row r="2738" spans="1:8" x14ac:dyDescent="0.3">
      <c r="A2738">
        <v>234</v>
      </c>
      <c r="B2738" s="5">
        <v>43834</v>
      </c>
      <c r="C2738" t="s">
        <v>10</v>
      </c>
      <c r="D2738">
        <v>295</v>
      </c>
      <c r="E2738">
        <v>531</v>
      </c>
      <c r="F2738" s="5">
        <v>43831</v>
      </c>
      <c r="G2738">
        <v>295</v>
      </c>
      <c r="H2738" t="s">
        <v>57</v>
      </c>
    </row>
    <row r="2739" spans="1:8" x14ac:dyDescent="0.3">
      <c r="A2739">
        <v>234</v>
      </c>
      <c r="B2739" s="5">
        <v>43834</v>
      </c>
      <c r="C2739" t="s">
        <v>11</v>
      </c>
      <c r="D2739">
        <v>134</v>
      </c>
      <c r="E2739">
        <v>397</v>
      </c>
      <c r="F2739" s="5">
        <v>43831</v>
      </c>
      <c r="G2739">
        <v>-134</v>
      </c>
      <c r="H2739" t="s">
        <v>57</v>
      </c>
    </row>
    <row r="2740" spans="1:8" x14ac:dyDescent="0.3">
      <c r="A2740">
        <v>234</v>
      </c>
      <c r="B2740" s="5">
        <v>43836</v>
      </c>
      <c r="C2740" t="s">
        <v>10</v>
      </c>
      <c r="D2740">
        <v>418</v>
      </c>
      <c r="E2740">
        <v>815</v>
      </c>
      <c r="F2740" s="5">
        <v>43831</v>
      </c>
      <c r="G2740">
        <v>418</v>
      </c>
      <c r="H2740" t="s">
        <v>57</v>
      </c>
    </row>
    <row r="2741" spans="1:8" x14ac:dyDescent="0.3">
      <c r="A2741">
        <v>234</v>
      </c>
      <c r="B2741" s="5">
        <v>43846</v>
      </c>
      <c r="C2741" t="s">
        <v>11</v>
      </c>
      <c r="D2741">
        <v>937</v>
      </c>
      <c r="E2741">
        <v>-122</v>
      </c>
      <c r="F2741" s="5">
        <v>43831</v>
      </c>
      <c r="G2741">
        <v>-937</v>
      </c>
      <c r="H2741" t="s">
        <v>58</v>
      </c>
    </row>
    <row r="2742" spans="1:8" x14ac:dyDescent="0.3">
      <c r="A2742">
        <v>234</v>
      </c>
      <c r="B2742" s="5">
        <v>43854</v>
      </c>
      <c r="C2742" t="s">
        <v>11</v>
      </c>
      <c r="D2742">
        <v>76</v>
      </c>
      <c r="E2742">
        <v>-198</v>
      </c>
      <c r="F2742" s="5">
        <v>43831</v>
      </c>
      <c r="G2742">
        <v>-76</v>
      </c>
      <c r="H2742" t="s">
        <v>58</v>
      </c>
    </row>
    <row r="2743" spans="1:8" x14ac:dyDescent="0.3">
      <c r="A2743">
        <v>234</v>
      </c>
      <c r="B2743" s="5">
        <v>43858</v>
      </c>
      <c r="C2743" t="s">
        <v>11</v>
      </c>
      <c r="D2743">
        <v>2</v>
      </c>
      <c r="E2743">
        <v>-200</v>
      </c>
      <c r="F2743" s="5">
        <v>43831</v>
      </c>
      <c r="G2743">
        <v>-2</v>
      </c>
      <c r="H2743" t="s">
        <v>58</v>
      </c>
    </row>
    <row r="2744" spans="1:8" x14ac:dyDescent="0.3">
      <c r="A2744">
        <v>234</v>
      </c>
      <c r="B2744" s="5">
        <v>43862</v>
      </c>
      <c r="C2744" t="s">
        <v>12</v>
      </c>
      <c r="D2744">
        <v>110</v>
      </c>
      <c r="E2744">
        <v>-310</v>
      </c>
      <c r="F2744" s="5">
        <v>43862</v>
      </c>
      <c r="G2744">
        <v>-110</v>
      </c>
      <c r="H2744" t="s">
        <v>58</v>
      </c>
    </row>
    <row r="2745" spans="1:8" x14ac:dyDescent="0.3">
      <c r="A2745">
        <v>234</v>
      </c>
      <c r="B2745" s="5">
        <v>43863</v>
      </c>
      <c r="C2745" t="s">
        <v>12</v>
      </c>
      <c r="D2745">
        <v>250</v>
      </c>
      <c r="E2745">
        <v>-560</v>
      </c>
      <c r="F2745" s="5">
        <v>43862</v>
      </c>
      <c r="G2745">
        <v>-250</v>
      </c>
      <c r="H2745" t="s">
        <v>58</v>
      </c>
    </row>
    <row r="2746" spans="1:8" x14ac:dyDescent="0.3">
      <c r="A2746">
        <v>234</v>
      </c>
      <c r="B2746" s="5">
        <v>43879</v>
      </c>
      <c r="C2746" t="s">
        <v>11</v>
      </c>
      <c r="D2746">
        <v>834</v>
      </c>
      <c r="E2746">
        <v>-1394</v>
      </c>
      <c r="F2746" s="5">
        <v>43862</v>
      </c>
      <c r="G2746">
        <v>-834</v>
      </c>
      <c r="H2746" t="s">
        <v>58</v>
      </c>
    </row>
    <row r="2747" spans="1:8" x14ac:dyDescent="0.3">
      <c r="A2747">
        <v>234</v>
      </c>
      <c r="B2747" s="5">
        <v>43883</v>
      </c>
      <c r="C2747" t="s">
        <v>10</v>
      </c>
      <c r="D2747">
        <v>567</v>
      </c>
      <c r="E2747">
        <v>-827</v>
      </c>
      <c r="F2747" s="5">
        <v>43862</v>
      </c>
      <c r="G2747">
        <v>567</v>
      </c>
      <c r="H2747" t="s">
        <v>58</v>
      </c>
    </row>
    <row r="2748" spans="1:8" x14ac:dyDescent="0.3">
      <c r="A2748">
        <v>234</v>
      </c>
      <c r="B2748" s="5">
        <v>43885</v>
      </c>
      <c r="C2748" t="s">
        <v>10</v>
      </c>
      <c r="D2748">
        <v>222</v>
      </c>
      <c r="E2748">
        <v>-605</v>
      </c>
      <c r="F2748" s="5">
        <v>43862</v>
      </c>
      <c r="G2748">
        <v>222</v>
      </c>
      <c r="H2748" t="s">
        <v>58</v>
      </c>
    </row>
    <row r="2749" spans="1:8" x14ac:dyDescent="0.3">
      <c r="A2749">
        <v>234</v>
      </c>
      <c r="B2749" s="5">
        <v>43890</v>
      </c>
      <c r="C2749" t="s">
        <v>10</v>
      </c>
      <c r="D2749">
        <v>927</v>
      </c>
      <c r="E2749">
        <v>322</v>
      </c>
      <c r="F2749" s="5">
        <v>43862</v>
      </c>
      <c r="G2749">
        <v>927</v>
      </c>
      <c r="H2749" t="s">
        <v>57</v>
      </c>
    </row>
    <row r="2750" spans="1:8" x14ac:dyDescent="0.3">
      <c r="A2750">
        <v>234</v>
      </c>
      <c r="B2750" s="5">
        <v>43893</v>
      </c>
      <c r="C2750" t="s">
        <v>11</v>
      </c>
      <c r="D2750">
        <v>325</v>
      </c>
      <c r="E2750">
        <v>-3</v>
      </c>
      <c r="F2750" s="5">
        <v>43891</v>
      </c>
      <c r="G2750">
        <v>-325</v>
      </c>
      <c r="H2750" t="s">
        <v>58</v>
      </c>
    </row>
    <row r="2751" spans="1:8" x14ac:dyDescent="0.3">
      <c r="A2751">
        <v>234</v>
      </c>
      <c r="B2751" s="5">
        <v>43896</v>
      </c>
      <c r="C2751" t="s">
        <v>11</v>
      </c>
      <c r="D2751">
        <v>875</v>
      </c>
      <c r="E2751">
        <v>-878</v>
      </c>
      <c r="F2751" s="5">
        <v>43891</v>
      </c>
      <c r="G2751">
        <v>-875</v>
      </c>
      <c r="H2751" t="s">
        <v>58</v>
      </c>
    </row>
    <row r="2752" spans="1:8" x14ac:dyDescent="0.3">
      <c r="A2752">
        <v>234</v>
      </c>
      <c r="B2752" s="5">
        <v>43899</v>
      </c>
      <c r="C2752" t="s">
        <v>11</v>
      </c>
      <c r="D2752">
        <v>426</v>
      </c>
      <c r="E2752">
        <v>-1304</v>
      </c>
      <c r="F2752" s="5">
        <v>43891</v>
      </c>
      <c r="G2752">
        <v>-426</v>
      </c>
      <c r="H2752" t="s">
        <v>58</v>
      </c>
    </row>
    <row r="2753" spans="1:8" x14ac:dyDescent="0.3">
      <c r="A2753">
        <v>234</v>
      </c>
      <c r="B2753" s="5">
        <v>43899</v>
      </c>
      <c r="C2753" t="s">
        <v>11</v>
      </c>
      <c r="D2753">
        <v>701</v>
      </c>
      <c r="E2753">
        <v>-2005</v>
      </c>
      <c r="F2753" s="5">
        <v>43891</v>
      </c>
      <c r="G2753">
        <v>-701</v>
      </c>
      <c r="H2753" t="s">
        <v>58</v>
      </c>
    </row>
    <row r="2754" spans="1:8" x14ac:dyDescent="0.3">
      <c r="A2754">
        <v>234</v>
      </c>
      <c r="B2754" s="5">
        <v>43903</v>
      </c>
      <c r="C2754" t="s">
        <v>10</v>
      </c>
      <c r="D2754">
        <v>904</v>
      </c>
      <c r="E2754">
        <v>-1101</v>
      </c>
      <c r="F2754" s="5">
        <v>43891</v>
      </c>
      <c r="G2754">
        <v>904</v>
      </c>
      <c r="H2754" t="s">
        <v>58</v>
      </c>
    </row>
    <row r="2755" spans="1:8" x14ac:dyDescent="0.3">
      <c r="A2755">
        <v>234</v>
      </c>
      <c r="B2755" s="5">
        <v>43905</v>
      </c>
      <c r="C2755" t="s">
        <v>10</v>
      </c>
      <c r="D2755">
        <v>656</v>
      </c>
      <c r="E2755">
        <v>-445</v>
      </c>
      <c r="F2755" s="5">
        <v>43891</v>
      </c>
      <c r="G2755">
        <v>656</v>
      </c>
      <c r="H2755" t="s">
        <v>58</v>
      </c>
    </row>
    <row r="2756" spans="1:8" x14ac:dyDescent="0.3">
      <c r="A2756">
        <v>234</v>
      </c>
      <c r="B2756" s="5">
        <v>43907</v>
      </c>
      <c r="C2756" t="s">
        <v>12</v>
      </c>
      <c r="D2756">
        <v>745</v>
      </c>
      <c r="E2756">
        <v>-1190</v>
      </c>
      <c r="F2756" s="5">
        <v>43891</v>
      </c>
      <c r="G2756">
        <v>-745</v>
      </c>
      <c r="H2756" t="s">
        <v>58</v>
      </c>
    </row>
    <row r="2757" spans="1:8" x14ac:dyDescent="0.3">
      <c r="A2757">
        <v>234</v>
      </c>
      <c r="B2757" s="5">
        <v>43910</v>
      </c>
      <c r="C2757" t="s">
        <v>12</v>
      </c>
      <c r="D2757">
        <v>494</v>
      </c>
      <c r="E2757">
        <v>-1684</v>
      </c>
      <c r="F2757" s="5">
        <v>43891</v>
      </c>
      <c r="G2757">
        <v>-494</v>
      </c>
      <c r="H2757" t="s">
        <v>58</v>
      </c>
    </row>
    <row r="2758" spans="1:8" x14ac:dyDescent="0.3">
      <c r="A2758">
        <v>234</v>
      </c>
      <c r="B2758" s="5">
        <v>43919</v>
      </c>
      <c r="C2758" t="s">
        <v>11</v>
      </c>
      <c r="D2758">
        <v>592</v>
      </c>
      <c r="E2758">
        <v>-2276</v>
      </c>
      <c r="F2758" s="5">
        <v>43891</v>
      </c>
      <c r="G2758">
        <v>-592</v>
      </c>
      <c r="H2758" t="s">
        <v>58</v>
      </c>
    </row>
    <row r="2759" spans="1:8" x14ac:dyDescent="0.3">
      <c r="A2759">
        <v>235</v>
      </c>
      <c r="B2759" s="5">
        <v>43837</v>
      </c>
      <c r="C2759" t="s">
        <v>10</v>
      </c>
      <c r="D2759">
        <v>723</v>
      </c>
      <c r="E2759">
        <v>723</v>
      </c>
      <c r="F2759" s="5">
        <v>43831</v>
      </c>
      <c r="G2759">
        <v>723</v>
      </c>
      <c r="H2759" t="s">
        <v>57</v>
      </c>
    </row>
    <row r="2760" spans="1:8" x14ac:dyDescent="0.3">
      <c r="A2760">
        <v>235</v>
      </c>
      <c r="B2760" s="5">
        <v>43840</v>
      </c>
      <c r="C2760" t="s">
        <v>11</v>
      </c>
      <c r="D2760">
        <v>919</v>
      </c>
      <c r="E2760">
        <v>-196</v>
      </c>
      <c r="F2760" s="5">
        <v>43831</v>
      </c>
      <c r="G2760">
        <v>-919</v>
      </c>
      <c r="H2760" t="s">
        <v>58</v>
      </c>
    </row>
    <row r="2761" spans="1:8" x14ac:dyDescent="0.3">
      <c r="A2761">
        <v>235</v>
      </c>
      <c r="B2761" s="5">
        <v>43852</v>
      </c>
      <c r="C2761" t="s">
        <v>11</v>
      </c>
      <c r="D2761">
        <v>890</v>
      </c>
      <c r="E2761">
        <v>-1086</v>
      </c>
      <c r="F2761" s="5">
        <v>43831</v>
      </c>
      <c r="G2761">
        <v>-890</v>
      </c>
      <c r="H2761" t="s">
        <v>58</v>
      </c>
    </row>
    <row r="2762" spans="1:8" x14ac:dyDescent="0.3">
      <c r="A2762">
        <v>235</v>
      </c>
      <c r="B2762" s="5">
        <v>43861</v>
      </c>
      <c r="C2762" t="s">
        <v>11</v>
      </c>
      <c r="D2762">
        <v>877</v>
      </c>
      <c r="E2762">
        <v>-1963</v>
      </c>
      <c r="F2762" s="5">
        <v>43831</v>
      </c>
      <c r="G2762">
        <v>-877</v>
      </c>
      <c r="H2762" t="s">
        <v>58</v>
      </c>
    </row>
    <row r="2763" spans="1:8" x14ac:dyDescent="0.3">
      <c r="A2763">
        <v>235</v>
      </c>
      <c r="B2763" s="5">
        <v>43867</v>
      </c>
      <c r="C2763" t="s">
        <v>10</v>
      </c>
      <c r="D2763">
        <v>428</v>
      </c>
      <c r="E2763">
        <v>-1535</v>
      </c>
      <c r="F2763" s="5">
        <v>43862</v>
      </c>
      <c r="G2763">
        <v>428</v>
      </c>
      <c r="H2763" t="s">
        <v>58</v>
      </c>
    </row>
    <row r="2764" spans="1:8" x14ac:dyDescent="0.3">
      <c r="A2764">
        <v>235</v>
      </c>
      <c r="B2764" s="5">
        <v>43883</v>
      </c>
      <c r="C2764" t="s">
        <v>10</v>
      </c>
      <c r="D2764">
        <v>535</v>
      </c>
      <c r="E2764">
        <v>-1000</v>
      </c>
      <c r="F2764" s="5">
        <v>43862</v>
      </c>
      <c r="G2764">
        <v>535</v>
      </c>
      <c r="H2764" t="s">
        <v>58</v>
      </c>
    </row>
    <row r="2765" spans="1:8" x14ac:dyDescent="0.3">
      <c r="A2765">
        <v>235</v>
      </c>
      <c r="B2765" s="5">
        <v>43886</v>
      </c>
      <c r="C2765" t="s">
        <v>10</v>
      </c>
      <c r="D2765">
        <v>524</v>
      </c>
      <c r="E2765">
        <v>-476</v>
      </c>
      <c r="F2765" s="5">
        <v>43862</v>
      </c>
      <c r="G2765">
        <v>524</v>
      </c>
      <c r="H2765" t="s">
        <v>58</v>
      </c>
    </row>
    <row r="2766" spans="1:8" x14ac:dyDescent="0.3">
      <c r="A2766">
        <v>235</v>
      </c>
      <c r="B2766" s="5">
        <v>43906</v>
      </c>
      <c r="C2766" t="s">
        <v>10</v>
      </c>
      <c r="D2766">
        <v>530</v>
      </c>
      <c r="E2766">
        <v>54</v>
      </c>
      <c r="F2766" s="5">
        <v>43891</v>
      </c>
      <c r="G2766">
        <v>530</v>
      </c>
      <c r="H2766" t="s">
        <v>57</v>
      </c>
    </row>
    <row r="2767" spans="1:8" x14ac:dyDescent="0.3">
      <c r="A2767">
        <v>235</v>
      </c>
      <c r="B2767" s="5">
        <v>43910</v>
      </c>
      <c r="C2767" t="s">
        <v>12</v>
      </c>
      <c r="D2767">
        <v>30</v>
      </c>
      <c r="E2767">
        <v>24</v>
      </c>
      <c r="F2767" s="5">
        <v>43891</v>
      </c>
      <c r="G2767">
        <v>-30</v>
      </c>
      <c r="H2767" t="s">
        <v>57</v>
      </c>
    </row>
    <row r="2768" spans="1:8" x14ac:dyDescent="0.3">
      <c r="A2768">
        <v>236</v>
      </c>
      <c r="B2768" s="5">
        <v>43857</v>
      </c>
      <c r="C2768" t="s">
        <v>10</v>
      </c>
      <c r="D2768">
        <v>356</v>
      </c>
      <c r="E2768">
        <v>356</v>
      </c>
      <c r="F2768" s="5">
        <v>43831</v>
      </c>
      <c r="G2768">
        <v>356</v>
      </c>
      <c r="H2768" t="s">
        <v>57</v>
      </c>
    </row>
    <row r="2769" spans="1:8" x14ac:dyDescent="0.3">
      <c r="A2769">
        <v>236</v>
      </c>
      <c r="B2769" s="5">
        <v>43866</v>
      </c>
      <c r="C2769" t="s">
        <v>10</v>
      </c>
      <c r="D2769">
        <v>335</v>
      </c>
      <c r="E2769">
        <v>691</v>
      </c>
      <c r="F2769" s="5">
        <v>43862</v>
      </c>
      <c r="G2769">
        <v>335</v>
      </c>
      <c r="H2769" t="s">
        <v>57</v>
      </c>
    </row>
    <row r="2770" spans="1:8" x14ac:dyDescent="0.3">
      <c r="A2770">
        <v>236</v>
      </c>
      <c r="B2770" s="5">
        <v>43879</v>
      </c>
      <c r="C2770" t="s">
        <v>10</v>
      </c>
      <c r="D2770">
        <v>538</v>
      </c>
      <c r="E2770">
        <v>1229</v>
      </c>
      <c r="F2770" s="5">
        <v>43862</v>
      </c>
      <c r="G2770">
        <v>538</v>
      </c>
      <c r="H2770" t="s">
        <v>57</v>
      </c>
    </row>
    <row r="2771" spans="1:8" x14ac:dyDescent="0.3">
      <c r="A2771">
        <v>236</v>
      </c>
      <c r="B2771" s="5">
        <v>43886</v>
      </c>
      <c r="C2771" t="s">
        <v>12</v>
      </c>
      <c r="D2771">
        <v>170</v>
      </c>
      <c r="E2771">
        <v>1059</v>
      </c>
      <c r="F2771" s="5">
        <v>43862</v>
      </c>
      <c r="G2771">
        <v>-170</v>
      </c>
      <c r="H2771" t="s">
        <v>57</v>
      </c>
    </row>
    <row r="2772" spans="1:8" x14ac:dyDescent="0.3">
      <c r="A2772">
        <v>236</v>
      </c>
      <c r="B2772" s="5">
        <v>43897</v>
      </c>
      <c r="C2772" t="s">
        <v>10</v>
      </c>
      <c r="D2772">
        <v>836</v>
      </c>
      <c r="E2772">
        <v>1895</v>
      </c>
      <c r="F2772" s="5">
        <v>43891</v>
      </c>
      <c r="G2772">
        <v>836</v>
      </c>
      <c r="H2772" t="s">
        <v>57</v>
      </c>
    </row>
    <row r="2773" spans="1:8" x14ac:dyDescent="0.3">
      <c r="A2773">
        <v>236</v>
      </c>
      <c r="B2773" s="5">
        <v>43904</v>
      </c>
      <c r="C2773" t="s">
        <v>10</v>
      </c>
      <c r="D2773">
        <v>347</v>
      </c>
      <c r="E2773">
        <v>2242</v>
      </c>
      <c r="F2773" s="5">
        <v>43891</v>
      </c>
      <c r="G2773">
        <v>347</v>
      </c>
      <c r="H2773" t="s">
        <v>57</v>
      </c>
    </row>
    <row r="2774" spans="1:8" x14ac:dyDescent="0.3">
      <c r="A2774">
        <v>236</v>
      </c>
      <c r="B2774" s="5">
        <v>43909</v>
      </c>
      <c r="C2774" t="s">
        <v>12</v>
      </c>
      <c r="D2774">
        <v>771</v>
      </c>
      <c r="E2774">
        <v>1471</v>
      </c>
      <c r="F2774" s="5">
        <v>43891</v>
      </c>
      <c r="G2774">
        <v>-771</v>
      </c>
      <c r="H2774" t="s">
        <v>57</v>
      </c>
    </row>
    <row r="2775" spans="1:8" x14ac:dyDescent="0.3">
      <c r="A2775">
        <v>236</v>
      </c>
      <c r="B2775" s="5">
        <v>43913</v>
      </c>
      <c r="C2775" t="s">
        <v>10</v>
      </c>
      <c r="D2775">
        <v>419</v>
      </c>
      <c r="E2775">
        <v>1890</v>
      </c>
      <c r="F2775" s="5">
        <v>43891</v>
      </c>
      <c r="G2775">
        <v>419</v>
      </c>
      <c r="H2775" t="s">
        <v>57</v>
      </c>
    </row>
    <row r="2776" spans="1:8" x14ac:dyDescent="0.3">
      <c r="A2776">
        <v>236</v>
      </c>
      <c r="B2776" s="5">
        <v>43915</v>
      </c>
      <c r="C2776" t="s">
        <v>12</v>
      </c>
      <c r="D2776">
        <v>966</v>
      </c>
      <c r="E2776">
        <v>924</v>
      </c>
      <c r="F2776" s="5">
        <v>43891</v>
      </c>
      <c r="G2776">
        <v>-966</v>
      </c>
      <c r="H2776" t="s">
        <v>57</v>
      </c>
    </row>
    <row r="2777" spans="1:8" x14ac:dyDescent="0.3">
      <c r="A2777">
        <v>236</v>
      </c>
      <c r="B2777" s="5">
        <v>43922</v>
      </c>
      <c r="C2777" t="s">
        <v>11</v>
      </c>
      <c r="D2777">
        <v>501</v>
      </c>
      <c r="E2777">
        <v>423</v>
      </c>
      <c r="F2777" s="5">
        <v>43922</v>
      </c>
      <c r="G2777">
        <v>-501</v>
      </c>
      <c r="H2777" t="s">
        <v>57</v>
      </c>
    </row>
    <row r="2778" spans="1:8" x14ac:dyDescent="0.3">
      <c r="A2778">
        <v>236</v>
      </c>
      <c r="B2778" s="5">
        <v>43931</v>
      </c>
      <c r="C2778" t="s">
        <v>12</v>
      </c>
      <c r="D2778">
        <v>73</v>
      </c>
      <c r="E2778">
        <v>350</v>
      </c>
      <c r="F2778" s="5">
        <v>43922</v>
      </c>
      <c r="G2778">
        <v>-73</v>
      </c>
      <c r="H2778" t="s">
        <v>57</v>
      </c>
    </row>
    <row r="2779" spans="1:8" x14ac:dyDescent="0.3">
      <c r="A2779">
        <v>236</v>
      </c>
      <c r="B2779" s="5">
        <v>43935</v>
      </c>
      <c r="C2779" t="s">
        <v>11</v>
      </c>
      <c r="D2779">
        <v>450</v>
      </c>
      <c r="E2779">
        <v>-100</v>
      </c>
      <c r="F2779" s="5">
        <v>43922</v>
      </c>
      <c r="G2779">
        <v>-450</v>
      </c>
      <c r="H2779" t="s">
        <v>58</v>
      </c>
    </row>
    <row r="2780" spans="1:8" x14ac:dyDescent="0.3">
      <c r="A2780">
        <v>237</v>
      </c>
      <c r="B2780" s="5">
        <v>43846</v>
      </c>
      <c r="C2780" t="s">
        <v>10</v>
      </c>
      <c r="D2780">
        <v>106</v>
      </c>
      <c r="E2780">
        <v>106</v>
      </c>
      <c r="F2780" s="5">
        <v>43831</v>
      </c>
      <c r="G2780">
        <v>106</v>
      </c>
      <c r="H2780" t="s">
        <v>57</v>
      </c>
    </row>
    <row r="2781" spans="1:8" x14ac:dyDescent="0.3">
      <c r="A2781">
        <v>237</v>
      </c>
      <c r="B2781" s="5">
        <v>43851</v>
      </c>
      <c r="C2781" t="s">
        <v>12</v>
      </c>
      <c r="D2781">
        <v>280</v>
      </c>
      <c r="E2781">
        <v>-174</v>
      </c>
      <c r="F2781" s="5">
        <v>43831</v>
      </c>
      <c r="G2781">
        <v>-280</v>
      </c>
      <c r="H2781" t="s">
        <v>58</v>
      </c>
    </row>
    <row r="2782" spans="1:8" x14ac:dyDescent="0.3">
      <c r="A2782">
        <v>237</v>
      </c>
      <c r="B2782" s="5">
        <v>43868</v>
      </c>
      <c r="C2782" t="s">
        <v>10</v>
      </c>
      <c r="D2782">
        <v>845</v>
      </c>
      <c r="E2782">
        <v>671</v>
      </c>
      <c r="F2782" s="5">
        <v>43862</v>
      </c>
      <c r="G2782">
        <v>845</v>
      </c>
      <c r="H2782" t="s">
        <v>57</v>
      </c>
    </row>
    <row r="2783" spans="1:8" x14ac:dyDescent="0.3">
      <c r="A2783">
        <v>237</v>
      </c>
      <c r="B2783" s="5">
        <v>43870</v>
      </c>
      <c r="C2783" t="s">
        <v>12</v>
      </c>
      <c r="D2783">
        <v>29</v>
      </c>
      <c r="E2783">
        <v>642</v>
      </c>
      <c r="F2783" s="5">
        <v>43862</v>
      </c>
      <c r="G2783">
        <v>-29</v>
      </c>
      <c r="H2783" t="s">
        <v>57</v>
      </c>
    </row>
    <row r="2784" spans="1:8" x14ac:dyDescent="0.3">
      <c r="A2784">
        <v>237</v>
      </c>
      <c r="B2784" s="5">
        <v>43876</v>
      </c>
      <c r="C2784" t="s">
        <v>12</v>
      </c>
      <c r="D2784">
        <v>289</v>
      </c>
      <c r="E2784">
        <v>353</v>
      </c>
      <c r="F2784" s="5">
        <v>43862</v>
      </c>
      <c r="G2784">
        <v>-289</v>
      </c>
      <c r="H2784" t="s">
        <v>57</v>
      </c>
    </row>
    <row r="2785" spans="1:8" x14ac:dyDescent="0.3">
      <c r="A2785">
        <v>237</v>
      </c>
      <c r="B2785" s="5">
        <v>43876</v>
      </c>
      <c r="C2785" t="s">
        <v>12</v>
      </c>
      <c r="D2785">
        <v>217</v>
      </c>
      <c r="E2785">
        <v>136</v>
      </c>
      <c r="F2785" s="5">
        <v>43862</v>
      </c>
      <c r="G2785">
        <v>-217</v>
      </c>
      <c r="H2785" t="s">
        <v>57</v>
      </c>
    </row>
    <row r="2786" spans="1:8" x14ac:dyDescent="0.3">
      <c r="A2786">
        <v>237</v>
      </c>
      <c r="B2786" s="5">
        <v>43906</v>
      </c>
      <c r="C2786" t="s">
        <v>10</v>
      </c>
      <c r="D2786">
        <v>679</v>
      </c>
      <c r="E2786">
        <v>815</v>
      </c>
      <c r="F2786" s="5">
        <v>43891</v>
      </c>
      <c r="G2786">
        <v>679</v>
      </c>
      <c r="H2786" t="s">
        <v>57</v>
      </c>
    </row>
    <row r="2787" spans="1:8" x14ac:dyDescent="0.3">
      <c r="A2787">
        <v>237</v>
      </c>
      <c r="B2787" s="5">
        <v>43913</v>
      </c>
      <c r="C2787" t="s">
        <v>10</v>
      </c>
      <c r="D2787">
        <v>752</v>
      </c>
      <c r="E2787">
        <v>1567</v>
      </c>
      <c r="F2787" s="5">
        <v>43891</v>
      </c>
      <c r="G2787">
        <v>752</v>
      </c>
      <c r="H2787" t="s">
        <v>57</v>
      </c>
    </row>
    <row r="2788" spans="1:8" x14ac:dyDescent="0.3">
      <c r="A2788">
        <v>237</v>
      </c>
      <c r="B2788" s="5">
        <v>43922</v>
      </c>
      <c r="C2788" t="s">
        <v>12</v>
      </c>
      <c r="D2788">
        <v>155</v>
      </c>
      <c r="E2788">
        <v>1412</v>
      </c>
      <c r="F2788" s="5">
        <v>43922</v>
      </c>
      <c r="G2788">
        <v>-155</v>
      </c>
      <c r="H2788" t="s">
        <v>57</v>
      </c>
    </row>
    <row r="2789" spans="1:8" x14ac:dyDescent="0.3">
      <c r="A2789">
        <v>237</v>
      </c>
      <c r="B2789" s="5">
        <v>43923</v>
      </c>
      <c r="C2789" t="s">
        <v>10</v>
      </c>
      <c r="D2789">
        <v>9</v>
      </c>
      <c r="E2789">
        <v>1421</v>
      </c>
      <c r="F2789" s="5">
        <v>43922</v>
      </c>
      <c r="G2789">
        <v>9</v>
      </c>
      <c r="H2789" t="s">
        <v>57</v>
      </c>
    </row>
    <row r="2790" spans="1:8" x14ac:dyDescent="0.3">
      <c r="A2790">
        <v>237</v>
      </c>
      <c r="B2790" s="5">
        <v>43926</v>
      </c>
      <c r="C2790" t="s">
        <v>10</v>
      </c>
      <c r="D2790">
        <v>653</v>
      </c>
      <c r="E2790">
        <v>2074</v>
      </c>
      <c r="F2790" s="5">
        <v>43922</v>
      </c>
      <c r="G2790">
        <v>653</v>
      </c>
      <c r="H2790" t="s">
        <v>57</v>
      </c>
    </row>
    <row r="2791" spans="1:8" x14ac:dyDescent="0.3">
      <c r="A2791">
        <v>237</v>
      </c>
      <c r="B2791" s="5">
        <v>43929</v>
      </c>
      <c r="C2791" t="s">
        <v>11</v>
      </c>
      <c r="D2791">
        <v>480</v>
      </c>
      <c r="E2791">
        <v>1594</v>
      </c>
      <c r="F2791" s="5">
        <v>43922</v>
      </c>
      <c r="G2791">
        <v>-480</v>
      </c>
      <c r="H2791" t="s">
        <v>57</v>
      </c>
    </row>
    <row r="2792" spans="1:8" x14ac:dyDescent="0.3">
      <c r="A2792">
        <v>237</v>
      </c>
      <c r="B2792" s="5">
        <v>43933</v>
      </c>
      <c r="C2792" t="s">
        <v>11</v>
      </c>
      <c r="D2792">
        <v>782</v>
      </c>
      <c r="E2792">
        <v>812</v>
      </c>
      <c r="F2792" s="5">
        <v>43922</v>
      </c>
      <c r="G2792">
        <v>-782</v>
      </c>
      <c r="H2792" t="s">
        <v>57</v>
      </c>
    </row>
    <row r="2793" spans="1:8" x14ac:dyDescent="0.3">
      <c r="A2793">
        <v>238</v>
      </c>
      <c r="B2793" s="5">
        <v>43848</v>
      </c>
      <c r="C2793" t="s">
        <v>10</v>
      </c>
      <c r="D2793">
        <v>896</v>
      </c>
      <c r="E2793">
        <v>896</v>
      </c>
      <c r="F2793" s="5">
        <v>43831</v>
      </c>
      <c r="G2793">
        <v>896</v>
      </c>
      <c r="H2793" t="s">
        <v>57</v>
      </c>
    </row>
    <row r="2794" spans="1:8" x14ac:dyDescent="0.3">
      <c r="A2794">
        <v>238</v>
      </c>
      <c r="B2794" s="5">
        <v>43848</v>
      </c>
      <c r="C2794" t="s">
        <v>11</v>
      </c>
      <c r="D2794">
        <v>94</v>
      </c>
      <c r="E2794">
        <v>802</v>
      </c>
      <c r="F2794" s="5">
        <v>43831</v>
      </c>
      <c r="G2794">
        <v>-94</v>
      </c>
      <c r="H2794" t="s">
        <v>57</v>
      </c>
    </row>
    <row r="2795" spans="1:8" x14ac:dyDescent="0.3">
      <c r="A2795">
        <v>238</v>
      </c>
      <c r="B2795" s="5">
        <v>43870</v>
      </c>
      <c r="C2795" t="s">
        <v>10</v>
      </c>
      <c r="D2795">
        <v>585</v>
      </c>
      <c r="E2795">
        <v>1387</v>
      </c>
      <c r="F2795" s="5">
        <v>43862</v>
      </c>
      <c r="G2795">
        <v>585</v>
      </c>
      <c r="H2795" t="s">
        <v>57</v>
      </c>
    </row>
    <row r="2796" spans="1:8" x14ac:dyDescent="0.3">
      <c r="A2796">
        <v>238</v>
      </c>
      <c r="B2796" s="5">
        <v>43873</v>
      </c>
      <c r="C2796" t="s">
        <v>12</v>
      </c>
      <c r="D2796">
        <v>278</v>
      </c>
      <c r="E2796">
        <v>1109</v>
      </c>
      <c r="F2796" s="5">
        <v>43862</v>
      </c>
      <c r="G2796">
        <v>-278</v>
      </c>
      <c r="H2796" t="s">
        <v>57</v>
      </c>
    </row>
    <row r="2797" spans="1:8" x14ac:dyDescent="0.3">
      <c r="A2797">
        <v>238</v>
      </c>
      <c r="B2797" s="5">
        <v>43877</v>
      </c>
      <c r="C2797" t="s">
        <v>10</v>
      </c>
      <c r="D2797">
        <v>161</v>
      </c>
      <c r="E2797">
        <v>1270</v>
      </c>
      <c r="F2797" s="5">
        <v>43862</v>
      </c>
      <c r="G2797">
        <v>161</v>
      </c>
      <c r="H2797" t="s">
        <v>57</v>
      </c>
    </row>
    <row r="2798" spans="1:8" x14ac:dyDescent="0.3">
      <c r="A2798">
        <v>238</v>
      </c>
      <c r="B2798" s="5">
        <v>43931</v>
      </c>
      <c r="C2798" t="s">
        <v>12</v>
      </c>
      <c r="D2798">
        <v>929</v>
      </c>
      <c r="E2798">
        <v>341</v>
      </c>
      <c r="F2798" s="5">
        <v>43922</v>
      </c>
      <c r="G2798">
        <v>-929</v>
      </c>
      <c r="H2798" t="s">
        <v>57</v>
      </c>
    </row>
    <row r="2799" spans="1:8" x14ac:dyDescent="0.3">
      <c r="A2799">
        <v>238</v>
      </c>
      <c r="B2799" s="5">
        <v>43933</v>
      </c>
      <c r="C2799" t="s">
        <v>11</v>
      </c>
      <c r="D2799">
        <v>820</v>
      </c>
      <c r="E2799">
        <v>-479</v>
      </c>
      <c r="F2799" s="5">
        <v>43922</v>
      </c>
      <c r="G2799">
        <v>-820</v>
      </c>
      <c r="H2799" t="s">
        <v>58</v>
      </c>
    </row>
    <row r="2800" spans="1:8" x14ac:dyDescent="0.3">
      <c r="A2800">
        <v>239</v>
      </c>
      <c r="B2800" s="5">
        <v>43848</v>
      </c>
      <c r="C2800" t="s">
        <v>11</v>
      </c>
      <c r="D2800">
        <v>618</v>
      </c>
      <c r="E2800">
        <v>-618</v>
      </c>
      <c r="F2800" s="5">
        <v>43831</v>
      </c>
      <c r="G2800">
        <v>-618</v>
      </c>
      <c r="H2800" t="s">
        <v>58</v>
      </c>
    </row>
    <row r="2801" spans="1:8" x14ac:dyDescent="0.3">
      <c r="A2801">
        <v>239</v>
      </c>
      <c r="B2801" s="5">
        <v>43848</v>
      </c>
      <c r="C2801" t="s">
        <v>10</v>
      </c>
      <c r="D2801">
        <v>771</v>
      </c>
      <c r="E2801">
        <v>153</v>
      </c>
      <c r="F2801" s="5">
        <v>43831</v>
      </c>
      <c r="G2801">
        <v>771</v>
      </c>
      <c r="H2801" t="s">
        <v>57</v>
      </c>
    </row>
    <row r="2802" spans="1:8" x14ac:dyDescent="0.3">
      <c r="A2802">
        <v>239</v>
      </c>
      <c r="B2802" s="5">
        <v>43854</v>
      </c>
      <c r="C2802" t="s">
        <v>11</v>
      </c>
      <c r="D2802">
        <v>40</v>
      </c>
      <c r="E2802">
        <v>113</v>
      </c>
      <c r="F2802" s="5">
        <v>43831</v>
      </c>
      <c r="G2802">
        <v>-40</v>
      </c>
      <c r="H2802" t="s">
        <v>57</v>
      </c>
    </row>
    <row r="2803" spans="1:8" x14ac:dyDescent="0.3">
      <c r="A2803">
        <v>239</v>
      </c>
      <c r="B2803" s="5">
        <v>43855</v>
      </c>
      <c r="C2803" t="s">
        <v>11</v>
      </c>
      <c r="D2803">
        <v>123</v>
      </c>
      <c r="E2803">
        <v>-10</v>
      </c>
      <c r="F2803" s="5">
        <v>43831</v>
      </c>
      <c r="G2803">
        <v>-123</v>
      </c>
      <c r="H2803" t="s">
        <v>58</v>
      </c>
    </row>
    <row r="2804" spans="1:8" x14ac:dyDescent="0.3">
      <c r="A2804">
        <v>239</v>
      </c>
      <c r="B2804" s="5">
        <v>43873</v>
      </c>
      <c r="C2804" t="s">
        <v>10</v>
      </c>
      <c r="D2804">
        <v>716</v>
      </c>
      <c r="E2804">
        <v>706</v>
      </c>
      <c r="F2804" s="5">
        <v>43862</v>
      </c>
      <c r="G2804">
        <v>716</v>
      </c>
      <c r="H2804" t="s">
        <v>57</v>
      </c>
    </row>
    <row r="2805" spans="1:8" x14ac:dyDescent="0.3">
      <c r="A2805">
        <v>239</v>
      </c>
      <c r="B2805" s="5">
        <v>43891</v>
      </c>
      <c r="C2805" t="s">
        <v>11</v>
      </c>
      <c r="D2805">
        <v>345</v>
      </c>
      <c r="E2805">
        <v>361</v>
      </c>
      <c r="F2805" s="5">
        <v>43891</v>
      </c>
      <c r="G2805">
        <v>-345</v>
      </c>
      <c r="H2805" t="s">
        <v>57</v>
      </c>
    </row>
    <row r="2806" spans="1:8" x14ac:dyDescent="0.3">
      <c r="A2806">
        <v>239</v>
      </c>
      <c r="B2806" s="5">
        <v>43899</v>
      </c>
      <c r="C2806" t="s">
        <v>12</v>
      </c>
      <c r="D2806">
        <v>113</v>
      </c>
      <c r="E2806">
        <v>248</v>
      </c>
      <c r="F2806" s="5">
        <v>43891</v>
      </c>
      <c r="G2806">
        <v>-113</v>
      </c>
      <c r="H2806" t="s">
        <v>57</v>
      </c>
    </row>
    <row r="2807" spans="1:8" x14ac:dyDescent="0.3">
      <c r="A2807">
        <v>239</v>
      </c>
      <c r="B2807" s="5">
        <v>43902</v>
      </c>
      <c r="C2807" t="s">
        <v>10</v>
      </c>
      <c r="D2807">
        <v>506</v>
      </c>
      <c r="E2807">
        <v>754</v>
      </c>
      <c r="F2807" s="5">
        <v>43891</v>
      </c>
      <c r="G2807">
        <v>506</v>
      </c>
      <c r="H2807" t="s">
        <v>57</v>
      </c>
    </row>
    <row r="2808" spans="1:8" x14ac:dyDescent="0.3">
      <c r="A2808">
        <v>239</v>
      </c>
      <c r="B2808" s="5">
        <v>43911</v>
      </c>
      <c r="C2808" t="s">
        <v>10</v>
      </c>
      <c r="D2808">
        <v>586</v>
      </c>
      <c r="E2808">
        <v>1340</v>
      </c>
      <c r="F2808" s="5">
        <v>43891</v>
      </c>
      <c r="G2808">
        <v>586</v>
      </c>
      <c r="H2808" t="s">
        <v>57</v>
      </c>
    </row>
    <row r="2809" spans="1:8" x14ac:dyDescent="0.3">
      <c r="A2809">
        <v>239</v>
      </c>
      <c r="B2809" s="5">
        <v>43919</v>
      </c>
      <c r="C2809" t="s">
        <v>12</v>
      </c>
      <c r="D2809">
        <v>718</v>
      </c>
      <c r="E2809">
        <v>622</v>
      </c>
      <c r="F2809" s="5">
        <v>43891</v>
      </c>
      <c r="G2809">
        <v>-718</v>
      </c>
      <c r="H2809" t="s">
        <v>57</v>
      </c>
    </row>
    <row r="2810" spans="1:8" x14ac:dyDescent="0.3">
      <c r="A2810">
        <v>239</v>
      </c>
      <c r="B2810" s="5">
        <v>43919</v>
      </c>
      <c r="C2810" t="s">
        <v>12</v>
      </c>
      <c r="D2810">
        <v>48</v>
      </c>
      <c r="E2810">
        <v>574</v>
      </c>
      <c r="F2810" s="5">
        <v>43891</v>
      </c>
      <c r="G2810">
        <v>-48</v>
      </c>
      <c r="H2810" t="s">
        <v>57</v>
      </c>
    </row>
    <row r="2811" spans="1:8" x14ac:dyDescent="0.3">
      <c r="A2811">
        <v>239</v>
      </c>
      <c r="B2811" s="5">
        <v>43927</v>
      </c>
      <c r="C2811" t="s">
        <v>10</v>
      </c>
      <c r="D2811">
        <v>829</v>
      </c>
      <c r="E2811">
        <v>1403</v>
      </c>
      <c r="F2811" s="5">
        <v>43922</v>
      </c>
      <c r="G2811">
        <v>829</v>
      </c>
      <c r="H2811" t="s">
        <v>57</v>
      </c>
    </row>
    <row r="2812" spans="1:8" x14ac:dyDescent="0.3">
      <c r="A2812">
        <v>239</v>
      </c>
      <c r="B2812" s="5">
        <v>43929</v>
      </c>
      <c r="C2812" t="s">
        <v>10</v>
      </c>
      <c r="D2812">
        <v>468</v>
      </c>
      <c r="E2812">
        <v>1871</v>
      </c>
      <c r="F2812" s="5">
        <v>43922</v>
      </c>
      <c r="G2812">
        <v>468</v>
      </c>
      <c r="H2812" t="s">
        <v>57</v>
      </c>
    </row>
    <row r="2813" spans="1:8" x14ac:dyDescent="0.3">
      <c r="A2813">
        <v>240</v>
      </c>
      <c r="B2813" s="5">
        <v>43840</v>
      </c>
      <c r="C2813" t="s">
        <v>10</v>
      </c>
      <c r="D2813">
        <v>872</v>
      </c>
      <c r="E2813">
        <v>872</v>
      </c>
      <c r="F2813" s="5">
        <v>43831</v>
      </c>
      <c r="G2813">
        <v>872</v>
      </c>
      <c r="H2813" t="s">
        <v>57</v>
      </c>
    </row>
    <row r="2814" spans="1:8" x14ac:dyDescent="0.3">
      <c r="A2814">
        <v>240</v>
      </c>
      <c r="B2814" s="5">
        <v>43842</v>
      </c>
      <c r="C2814" t="s">
        <v>11</v>
      </c>
      <c r="D2814">
        <v>725</v>
      </c>
      <c r="E2814">
        <v>147</v>
      </c>
      <c r="F2814" s="5">
        <v>43831</v>
      </c>
      <c r="G2814">
        <v>-725</v>
      </c>
      <c r="H2814" t="s">
        <v>57</v>
      </c>
    </row>
    <row r="2815" spans="1:8" x14ac:dyDescent="0.3">
      <c r="A2815">
        <v>240</v>
      </c>
      <c r="B2815" s="5">
        <v>43850</v>
      </c>
      <c r="C2815" t="s">
        <v>10</v>
      </c>
      <c r="D2815">
        <v>748</v>
      </c>
      <c r="E2815">
        <v>895</v>
      </c>
      <c r="F2815" s="5">
        <v>43831</v>
      </c>
      <c r="G2815">
        <v>748</v>
      </c>
      <c r="H2815" t="s">
        <v>57</v>
      </c>
    </row>
    <row r="2816" spans="1:8" x14ac:dyDescent="0.3">
      <c r="A2816">
        <v>240</v>
      </c>
      <c r="B2816" s="5">
        <v>43859</v>
      </c>
      <c r="C2816" t="s">
        <v>11</v>
      </c>
      <c r="D2816">
        <v>684</v>
      </c>
      <c r="E2816">
        <v>211</v>
      </c>
      <c r="F2816" s="5">
        <v>43831</v>
      </c>
      <c r="G2816">
        <v>-684</v>
      </c>
      <c r="H2816" t="s">
        <v>57</v>
      </c>
    </row>
    <row r="2817" spans="1:8" x14ac:dyDescent="0.3">
      <c r="A2817">
        <v>240</v>
      </c>
      <c r="B2817" s="5">
        <v>43860</v>
      </c>
      <c r="C2817" t="s">
        <v>10</v>
      </c>
      <c r="D2817">
        <v>897</v>
      </c>
      <c r="E2817">
        <v>1108</v>
      </c>
      <c r="F2817" s="5">
        <v>43831</v>
      </c>
      <c r="G2817">
        <v>897</v>
      </c>
      <c r="H2817" t="s">
        <v>57</v>
      </c>
    </row>
    <row r="2818" spans="1:8" x14ac:dyDescent="0.3">
      <c r="A2818">
        <v>240</v>
      </c>
      <c r="B2818" s="5">
        <v>43862</v>
      </c>
      <c r="C2818" t="s">
        <v>11</v>
      </c>
      <c r="D2818">
        <v>313</v>
      </c>
      <c r="E2818">
        <v>795</v>
      </c>
      <c r="F2818" s="5">
        <v>43862</v>
      </c>
      <c r="G2818">
        <v>-313</v>
      </c>
      <c r="H2818" t="s">
        <v>57</v>
      </c>
    </row>
    <row r="2819" spans="1:8" x14ac:dyDescent="0.3">
      <c r="A2819">
        <v>240</v>
      </c>
      <c r="B2819" s="5">
        <v>43862</v>
      </c>
      <c r="C2819" t="s">
        <v>11</v>
      </c>
      <c r="D2819">
        <v>6</v>
      </c>
      <c r="E2819">
        <v>789</v>
      </c>
      <c r="F2819" s="5">
        <v>43862</v>
      </c>
      <c r="G2819">
        <v>-6</v>
      </c>
      <c r="H2819" t="s">
        <v>57</v>
      </c>
    </row>
    <row r="2820" spans="1:8" x14ac:dyDescent="0.3">
      <c r="A2820">
        <v>240</v>
      </c>
      <c r="B2820" s="5">
        <v>43868</v>
      </c>
      <c r="C2820" t="s">
        <v>11</v>
      </c>
      <c r="D2820">
        <v>35</v>
      </c>
      <c r="E2820">
        <v>754</v>
      </c>
      <c r="F2820" s="5">
        <v>43862</v>
      </c>
      <c r="G2820">
        <v>-35</v>
      </c>
      <c r="H2820" t="s">
        <v>57</v>
      </c>
    </row>
    <row r="2821" spans="1:8" x14ac:dyDescent="0.3">
      <c r="A2821">
        <v>240</v>
      </c>
      <c r="B2821" s="5">
        <v>43891</v>
      </c>
      <c r="C2821" t="s">
        <v>10</v>
      </c>
      <c r="D2821">
        <v>864</v>
      </c>
      <c r="E2821">
        <v>1618</v>
      </c>
      <c r="F2821" s="5">
        <v>43891</v>
      </c>
      <c r="G2821">
        <v>864</v>
      </c>
      <c r="H2821" t="s">
        <v>57</v>
      </c>
    </row>
    <row r="2822" spans="1:8" x14ac:dyDescent="0.3">
      <c r="A2822">
        <v>240</v>
      </c>
      <c r="B2822" s="5">
        <v>43898</v>
      </c>
      <c r="C2822" t="s">
        <v>10</v>
      </c>
      <c r="D2822">
        <v>460</v>
      </c>
      <c r="E2822">
        <v>2078</v>
      </c>
      <c r="F2822" s="5">
        <v>43891</v>
      </c>
      <c r="G2822">
        <v>460</v>
      </c>
      <c r="H2822" t="s">
        <v>57</v>
      </c>
    </row>
    <row r="2823" spans="1:8" x14ac:dyDescent="0.3">
      <c r="A2823">
        <v>240</v>
      </c>
      <c r="B2823" s="5">
        <v>43898</v>
      </c>
      <c r="C2823" t="s">
        <v>10</v>
      </c>
      <c r="D2823">
        <v>853</v>
      </c>
      <c r="E2823">
        <v>2931</v>
      </c>
      <c r="F2823" s="5">
        <v>43891</v>
      </c>
      <c r="G2823">
        <v>853</v>
      </c>
      <c r="H2823" t="s">
        <v>57</v>
      </c>
    </row>
    <row r="2824" spans="1:8" x14ac:dyDescent="0.3">
      <c r="A2824">
        <v>240</v>
      </c>
      <c r="B2824" s="5">
        <v>43907</v>
      </c>
      <c r="C2824" t="s">
        <v>12</v>
      </c>
      <c r="D2824">
        <v>494</v>
      </c>
      <c r="E2824">
        <v>2437</v>
      </c>
      <c r="F2824" s="5">
        <v>43891</v>
      </c>
      <c r="G2824">
        <v>-494</v>
      </c>
      <c r="H2824" t="s">
        <v>57</v>
      </c>
    </row>
    <row r="2825" spans="1:8" x14ac:dyDescent="0.3">
      <c r="A2825">
        <v>240</v>
      </c>
      <c r="B2825" s="5">
        <v>43914</v>
      </c>
      <c r="C2825" t="s">
        <v>10</v>
      </c>
      <c r="D2825">
        <v>995</v>
      </c>
      <c r="E2825">
        <v>3432</v>
      </c>
      <c r="F2825" s="5">
        <v>43891</v>
      </c>
      <c r="G2825">
        <v>995</v>
      </c>
      <c r="H2825" t="s">
        <v>57</v>
      </c>
    </row>
    <row r="2826" spans="1:8" x14ac:dyDescent="0.3">
      <c r="A2826">
        <v>240</v>
      </c>
      <c r="B2826" s="5">
        <v>43915</v>
      </c>
      <c r="C2826" t="s">
        <v>12</v>
      </c>
      <c r="D2826">
        <v>232</v>
      </c>
      <c r="E2826">
        <v>3200</v>
      </c>
      <c r="F2826" s="5">
        <v>43891</v>
      </c>
      <c r="G2826">
        <v>-232</v>
      </c>
      <c r="H2826" t="s">
        <v>57</v>
      </c>
    </row>
    <row r="2827" spans="1:8" x14ac:dyDescent="0.3">
      <c r="A2827">
        <v>240</v>
      </c>
      <c r="B2827" s="5">
        <v>43922</v>
      </c>
      <c r="C2827" t="s">
        <v>12</v>
      </c>
      <c r="D2827">
        <v>35</v>
      </c>
      <c r="E2827">
        <v>3165</v>
      </c>
      <c r="F2827" s="5">
        <v>43922</v>
      </c>
      <c r="G2827">
        <v>-35</v>
      </c>
      <c r="H2827" t="s">
        <v>57</v>
      </c>
    </row>
    <row r="2828" spans="1:8" x14ac:dyDescent="0.3">
      <c r="A2828">
        <v>240</v>
      </c>
      <c r="B2828" s="5">
        <v>43924</v>
      </c>
      <c r="C2828" t="s">
        <v>11</v>
      </c>
      <c r="D2828">
        <v>258</v>
      </c>
      <c r="E2828">
        <v>2907</v>
      </c>
      <c r="F2828" s="5">
        <v>43922</v>
      </c>
      <c r="G2828">
        <v>-258</v>
      </c>
      <c r="H2828" t="s">
        <v>57</v>
      </c>
    </row>
    <row r="2829" spans="1:8" x14ac:dyDescent="0.3">
      <c r="A2829">
        <v>240</v>
      </c>
      <c r="B2829" s="5">
        <v>43925</v>
      </c>
      <c r="C2829" t="s">
        <v>10</v>
      </c>
      <c r="D2829">
        <v>168</v>
      </c>
      <c r="E2829">
        <v>3075</v>
      </c>
      <c r="F2829" s="5">
        <v>43922</v>
      </c>
      <c r="G2829">
        <v>168</v>
      </c>
      <c r="H2829" t="s">
        <v>57</v>
      </c>
    </row>
    <row r="2830" spans="1:8" x14ac:dyDescent="0.3">
      <c r="A2830">
        <v>241</v>
      </c>
      <c r="B2830" s="5">
        <v>43831</v>
      </c>
      <c r="C2830" t="s">
        <v>10</v>
      </c>
      <c r="D2830">
        <v>161</v>
      </c>
      <c r="E2830">
        <v>161</v>
      </c>
      <c r="F2830" s="5">
        <v>43831</v>
      </c>
      <c r="G2830">
        <v>161</v>
      </c>
      <c r="H2830" t="s">
        <v>57</v>
      </c>
    </row>
    <row r="2831" spans="1:8" x14ac:dyDescent="0.3">
      <c r="A2831">
        <v>241</v>
      </c>
      <c r="B2831" s="5">
        <v>43835</v>
      </c>
      <c r="C2831" t="s">
        <v>11</v>
      </c>
      <c r="D2831">
        <v>141</v>
      </c>
      <c r="E2831">
        <v>20</v>
      </c>
      <c r="F2831" s="5">
        <v>43831</v>
      </c>
      <c r="G2831">
        <v>-141</v>
      </c>
      <c r="H2831" t="s">
        <v>57</v>
      </c>
    </row>
    <row r="2832" spans="1:8" x14ac:dyDescent="0.3">
      <c r="A2832">
        <v>242</v>
      </c>
      <c r="B2832" s="5">
        <v>43850</v>
      </c>
      <c r="C2832" t="s">
        <v>10</v>
      </c>
      <c r="D2832">
        <v>256</v>
      </c>
      <c r="E2832">
        <v>256</v>
      </c>
      <c r="F2832" s="5">
        <v>43831</v>
      </c>
      <c r="G2832">
        <v>256</v>
      </c>
      <c r="H2832" t="s">
        <v>57</v>
      </c>
    </row>
    <row r="2833" spans="1:8" x14ac:dyDescent="0.3">
      <c r="A2833">
        <v>242</v>
      </c>
      <c r="B2833" s="5">
        <v>43852</v>
      </c>
      <c r="C2833" t="s">
        <v>11</v>
      </c>
      <c r="D2833">
        <v>227</v>
      </c>
      <c r="E2833">
        <v>29</v>
      </c>
      <c r="F2833" s="5">
        <v>43831</v>
      </c>
      <c r="G2833">
        <v>-227</v>
      </c>
      <c r="H2833" t="s">
        <v>57</v>
      </c>
    </row>
    <row r="2834" spans="1:8" x14ac:dyDescent="0.3">
      <c r="A2834">
        <v>242</v>
      </c>
      <c r="B2834" s="5">
        <v>43857</v>
      </c>
      <c r="C2834" t="s">
        <v>10</v>
      </c>
      <c r="D2834">
        <v>441</v>
      </c>
      <c r="E2834">
        <v>470</v>
      </c>
      <c r="F2834" s="5">
        <v>43831</v>
      </c>
      <c r="G2834">
        <v>441</v>
      </c>
      <c r="H2834" t="s">
        <v>57</v>
      </c>
    </row>
    <row r="2835" spans="1:8" x14ac:dyDescent="0.3">
      <c r="A2835">
        <v>242</v>
      </c>
      <c r="B2835" s="5">
        <v>43858</v>
      </c>
      <c r="C2835" t="s">
        <v>10</v>
      </c>
      <c r="D2835">
        <v>673</v>
      </c>
      <c r="E2835">
        <v>1143</v>
      </c>
      <c r="F2835" s="5">
        <v>43831</v>
      </c>
      <c r="G2835">
        <v>673</v>
      </c>
      <c r="H2835" t="s">
        <v>57</v>
      </c>
    </row>
    <row r="2836" spans="1:8" x14ac:dyDescent="0.3">
      <c r="A2836">
        <v>242</v>
      </c>
      <c r="B2836" s="5">
        <v>43871</v>
      </c>
      <c r="C2836" t="s">
        <v>12</v>
      </c>
      <c r="D2836">
        <v>835</v>
      </c>
      <c r="E2836">
        <v>308</v>
      </c>
      <c r="F2836" s="5">
        <v>43862</v>
      </c>
      <c r="G2836">
        <v>-835</v>
      </c>
      <c r="H2836" t="s">
        <v>57</v>
      </c>
    </row>
    <row r="2837" spans="1:8" x14ac:dyDescent="0.3">
      <c r="A2837">
        <v>242</v>
      </c>
      <c r="B2837" s="5">
        <v>43873</v>
      </c>
      <c r="C2837" t="s">
        <v>12</v>
      </c>
      <c r="D2837">
        <v>228</v>
      </c>
      <c r="E2837">
        <v>80</v>
      </c>
      <c r="F2837" s="5">
        <v>43862</v>
      </c>
      <c r="G2837">
        <v>-228</v>
      </c>
      <c r="H2837" t="s">
        <v>57</v>
      </c>
    </row>
    <row r="2838" spans="1:8" x14ac:dyDescent="0.3">
      <c r="A2838">
        <v>242</v>
      </c>
      <c r="B2838" s="5">
        <v>43881</v>
      </c>
      <c r="C2838" t="s">
        <v>12</v>
      </c>
      <c r="D2838">
        <v>328</v>
      </c>
      <c r="E2838">
        <v>-248</v>
      </c>
      <c r="F2838" s="5">
        <v>43862</v>
      </c>
      <c r="G2838">
        <v>-328</v>
      </c>
      <c r="H2838" t="s">
        <v>58</v>
      </c>
    </row>
    <row r="2839" spans="1:8" x14ac:dyDescent="0.3">
      <c r="A2839">
        <v>242</v>
      </c>
      <c r="B2839" s="5">
        <v>43883</v>
      </c>
      <c r="C2839" t="s">
        <v>10</v>
      </c>
      <c r="D2839">
        <v>134</v>
      </c>
      <c r="E2839">
        <v>-114</v>
      </c>
      <c r="F2839" s="5">
        <v>43862</v>
      </c>
      <c r="G2839">
        <v>134</v>
      </c>
      <c r="H2839" t="s">
        <v>58</v>
      </c>
    </row>
    <row r="2840" spans="1:8" x14ac:dyDescent="0.3">
      <c r="A2840">
        <v>242</v>
      </c>
      <c r="B2840" s="5">
        <v>43887</v>
      </c>
      <c r="C2840" t="s">
        <v>12</v>
      </c>
      <c r="D2840">
        <v>643</v>
      </c>
      <c r="E2840">
        <v>-757</v>
      </c>
      <c r="F2840" s="5">
        <v>43862</v>
      </c>
      <c r="G2840">
        <v>-643</v>
      </c>
      <c r="H2840" t="s">
        <v>58</v>
      </c>
    </row>
    <row r="2841" spans="1:8" x14ac:dyDescent="0.3">
      <c r="A2841">
        <v>242</v>
      </c>
      <c r="B2841" s="5">
        <v>43889</v>
      </c>
      <c r="C2841" t="s">
        <v>10</v>
      </c>
      <c r="D2841">
        <v>295</v>
      </c>
      <c r="E2841">
        <v>-462</v>
      </c>
      <c r="F2841" s="5">
        <v>43862</v>
      </c>
      <c r="G2841">
        <v>295</v>
      </c>
      <c r="H2841" t="s">
        <v>58</v>
      </c>
    </row>
    <row r="2842" spans="1:8" x14ac:dyDescent="0.3">
      <c r="A2842">
        <v>242</v>
      </c>
      <c r="B2842" s="5">
        <v>43892</v>
      </c>
      <c r="C2842" t="s">
        <v>10</v>
      </c>
      <c r="D2842">
        <v>286</v>
      </c>
      <c r="E2842">
        <v>-176</v>
      </c>
      <c r="F2842" s="5">
        <v>43891</v>
      </c>
      <c r="G2842">
        <v>286</v>
      </c>
      <c r="H2842" t="s">
        <v>58</v>
      </c>
    </row>
    <row r="2843" spans="1:8" x14ac:dyDescent="0.3">
      <c r="A2843">
        <v>242</v>
      </c>
      <c r="B2843" s="5">
        <v>43899</v>
      </c>
      <c r="C2843" t="s">
        <v>11</v>
      </c>
      <c r="D2843">
        <v>225</v>
      </c>
      <c r="E2843">
        <v>-401</v>
      </c>
      <c r="F2843" s="5">
        <v>43891</v>
      </c>
      <c r="G2843">
        <v>-225</v>
      </c>
      <c r="H2843" t="s">
        <v>58</v>
      </c>
    </row>
    <row r="2844" spans="1:8" x14ac:dyDescent="0.3">
      <c r="A2844">
        <v>242</v>
      </c>
      <c r="B2844" s="5">
        <v>43902</v>
      </c>
      <c r="C2844" t="s">
        <v>12</v>
      </c>
      <c r="D2844">
        <v>654</v>
      </c>
      <c r="E2844">
        <v>-1055</v>
      </c>
      <c r="F2844" s="5">
        <v>43891</v>
      </c>
      <c r="G2844">
        <v>-654</v>
      </c>
      <c r="H2844" t="s">
        <v>58</v>
      </c>
    </row>
    <row r="2845" spans="1:8" x14ac:dyDescent="0.3">
      <c r="A2845">
        <v>242</v>
      </c>
      <c r="B2845" s="5">
        <v>43906</v>
      </c>
      <c r="C2845" t="s">
        <v>12</v>
      </c>
      <c r="D2845">
        <v>713</v>
      </c>
      <c r="E2845">
        <v>-1768</v>
      </c>
      <c r="F2845" s="5">
        <v>43891</v>
      </c>
      <c r="G2845">
        <v>-713</v>
      </c>
      <c r="H2845" t="s">
        <v>58</v>
      </c>
    </row>
    <row r="2846" spans="1:8" x14ac:dyDescent="0.3">
      <c r="A2846">
        <v>242</v>
      </c>
      <c r="B2846" s="5">
        <v>43906</v>
      </c>
      <c r="C2846" t="s">
        <v>12</v>
      </c>
      <c r="D2846">
        <v>123</v>
      </c>
      <c r="E2846">
        <v>-1891</v>
      </c>
      <c r="F2846" s="5">
        <v>43891</v>
      </c>
      <c r="G2846">
        <v>-123</v>
      </c>
      <c r="H2846" t="s">
        <v>58</v>
      </c>
    </row>
    <row r="2847" spans="1:8" x14ac:dyDescent="0.3">
      <c r="A2847">
        <v>242</v>
      </c>
      <c r="B2847" s="5">
        <v>43922</v>
      </c>
      <c r="C2847" t="s">
        <v>11</v>
      </c>
      <c r="D2847">
        <v>503</v>
      </c>
      <c r="E2847">
        <v>-2394</v>
      </c>
      <c r="F2847" s="5">
        <v>43922</v>
      </c>
      <c r="G2847">
        <v>-503</v>
      </c>
      <c r="H2847" t="s">
        <v>58</v>
      </c>
    </row>
    <row r="2848" spans="1:8" x14ac:dyDescent="0.3">
      <c r="A2848">
        <v>242</v>
      </c>
      <c r="B2848" s="5">
        <v>43926</v>
      </c>
      <c r="C2848" t="s">
        <v>12</v>
      </c>
      <c r="D2848">
        <v>915</v>
      </c>
      <c r="E2848">
        <v>-3309</v>
      </c>
      <c r="F2848" s="5">
        <v>43922</v>
      </c>
      <c r="G2848">
        <v>-915</v>
      </c>
      <c r="H2848" t="s">
        <v>58</v>
      </c>
    </row>
    <row r="2849" spans="1:8" x14ac:dyDescent="0.3">
      <c r="A2849">
        <v>242</v>
      </c>
      <c r="B2849" s="5">
        <v>43926</v>
      </c>
      <c r="C2849" t="s">
        <v>12</v>
      </c>
      <c r="D2849">
        <v>372</v>
      </c>
      <c r="E2849">
        <v>-3681</v>
      </c>
      <c r="F2849" s="5">
        <v>43922</v>
      </c>
      <c r="G2849">
        <v>-372</v>
      </c>
      <c r="H2849" t="s">
        <v>58</v>
      </c>
    </row>
    <row r="2850" spans="1:8" x14ac:dyDescent="0.3">
      <c r="A2850">
        <v>242</v>
      </c>
      <c r="B2850" s="5">
        <v>43930</v>
      </c>
      <c r="C2850" t="s">
        <v>10</v>
      </c>
      <c r="D2850">
        <v>1</v>
      </c>
      <c r="E2850">
        <v>-3680</v>
      </c>
      <c r="F2850" s="5">
        <v>43922</v>
      </c>
      <c r="G2850">
        <v>1</v>
      </c>
      <c r="H2850" t="s">
        <v>58</v>
      </c>
    </row>
    <row r="2851" spans="1:8" x14ac:dyDescent="0.3">
      <c r="A2851">
        <v>242</v>
      </c>
      <c r="B2851" s="5">
        <v>43933</v>
      </c>
      <c r="C2851" t="s">
        <v>11</v>
      </c>
      <c r="D2851">
        <v>337</v>
      </c>
      <c r="E2851">
        <v>-4017</v>
      </c>
      <c r="F2851" s="5">
        <v>43922</v>
      </c>
      <c r="G2851">
        <v>-337</v>
      </c>
      <c r="H2851" t="s">
        <v>58</v>
      </c>
    </row>
    <row r="2852" spans="1:8" x14ac:dyDescent="0.3">
      <c r="A2852">
        <v>242</v>
      </c>
      <c r="B2852" s="5">
        <v>43935</v>
      </c>
      <c r="C2852" t="s">
        <v>12</v>
      </c>
      <c r="D2852">
        <v>47</v>
      </c>
      <c r="E2852">
        <v>-4064</v>
      </c>
      <c r="F2852" s="5">
        <v>43922</v>
      </c>
      <c r="G2852">
        <v>-47</v>
      </c>
      <c r="H2852" t="s">
        <v>58</v>
      </c>
    </row>
    <row r="2853" spans="1:8" x14ac:dyDescent="0.3">
      <c r="A2853">
        <v>242</v>
      </c>
      <c r="B2853" s="5">
        <v>43939</v>
      </c>
      <c r="C2853" t="s">
        <v>10</v>
      </c>
      <c r="D2853">
        <v>730</v>
      </c>
      <c r="E2853">
        <v>-3334</v>
      </c>
      <c r="F2853" s="5">
        <v>43922</v>
      </c>
      <c r="G2853">
        <v>730</v>
      </c>
      <c r="H2853" t="s">
        <v>58</v>
      </c>
    </row>
    <row r="2854" spans="1:8" x14ac:dyDescent="0.3">
      <c r="A2854">
        <v>243</v>
      </c>
      <c r="B2854" s="5">
        <v>43831</v>
      </c>
      <c r="C2854" t="s">
        <v>10</v>
      </c>
      <c r="D2854">
        <v>247</v>
      </c>
      <c r="E2854">
        <v>247</v>
      </c>
      <c r="F2854" s="5">
        <v>43831</v>
      </c>
      <c r="G2854">
        <v>247</v>
      </c>
      <c r="H2854" t="s">
        <v>57</v>
      </c>
    </row>
    <row r="2855" spans="1:8" x14ac:dyDescent="0.3">
      <c r="A2855">
        <v>243</v>
      </c>
      <c r="B2855" s="5">
        <v>43835</v>
      </c>
      <c r="C2855" t="s">
        <v>11</v>
      </c>
      <c r="D2855">
        <v>439</v>
      </c>
      <c r="E2855">
        <v>-192</v>
      </c>
      <c r="F2855" s="5">
        <v>43831</v>
      </c>
      <c r="G2855">
        <v>-439</v>
      </c>
      <c r="H2855" t="s">
        <v>58</v>
      </c>
    </row>
    <row r="2856" spans="1:8" x14ac:dyDescent="0.3">
      <c r="A2856">
        <v>243</v>
      </c>
      <c r="B2856" s="5">
        <v>43844</v>
      </c>
      <c r="C2856" t="s">
        <v>12</v>
      </c>
      <c r="D2856">
        <v>176</v>
      </c>
      <c r="E2856">
        <v>-368</v>
      </c>
      <c r="F2856" s="5">
        <v>43831</v>
      </c>
      <c r="G2856">
        <v>-176</v>
      </c>
      <c r="H2856" t="s">
        <v>58</v>
      </c>
    </row>
    <row r="2857" spans="1:8" x14ac:dyDescent="0.3">
      <c r="A2857">
        <v>243</v>
      </c>
      <c r="B2857" s="5">
        <v>43903</v>
      </c>
      <c r="C2857" t="s">
        <v>10</v>
      </c>
      <c r="D2857">
        <v>964</v>
      </c>
      <c r="E2857">
        <v>596</v>
      </c>
      <c r="F2857" s="5">
        <v>43891</v>
      </c>
      <c r="G2857">
        <v>964</v>
      </c>
      <c r="H2857" t="s">
        <v>57</v>
      </c>
    </row>
    <row r="2858" spans="1:8" x14ac:dyDescent="0.3">
      <c r="A2858">
        <v>243</v>
      </c>
      <c r="B2858" s="5">
        <v>43911</v>
      </c>
      <c r="C2858" t="s">
        <v>10</v>
      </c>
      <c r="D2858">
        <v>351</v>
      </c>
      <c r="E2858">
        <v>947</v>
      </c>
      <c r="F2858" s="5">
        <v>43891</v>
      </c>
      <c r="G2858">
        <v>351</v>
      </c>
      <c r="H2858" t="s">
        <v>57</v>
      </c>
    </row>
    <row r="2859" spans="1:8" x14ac:dyDescent="0.3">
      <c r="A2859">
        <v>243</v>
      </c>
      <c r="B2859" s="5">
        <v>43914</v>
      </c>
      <c r="C2859" t="s">
        <v>10</v>
      </c>
      <c r="D2859">
        <v>32</v>
      </c>
      <c r="E2859">
        <v>979</v>
      </c>
      <c r="F2859" s="5">
        <v>43891</v>
      </c>
      <c r="G2859">
        <v>32</v>
      </c>
      <c r="H2859" t="s">
        <v>57</v>
      </c>
    </row>
    <row r="2860" spans="1:8" x14ac:dyDescent="0.3">
      <c r="A2860">
        <v>244</v>
      </c>
      <c r="B2860" s="5">
        <v>43857</v>
      </c>
      <c r="C2860" t="s">
        <v>10</v>
      </c>
      <c r="D2860">
        <v>728</v>
      </c>
      <c r="E2860">
        <v>728</v>
      </c>
      <c r="F2860" s="5">
        <v>43831</v>
      </c>
      <c r="G2860">
        <v>728</v>
      </c>
      <c r="H2860" t="s">
        <v>57</v>
      </c>
    </row>
    <row r="2861" spans="1:8" x14ac:dyDescent="0.3">
      <c r="A2861">
        <v>244</v>
      </c>
      <c r="B2861" s="5">
        <v>43866</v>
      </c>
      <c r="C2861" t="s">
        <v>11</v>
      </c>
      <c r="D2861">
        <v>220</v>
      </c>
      <c r="E2861">
        <v>508</v>
      </c>
      <c r="F2861" s="5">
        <v>43862</v>
      </c>
      <c r="G2861">
        <v>-220</v>
      </c>
      <c r="H2861" t="s">
        <v>57</v>
      </c>
    </row>
    <row r="2862" spans="1:8" x14ac:dyDescent="0.3">
      <c r="A2862">
        <v>244</v>
      </c>
      <c r="B2862" s="5">
        <v>43874</v>
      </c>
      <c r="C2862" t="s">
        <v>10</v>
      </c>
      <c r="D2862">
        <v>448</v>
      </c>
      <c r="E2862">
        <v>956</v>
      </c>
      <c r="F2862" s="5">
        <v>43862</v>
      </c>
      <c r="G2862">
        <v>448</v>
      </c>
      <c r="H2862" t="s">
        <v>57</v>
      </c>
    </row>
    <row r="2863" spans="1:8" x14ac:dyDescent="0.3">
      <c r="A2863">
        <v>244</v>
      </c>
      <c r="B2863" s="5">
        <v>43879</v>
      </c>
      <c r="C2863" t="s">
        <v>10</v>
      </c>
      <c r="D2863">
        <v>796</v>
      </c>
      <c r="E2863">
        <v>1752</v>
      </c>
      <c r="F2863" s="5">
        <v>43862</v>
      </c>
      <c r="G2863">
        <v>796</v>
      </c>
      <c r="H2863" t="s">
        <v>57</v>
      </c>
    </row>
    <row r="2864" spans="1:8" x14ac:dyDescent="0.3">
      <c r="A2864">
        <v>244</v>
      </c>
      <c r="B2864" s="5">
        <v>43921</v>
      </c>
      <c r="C2864" t="s">
        <v>10</v>
      </c>
      <c r="D2864">
        <v>178</v>
      </c>
      <c r="E2864">
        <v>1930</v>
      </c>
      <c r="F2864" s="5">
        <v>43891</v>
      </c>
      <c r="G2864">
        <v>178</v>
      </c>
      <c r="H2864" t="s">
        <v>57</v>
      </c>
    </row>
    <row r="2865" spans="1:8" x14ac:dyDescent="0.3">
      <c r="A2865">
        <v>244</v>
      </c>
      <c r="B2865" s="5">
        <v>43931</v>
      </c>
      <c r="C2865" t="s">
        <v>11</v>
      </c>
      <c r="D2865">
        <v>284</v>
      </c>
      <c r="E2865">
        <v>1646</v>
      </c>
      <c r="F2865" s="5">
        <v>43922</v>
      </c>
      <c r="G2865">
        <v>-284</v>
      </c>
      <c r="H2865" t="s">
        <v>57</v>
      </c>
    </row>
    <row r="2866" spans="1:8" x14ac:dyDescent="0.3">
      <c r="A2866">
        <v>244</v>
      </c>
      <c r="B2866" s="5">
        <v>43939</v>
      </c>
      <c r="C2866" t="s">
        <v>12</v>
      </c>
      <c r="D2866">
        <v>769</v>
      </c>
      <c r="E2866">
        <v>877</v>
      </c>
      <c r="F2866" s="5">
        <v>43922</v>
      </c>
      <c r="G2866">
        <v>-769</v>
      </c>
      <c r="H2866" t="s">
        <v>57</v>
      </c>
    </row>
    <row r="2867" spans="1:8" x14ac:dyDescent="0.3">
      <c r="A2867">
        <v>245</v>
      </c>
      <c r="B2867" s="5">
        <v>43860</v>
      </c>
      <c r="C2867" t="s">
        <v>10</v>
      </c>
      <c r="D2867">
        <v>76</v>
      </c>
      <c r="E2867">
        <v>76</v>
      </c>
      <c r="F2867" s="5">
        <v>43831</v>
      </c>
      <c r="G2867">
        <v>76</v>
      </c>
      <c r="H2867" t="s">
        <v>57</v>
      </c>
    </row>
    <row r="2868" spans="1:8" x14ac:dyDescent="0.3">
      <c r="A2868">
        <v>245</v>
      </c>
      <c r="B2868" s="5">
        <v>43875</v>
      </c>
      <c r="C2868" t="s">
        <v>10</v>
      </c>
      <c r="D2868">
        <v>320</v>
      </c>
      <c r="E2868">
        <v>396</v>
      </c>
      <c r="F2868" s="5">
        <v>43862</v>
      </c>
      <c r="G2868">
        <v>320</v>
      </c>
      <c r="H2868" t="s">
        <v>57</v>
      </c>
    </row>
    <row r="2869" spans="1:8" x14ac:dyDescent="0.3">
      <c r="A2869">
        <v>245</v>
      </c>
      <c r="B2869" s="5">
        <v>43880</v>
      </c>
      <c r="C2869" t="s">
        <v>12</v>
      </c>
      <c r="D2869">
        <v>737</v>
      </c>
      <c r="E2869">
        <v>-341</v>
      </c>
      <c r="F2869" s="5">
        <v>43862</v>
      </c>
      <c r="G2869">
        <v>-737</v>
      </c>
      <c r="H2869" t="s">
        <v>58</v>
      </c>
    </row>
    <row r="2870" spans="1:8" x14ac:dyDescent="0.3">
      <c r="A2870">
        <v>245</v>
      </c>
      <c r="B2870" s="5">
        <v>43891</v>
      </c>
      <c r="C2870" t="s">
        <v>10</v>
      </c>
      <c r="D2870">
        <v>483</v>
      </c>
      <c r="E2870">
        <v>142</v>
      </c>
      <c r="F2870" s="5">
        <v>43891</v>
      </c>
      <c r="G2870">
        <v>483</v>
      </c>
      <c r="H2870" t="s">
        <v>57</v>
      </c>
    </row>
    <row r="2871" spans="1:8" x14ac:dyDescent="0.3">
      <c r="A2871">
        <v>245</v>
      </c>
      <c r="B2871" s="5">
        <v>43891</v>
      </c>
      <c r="C2871" t="s">
        <v>11</v>
      </c>
      <c r="D2871">
        <v>82</v>
      </c>
      <c r="E2871">
        <v>60</v>
      </c>
      <c r="F2871" s="5">
        <v>43891</v>
      </c>
      <c r="G2871">
        <v>-82</v>
      </c>
      <c r="H2871" t="s">
        <v>57</v>
      </c>
    </row>
    <row r="2872" spans="1:8" x14ac:dyDescent="0.3">
      <c r="A2872">
        <v>245</v>
      </c>
      <c r="B2872" s="5">
        <v>43894</v>
      </c>
      <c r="C2872" t="s">
        <v>11</v>
      </c>
      <c r="D2872">
        <v>116</v>
      </c>
      <c r="E2872">
        <v>-56</v>
      </c>
      <c r="F2872" s="5">
        <v>43891</v>
      </c>
      <c r="G2872">
        <v>-116</v>
      </c>
      <c r="H2872" t="s">
        <v>58</v>
      </c>
    </row>
    <row r="2873" spans="1:8" x14ac:dyDescent="0.3">
      <c r="A2873">
        <v>245</v>
      </c>
      <c r="B2873" s="5">
        <v>43898</v>
      </c>
      <c r="C2873" t="s">
        <v>10</v>
      </c>
      <c r="D2873">
        <v>345</v>
      </c>
      <c r="E2873">
        <v>289</v>
      </c>
      <c r="F2873" s="5">
        <v>43891</v>
      </c>
      <c r="G2873">
        <v>345</v>
      </c>
      <c r="H2873" t="s">
        <v>57</v>
      </c>
    </row>
    <row r="2874" spans="1:8" x14ac:dyDescent="0.3">
      <c r="A2874">
        <v>245</v>
      </c>
      <c r="B2874" s="5">
        <v>43900</v>
      </c>
      <c r="C2874" t="s">
        <v>12</v>
      </c>
      <c r="D2874">
        <v>45</v>
      </c>
      <c r="E2874">
        <v>244</v>
      </c>
      <c r="F2874" s="5">
        <v>43891</v>
      </c>
      <c r="G2874">
        <v>-45</v>
      </c>
      <c r="H2874" t="s">
        <v>57</v>
      </c>
    </row>
    <row r="2875" spans="1:8" x14ac:dyDescent="0.3">
      <c r="A2875">
        <v>245</v>
      </c>
      <c r="B2875" s="5">
        <v>43910</v>
      </c>
      <c r="C2875" t="s">
        <v>10</v>
      </c>
      <c r="D2875">
        <v>127</v>
      </c>
      <c r="E2875">
        <v>371</v>
      </c>
      <c r="F2875" s="5">
        <v>43891</v>
      </c>
      <c r="G2875">
        <v>127</v>
      </c>
      <c r="H2875" t="s">
        <v>57</v>
      </c>
    </row>
    <row r="2876" spans="1:8" x14ac:dyDescent="0.3">
      <c r="A2876">
        <v>245</v>
      </c>
      <c r="B2876" s="5">
        <v>43912</v>
      </c>
      <c r="C2876" t="s">
        <v>12</v>
      </c>
      <c r="D2876">
        <v>870</v>
      </c>
      <c r="E2876">
        <v>-499</v>
      </c>
      <c r="F2876" s="5">
        <v>43891</v>
      </c>
      <c r="G2876">
        <v>-870</v>
      </c>
      <c r="H2876" t="s">
        <v>58</v>
      </c>
    </row>
    <row r="2877" spans="1:8" x14ac:dyDescent="0.3">
      <c r="A2877">
        <v>245</v>
      </c>
      <c r="B2877" s="5">
        <v>43913</v>
      </c>
      <c r="C2877" t="s">
        <v>11</v>
      </c>
      <c r="D2877">
        <v>434</v>
      </c>
      <c r="E2877">
        <v>-933</v>
      </c>
      <c r="F2877" s="5">
        <v>43891</v>
      </c>
      <c r="G2877">
        <v>-434</v>
      </c>
      <c r="H2877" t="s">
        <v>58</v>
      </c>
    </row>
    <row r="2878" spans="1:8" x14ac:dyDescent="0.3">
      <c r="A2878">
        <v>245</v>
      </c>
      <c r="B2878" s="5">
        <v>43913</v>
      </c>
      <c r="C2878" t="s">
        <v>12</v>
      </c>
      <c r="D2878">
        <v>536</v>
      </c>
      <c r="E2878">
        <v>-1469</v>
      </c>
      <c r="F2878" s="5">
        <v>43891</v>
      </c>
      <c r="G2878">
        <v>-536</v>
      </c>
      <c r="H2878" t="s">
        <v>58</v>
      </c>
    </row>
    <row r="2879" spans="1:8" x14ac:dyDescent="0.3">
      <c r="A2879">
        <v>245</v>
      </c>
      <c r="B2879" s="5">
        <v>43917</v>
      </c>
      <c r="C2879" t="s">
        <v>12</v>
      </c>
      <c r="D2879">
        <v>322</v>
      </c>
      <c r="E2879">
        <v>-1791</v>
      </c>
      <c r="F2879" s="5">
        <v>43891</v>
      </c>
      <c r="G2879">
        <v>-322</v>
      </c>
      <c r="H2879" t="s">
        <v>58</v>
      </c>
    </row>
    <row r="2880" spans="1:8" x14ac:dyDescent="0.3">
      <c r="A2880">
        <v>245</v>
      </c>
      <c r="B2880" s="5">
        <v>43928</v>
      </c>
      <c r="C2880" t="s">
        <v>10</v>
      </c>
      <c r="D2880">
        <v>891</v>
      </c>
      <c r="E2880">
        <v>-900</v>
      </c>
      <c r="F2880" s="5">
        <v>43922</v>
      </c>
      <c r="G2880">
        <v>891</v>
      </c>
      <c r="H2880" t="s">
        <v>58</v>
      </c>
    </row>
    <row r="2881" spans="1:8" x14ac:dyDescent="0.3">
      <c r="A2881">
        <v>245</v>
      </c>
      <c r="B2881" s="5">
        <v>43928</v>
      </c>
      <c r="C2881" t="s">
        <v>11</v>
      </c>
      <c r="D2881">
        <v>620</v>
      </c>
      <c r="E2881">
        <v>-1520</v>
      </c>
      <c r="F2881" s="5">
        <v>43922</v>
      </c>
      <c r="G2881">
        <v>-620</v>
      </c>
      <c r="H2881" t="s">
        <v>58</v>
      </c>
    </row>
    <row r="2882" spans="1:8" x14ac:dyDescent="0.3">
      <c r="A2882">
        <v>245</v>
      </c>
      <c r="B2882" s="5">
        <v>43933</v>
      </c>
      <c r="C2882" t="s">
        <v>10</v>
      </c>
      <c r="D2882">
        <v>244</v>
      </c>
      <c r="E2882">
        <v>-1276</v>
      </c>
      <c r="F2882" s="5">
        <v>43922</v>
      </c>
      <c r="G2882">
        <v>244</v>
      </c>
      <c r="H2882" t="s">
        <v>58</v>
      </c>
    </row>
    <row r="2883" spans="1:8" x14ac:dyDescent="0.3">
      <c r="A2883">
        <v>245</v>
      </c>
      <c r="B2883" s="5">
        <v>43937</v>
      </c>
      <c r="C2883" t="s">
        <v>10</v>
      </c>
      <c r="D2883">
        <v>266</v>
      </c>
      <c r="E2883">
        <v>-1010</v>
      </c>
      <c r="F2883" s="5">
        <v>43922</v>
      </c>
      <c r="G2883">
        <v>266</v>
      </c>
      <c r="H2883" t="s">
        <v>58</v>
      </c>
    </row>
    <row r="2884" spans="1:8" x14ac:dyDescent="0.3">
      <c r="A2884">
        <v>245</v>
      </c>
      <c r="B2884" s="5">
        <v>43945</v>
      </c>
      <c r="C2884" t="s">
        <v>10</v>
      </c>
      <c r="D2884">
        <v>880</v>
      </c>
      <c r="E2884">
        <v>-130</v>
      </c>
      <c r="F2884" s="5">
        <v>43922</v>
      </c>
      <c r="G2884">
        <v>880</v>
      </c>
      <c r="H2884" t="s">
        <v>58</v>
      </c>
    </row>
    <row r="2885" spans="1:8" x14ac:dyDescent="0.3">
      <c r="A2885">
        <v>245</v>
      </c>
      <c r="B2885" s="5">
        <v>43949</v>
      </c>
      <c r="C2885" t="s">
        <v>12</v>
      </c>
      <c r="D2885">
        <v>891</v>
      </c>
      <c r="E2885">
        <v>-1021</v>
      </c>
      <c r="F2885" s="5">
        <v>43922</v>
      </c>
      <c r="G2885">
        <v>-891</v>
      </c>
      <c r="H2885" t="s">
        <v>58</v>
      </c>
    </row>
    <row r="2886" spans="1:8" x14ac:dyDescent="0.3">
      <c r="A2886">
        <v>246</v>
      </c>
      <c r="B2886" s="5">
        <v>43859</v>
      </c>
      <c r="C2886" t="s">
        <v>10</v>
      </c>
      <c r="D2886">
        <v>506</v>
      </c>
      <c r="E2886">
        <v>506</v>
      </c>
      <c r="F2886" s="5">
        <v>43831</v>
      </c>
      <c r="G2886">
        <v>506</v>
      </c>
      <c r="H2886" t="s">
        <v>57</v>
      </c>
    </row>
    <row r="2887" spans="1:8" x14ac:dyDescent="0.3">
      <c r="A2887">
        <v>246</v>
      </c>
      <c r="B2887" s="5">
        <v>43871</v>
      </c>
      <c r="C2887" t="s">
        <v>10</v>
      </c>
      <c r="D2887">
        <v>609</v>
      </c>
      <c r="E2887">
        <v>1115</v>
      </c>
      <c r="F2887" s="5">
        <v>43862</v>
      </c>
      <c r="G2887">
        <v>609</v>
      </c>
      <c r="H2887" t="s">
        <v>57</v>
      </c>
    </row>
    <row r="2888" spans="1:8" x14ac:dyDescent="0.3">
      <c r="A2888">
        <v>246</v>
      </c>
      <c r="B2888" s="5">
        <v>43879</v>
      </c>
      <c r="C2888" t="s">
        <v>11</v>
      </c>
      <c r="D2888">
        <v>531</v>
      </c>
      <c r="E2888">
        <v>584</v>
      </c>
      <c r="F2888" s="5">
        <v>43862</v>
      </c>
      <c r="G2888">
        <v>-531</v>
      </c>
      <c r="H2888" t="s">
        <v>57</v>
      </c>
    </row>
    <row r="2889" spans="1:8" x14ac:dyDescent="0.3">
      <c r="A2889">
        <v>246</v>
      </c>
      <c r="B2889" s="5">
        <v>43893</v>
      </c>
      <c r="C2889" t="s">
        <v>10</v>
      </c>
      <c r="D2889">
        <v>909</v>
      </c>
      <c r="E2889">
        <v>1493</v>
      </c>
      <c r="F2889" s="5">
        <v>43891</v>
      </c>
      <c r="G2889">
        <v>909</v>
      </c>
      <c r="H2889" t="s">
        <v>57</v>
      </c>
    </row>
    <row r="2890" spans="1:8" x14ac:dyDescent="0.3">
      <c r="A2890">
        <v>246</v>
      </c>
      <c r="B2890" s="5">
        <v>43895</v>
      </c>
      <c r="C2890" t="s">
        <v>12</v>
      </c>
      <c r="D2890">
        <v>527</v>
      </c>
      <c r="E2890">
        <v>966</v>
      </c>
      <c r="F2890" s="5">
        <v>43891</v>
      </c>
      <c r="G2890">
        <v>-527</v>
      </c>
      <c r="H2890" t="s">
        <v>57</v>
      </c>
    </row>
    <row r="2891" spans="1:8" x14ac:dyDescent="0.3">
      <c r="A2891">
        <v>246</v>
      </c>
      <c r="B2891" s="5">
        <v>43915</v>
      </c>
      <c r="C2891" t="s">
        <v>12</v>
      </c>
      <c r="D2891">
        <v>689</v>
      </c>
      <c r="E2891">
        <v>277</v>
      </c>
      <c r="F2891" s="5">
        <v>43891</v>
      </c>
      <c r="G2891">
        <v>-689</v>
      </c>
      <c r="H2891" t="s">
        <v>57</v>
      </c>
    </row>
    <row r="2892" spans="1:8" x14ac:dyDescent="0.3">
      <c r="A2892">
        <v>246</v>
      </c>
      <c r="B2892" s="5">
        <v>43924</v>
      </c>
      <c r="C2892" t="s">
        <v>11</v>
      </c>
      <c r="D2892">
        <v>859</v>
      </c>
      <c r="E2892">
        <v>-582</v>
      </c>
      <c r="F2892" s="5">
        <v>43922</v>
      </c>
      <c r="G2892">
        <v>-859</v>
      </c>
      <c r="H2892" t="s">
        <v>58</v>
      </c>
    </row>
    <row r="2893" spans="1:8" x14ac:dyDescent="0.3">
      <c r="A2893">
        <v>246</v>
      </c>
      <c r="B2893" s="5">
        <v>43928</v>
      </c>
      <c r="C2893" t="s">
        <v>10</v>
      </c>
      <c r="D2893">
        <v>265</v>
      </c>
      <c r="E2893">
        <v>-317</v>
      </c>
      <c r="F2893" s="5">
        <v>43922</v>
      </c>
      <c r="G2893">
        <v>265</v>
      </c>
      <c r="H2893" t="s">
        <v>58</v>
      </c>
    </row>
    <row r="2894" spans="1:8" x14ac:dyDescent="0.3">
      <c r="A2894">
        <v>246</v>
      </c>
      <c r="B2894" s="5">
        <v>43929</v>
      </c>
      <c r="C2894" t="s">
        <v>11</v>
      </c>
      <c r="D2894">
        <v>860</v>
      </c>
      <c r="E2894">
        <v>-1177</v>
      </c>
      <c r="F2894" s="5">
        <v>43922</v>
      </c>
      <c r="G2894">
        <v>-860</v>
      </c>
      <c r="H2894" t="s">
        <v>58</v>
      </c>
    </row>
    <row r="2895" spans="1:8" x14ac:dyDescent="0.3">
      <c r="A2895">
        <v>246</v>
      </c>
      <c r="B2895" s="5">
        <v>43930</v>
      </c>
      <c r="C2895" t="s">
        <v>12</v>
      </c>
      <c r="D2895">
        <v>955</v>
      </c>
      <c r="E2895">
        <v>-2132</v>
      </c>
      <c r="F2895" s="5">
        <v>43922</v>
      </c>
      <c r="G2895">
        <v>-955</v>
      </c>
      <c r="H2895" t="s">
        <v>58</v>
      </c>
    </row>
    <row r="2896" spans="1:8" x14ac:dyDescent="0.3">
      <c r="A2896">
        <v>247</v>
      </c>
      <c r="B2896" s="5">
        <v>43831</v>
      </c>
      <c r="C2896" t="s">
        <v>10</v>
      </c>
      <c r="D2896">
        <v>930</v>
      </c>
      <c r="E2896">
        <v>930</v>
      </c>
      <c r="F2896" s="5">
        <v>43831</v>
      </c>
      <c r="G2896">
        <v>930</v>
      </c>
      <c r="H2896" t="s">
        <v>57</v>
      </c>
    </row>
    <row r="2897" spans="1:8" x14ac:dyDescent="0.3">
      <c r="A2897">
        <v>247</v>
      </c>
      <c r="B2897" s="5">
        <v>43832</v>
      </c>
      <c r="C2897" t="s">
        <v>10</v>
      </c>
      <c r="D2897">
        <v>53</v>
      </c>
      <c r="E2897">
        <v>983</v>
      </c>
      <c r="F2897" s="5">
        <v>43831</v>
      </c>
      <c r="G2897">
        <v>53</v>
      </c>
      <c r="H2897" t="s">
        <v>57</v>
      </c>
    </row>
    <row r="2898" spans="1:8" x14ac:dyDescent="0.3">
      <c r="A2898">
        <v>247</v>
      </c>
      <c r="B2898" s="5">
        <v>43865</v>
      </c>
      <c r="C2898" t="s">
        <v>10</v>
      </c>
      <c r="D2898">
        <v>348</v>
      </c>
      <c r="E2898">
        <v>1331</v>
      </c>
      <c r="F2898" s="5">
        <v>43862</v>
      </c>
      <c r="G2898">
        <v>348</v>
      </c>
      <c r="H2898" t="s">
        <v>57</v>
      </c>
    </row>
    <row r="2899" spans="1:8" x14ac:dyDescent="0.3">
      <c r="A2899">
        <v>247</v>
      </c>
      <c r="B2899" s="5">
        <v>43876</v>
      </c>
      <c r="C2899" t="s">
        <v>11</v>
      </c>
      <c r="D2899">
        <v>754</v>
      </c>
      <c r="E2899">
        <v>577</v>
      </c>
      <c r="F2899" s="5">
        <v>43862</v>
      </c>
      <c r="G2899">
        <v>-754</v>
      </c>
      <c r="H2899" t="s">
        <v>57</v>
      </c>
    </row>
    <row r="2900" spans="1:8" x14ac:dyDescent="0.3">
      <c r="A2900">
        <v>247</v>
      </c>
      <c r="B2900" s="5">
        <v>43901</v>
      </c>
      <c r="C2900" t="s">
        <v>11</v>
      </c>
      <c r="D2900">
        <v>317</v>
      </c>
      <c r="E2900">
        <v>260</v>
      </c>
      <c r="F2900" s="5">
        <v>43891</v>
      </c>
      <c r="G2900">
        <v>-317</v>
      </c>
      <c r="H2900" t="s">
        <v>57</v>
      </c>
    </row>
    <row r="2901" spans="1:8" x14ac:dyDescent="0.3">
      <c r="A2901">
        <v>247</v>
      </c>
      <c r="B2901" s="5">
        <v>43903</v>
      </c>
      <c r="C2901" t="s">
        <v>10</v>
      </c>
      <c r="D2901">
        <v>132</v>
      </c>
      <c r="E2901">
        <v>392</v>
      </c>
      <c r="F2901" s="5">
        <v>43891</v>
      </c>
      <c r="G2901">
        <v>132</v>
      </c>
      <c r="H2901" t="s">
        <v>57</v>
      </c>
    </row>
    <row r="2902" spans="1:8" x14ac:dyDescent="0.3">
      <c r="A2902">
        <v>247</v>
      </c>
      <c r="B2902" s="5">
        <v>43918</v>
      </c>
      <c r="C2902" t="s">
        <v>12</v>
      </c>
      <c r="D2902">
        <v>95</v>
      </c>
      <c r="E2902">
        <v>297</v>
      </c>
      <c r="F2902" s="5">
        <v>43891</v>
      </c>
      <c r="G2902">
        <v>-95</v>
      </c>
      <c r="H2902" t="s">
        <v>57</v>
      </c>
    </row>
    <row r="2903" spans="1:8" x14ac:dyDescent="0.3">
      <c r="A2903">
        <v>248</v>
      </c>
      <c r="B2903" s="5">
        <v>43854</v>
      </c>
      <c r="C2903" t="s">
        <v>10</v>
      </c>
      <c r="D2903">
        <v>304</v>
      </c>
      <c r="E2903">
        <v>304</v>
      </c>
      <c r="F2903" s="5">
        <v>43831</v>
      </c>
      <c r="G2903">
        <v>304</v>
      </c>
      <c r="H2903" t="s">
        <v>57</v>
      </c>
    </row>
    <row r="2904" spans="1:8" x14ac:dyDescent="0.3">
      <c r="A2904">
        <v>248</v>
      </c>
      <c r="B2904" s="5">
        <v>43865</v>
      </c>
      <c r="C2904" t="s">
        <v>10</v>
      </c>
      <c r="D2904">
        <v>980</v>
      </c>
      <c r="E2904">
        <v>1284</v>
      </c>
      <c r="F2904" s="5">
        <v>43862</v>
      </c>
      <c r="G2904">
        <v>980</v>
      </c>
      <c r="H2904" t="s">
        <v>57</v>
      </c>
    </row>
    <row r="2905" spans="1:8" x14ac:dyDescent="0.3">
      <c r="A2905">
        <v>248</v>
      </c>
      <c r="B2905" s="5">
        <v>43871</v>
      </c>
      <c r="C2905" t="s">
        <v>12</v>
      </c>
      <c r="D2905">
        <v>617</v>
      </c>
      <c r="E2905">
        <v>667</v>
      </c>
      <c r="F2905" s="5">
        <v>43862</v>
      </c>
      <c r="G2905">
        <v>-617</v>
      </c>
      <c r="H2905" t="s">
        <v>57</v>
      </c>
    </row>
    <row r="2906" spans="1:8" x14ac:dyDescent="0.3">
      <c r="A2906">
        <v>248</v>
      </c>
      <c r="B2906" s="5">
        <v>43894</v>
      </c>
      <c r="C2906" t="s">
        <v>11</v>
      </c>
      <c r="D2906">
        <v>938</v>
      </c>
      <c r="E2906">
        <v>-271</v>
      </c>
      <c r="F2906" s="5">
        <v>43891</v>
      </c>
      <c r="G2906">
        <v>-938</v>
      </c>
      <c r="H2906" t="s">
        <v>58</v>
      </c>
    </row>
    <row r="2907" spans="1:8" x14ac:dyDescent="0.3">
      <c r="A2907">
        <v>248</v>
      </c>
      <c r="B2907" s="5">
        <v>43903</v>
      </c>
      <c r="C2907" t="s">
        <v>10</v>
      </c>
      <c r="D2907">
        <v>654</v>
      </c>
      <c r="E2907">
        <v>383</v>
      </c>
      <c r="F2907" s="5">
        <v>43891</v>
      </c>
      <c r="G2907">
        <v>654</v>
      </c>
      <c r="H2907" t="s">
        <v>57</v>
      </c>
    </row>
    <row r="2908" spans="1:8" x14ac:dyDescent="0.3">
      <c r="A2908">
        <v>248</v>
      </c>
      <c r="B2908" s="5">
        <v>43916</v>
      </c>
      <c r="C2908" t="s">
        <v>10</v>
      </c>
      <c r="D2908">
        <v>572</v>
      </c>
      <c r="E2908">
        <v>955</v>
      </c>
      <c r="F2908" s="5">
        <v>43891</v>
      </c>
      <c r="G2908">
        <v>572</v>
      </c>
      <c r="H2908" t="s">
        <v>57</v>
      </c>
    </row>
    <row r="2909" spans="1:8" x14ac:dyDescent="0.3">
      <c r="A2909">
        <v>248</v>
      </c>
      <c r="B2909" s="5">
        <v>43926</v>
      </c>
      <c r="C2909" t="s">
        <v>10</v>
      </c>
      <c r="D2909">
        <v>844</v>
      </c>
      <c r="E2909">
        <v>1799</v>
      </c>
      <c r="F2909" s="5">
        <v>43922</v>
      </c>
      <c r="G2909">
        <v>844</v>
      </c>
      <c r="H2909" t="s">
        <v>57</v>
      </c>
    </row>
    <row r="2910" spans="1:8" x14ac:dyDescent="0.3">
      <c r="A2910">
        <v>248</v>
      </c>
      <c r="B2910" s="5">
        <v>43929</v>
      </c>
      <c r="C2910" t="s">
        <v>12</v>
      </c>
      <c r="D2910">
        <v>620</v>
      </c>
      <c r="E2910">
        <v>1179</v>
      </c>
      <c r="F2910" s="5">
        <v>43922</v>
      </c>
      <c r="G2910">
        <v>-620</v>
      </c>
      <c r="H2910" t="s">
        <v>57</v>
      </c>
    </row>
    <row r="2911" spans="1:8" x14ac:dyDescent="0.3">
      <c r="A2911">
        <v>248</v>
      </c>
      <c r="B2911" s="5">
        <v>43931</v>
      </c>
      <c r="C2911" t="s">
        <v>12</v>
      </c>
      <c r="D2911">
        <v>166</v>
      </c>
      <c r="E2911">
        <v>1013</v>
      </c>
      <c r="F2911" s="5">
        <v>43922</v>
      </c>
      <c r="G2911">
        <v>-166</v>
      </c>
      <c r="H2911" t="s">
        <v>57</v>
      </c>
    </row>
    <row r="2912" spans="1:8" x14ac:dyDescent="0.3">
      <c r="A2912">
        <v>248</v>
      </c>
      <c r="B2912" s="5">
        <v>43940</v>
      </c>
      <c r="C2912" t="s">
        <v>10</v>
      </c>
      <c r="D2912">
        <v>175</v>
      </c>
      <c r="E2912">
        <v>1188</v>
      </c>
      <c r="F2912" s="5">
        <v>43922</v>
      </c>
      <c r="G2912">
        <v>175</v>
      </c>
      <c r="H2912" t="s">
        <v>57</v>
      </c>
    </row>
    <row r="2913" spans="1:8" x14ac:dyDescent="0.3">
      <c r="A2913">
        <v>249</v>
      </c>
      <c r="B2913" s="5">
        <v>43844</v>
      </c>
      <c r="C2913" t="s">
        <v>10</v>
      </c>
      <c r="D2913">
        <v>336</v>
      </c>
      <c r="E2913">
        <v>336</v>
      </c>
      <c r="F2913" s="5">
        <v>43831</v>
      </c>
      <c r="G2913">
        <v>336</v>
      </c>
      <c r="H2913" t="s">
        <v>57</v>
      </c>
    </row>
    <row r="2914" spans="1:8" x14ac:dyDescent="0.3">
      <c r="A2914">
        <v>249</v>
      </c>
      <c r="B2914" s="5">
        <v>43892</v>
      </c>
      <c r="C2914" t="s">
        <v>10</v>
      </c>
      <c r="D2914">
        <v>729</v>
      </c>
      <c r="E2914">
        <v>1065</v>
      </c>
      <c r="F2914" s="5">
        <v>43891</v>
      </c>
      <c r="G2914">
        <v>729</v>
      </c>
      <c r="H2914" t="s">
        <v>57</v>
      </c>
    </row>
    <row r="2915" spans="1:8" x14ac:dyDescent="0.3">
      <c r="A2915">
        <v>249</v>
      </c>
      <c r="B2915" s="5">
        <v>43933</v>
      </c>
      <c r="C2915" t="s">
        <v>12</v>
      </c>
      <c r="D2915">
        <v>170</v>
      </c>
      <c r="E2915">
        <v>895</v>
      </c>
      <c r="F2915" s="5">
        <v>43922</v>
      </c>
      <c r="G2915">
        <v>-170</v>
      </c>
      <c r="H2915" t="s">
        <v>57</v>
      </c>
    </row>
    <row r="2916" spans="1:8" x14ac:dyDescent="0.3">
      <c r="A2916">
        <v>250</v>
      </c>
      <c r="B2916" s="5">
        <v>43855</v>
      </c>
      <c r="C2916" t="s">
        <v>10</v>
      </c>
      <c r="D2916">
        <v>625</v>
      </c>
      <c r="E2916">
        <v>625</v>
      </c>
      <c r="F2916" s="5">
        <v>43831</v>
      </c>
      <c r="G2916">
        <v>625</v>
      </c>
      <c r="H2916" t="s">
        <v>57</v>
      </c>
    </row>
    <row r="2917" spans="1:8" x14ac:dyDescent="0.3">
      <c r="A2917">
        <v>250</v>
      </c>
      <c r="B2917" s="5">
        <v>43858</v>
      </c>
      <c r="C2917" t="s">
        <v>12</v>
      </c>
      <c r="D2917">
        <v>476</v>
      </c>
      <c r="E2917">
        <v>149</v>
      </c>
      <c r="F2917" s="5">
        <v>43831</v>
      </c>
      <c r="G2917">
        <v>-476</v>
      </c>
      <c r="H2917" t="s">
        <v>57</v>
      </c>
    </row>
    <row r="2918" spans="1:8" x14ac:dyDescent="0.3">
      <c r="A2918">
        <v>250</v>
      </c>
      <c r="B2918" s="5">
        <v>43873</v>
      </c>
      <c r="C2918" t="s">
        <v>11</v>
      </c>
      <c r="D2918">
        <v>389</v>
      </c>
      <c r="E2918">
        <v>-240</v>
      </c>
      <c r="F2918" s="5">
        <v>43862</v>
      </c>
      <c r="G2918">
        <v>-389</v>
      </c>
      <c r="H2918" t="s">
        <v>58</v>
      </c>
    </row>
    <row r="2919" spans="1:8" x14ac:dyDescent="0.3">
      <c r="A2919">
        <v>250</v>
      </c>
      <c r="B2919" s="5">
        <v>43885</v>
      </c>
      <c r="C2919" t="s">
        <v>10</v>
      </c>
      <c r="D2919">
        <v>850</v>
      </c>
      <c r="E2919">
        <v>610</v>
      </c>
      <c r="F2919" s="5">
        <v>43862</v>
      </c>
      <c r="G2919">
        <v>850</v>
      </c>
      <c r="H2919" t="s">
        <v>57</v>
      </c>
    </row>
    <row r="2920" spans="1:8" x14ac:dyDescent="0.3">
      <c r="A2920">
        <v>250</v>
      </c>
      <c r="B2920" s="5">
        <v>43888</v>
      </c>
      <c r="C2920" t="s">
        <v>11</v>
      </c>
      <c r="D2920">
        <v>610</v>
      </c>
      <c r="E2920">
        <v>0</v>
      </c>
      <c r="F2920" s="5">
        <v>43862</v>
      </c>
      <c r="G2920">
        <v>-610</v>
      </c>
      <c r="H2920" t="s">
        <v>57</v>
      </c>
    </row>
    <row r="2921" spans="1:8" x14ac:dyDescent="0.3">
      <c r="A2921">
        <v>250</v>
      </c>
      <c r="B2921" s="5">
        <v>43894</v>
      </c>
      <c r="C2921" t="s">
        <v>11</v>
      </c>
      <c r="D2921">
        <v>643</v>
      </c>
      <c r="E2921">
        <v>-643</v>
      </c>
      <c r="F2921" s="5">
        <v>43891</v>
      </c>
      <c r="G2921">
        <v>-643</v>
      </c>
      <c r="H2921" t="s">
        <v>58</v>
      </c>
    </row>
    <row r="2922" spans="1:8" x14ac:dyDescent="0.3">
      <c r="A2922">
        <v>250</v>
      </c>
      <c r="B2922" s="5">
        <v>43894</v>
      </c>
      <c r="C2922" t="s">
        <v>12</v>
      </c>
      <c r="D2922">
        <v>47</v>
      </c>
      <c r="E2922">
        <v>-690</v>
      </c>
      <c r="F2922" s="5">
        <v>43891</v>
      </c>
      <c r="G2922">
        <v>-47</v>
      </c>
      <c r="H2922" t="s">
        <v>58</v>
      </c>
    </row>
    <row r="2923" spans="1:8" x14ac:dyDescent="0.3">
      <c r="A2923">
        <v>250</v>
      </c>
      <c r="B2923" s="5">
        <v>43899</v>
      </c>
      <c r="C2923" t="s">
        <v>10</v>
      </c>
      <c r="D2923">
        <v>146</v>
      </c>
      <c r="E2923">
        <v>-544</v>
      </c>
      <c r="F2923" s="5">
        <v>43891</v>
      </c>
      <c r="G2923">
        <v>146</v>
      </c>
      <c r="H2923" t="s">
        <v>58</v>
      </c>
    </row>
    <row r="2924" spans="1:8" x14ac:dyDescent="0.3">
      <c r="A2924">
        <v>250</v>
      </c>
      <c r="B2924" s="5">
        <v>43902</v>
      </c>
      <c r="C2924" t="s">
        <v>10</v>
      </c>
      <c r="D2924">
        <v>895</v>
      </c>
      <c r="E2924">
        <v>351</v>
      </c>
      <c r="F2924" s="5">
        <v>43891</v>
      </c>
      <c r="G2924">
        <v>895</v>
      </c>
      <c r="H2924" t="s">
        <v>57</v>
      </c>
    </row>
    <row r="2925" spans="1:8" x14ac:dyDescent="0.3">
      <c r="A2925">
        <v>250</v>
      </c>
      <c r="B2925" s="5">
        <v>43916</v>
      </c>
      <c r="C2925" t="s">
        <v>10</v>
      </c>
      <c r="D2925">
        <v>493</v>
      </c>
      <c r="E2925">
        <v>844</v>
      </c>
      <c r="F2925" s="5">
        <v>43891</v>
      </c>
      <c r="G2925">
        <v>493</v>
      </c>
      <c r="H2925" t="s">
        <v>57</v>
      </c>
    </row>
    <row r="2926" spans="1:8" x14ac:dyDescent="0.3">
      <c r="A2926">
        <v>250</v>
      </c>
      <c r="B2926" s="5">
        <v>43921</v>
      </c>
      <c r="C2926" t="s">
        <v>12</v>
      </c>
      <c r="D2926">
        <v>667</v>
      </c>
      <c r="E2926">
        <v>177</v>
      </c>
      <c r="F2926" s="5">
        <v>43891</v>
      </c>
      <c r="G2926">
        <v>-667</v>
      </c>
      <c r="H2926" t="s">
        <v>57</v>
      </c>
    </row>
    <row r="2927" spans="1:8" x14ac:dyDescent="0.3">
      <c r="A2927">
        <v>250</v>
      </c>
      <c r="B2927" s="5">
        <v>43923</v>
      </c>
      <c r="C2927" t="s">
        <v>12</v>
      </c>
      <c r="D2927">
        <v>195</v>
      </c>
      <c r="E2927">
        <v>-18</v>
      </c>
      <c r="F2927" s="5">
        <v>43922</v>
      </c>
      <c r="G2927">
        <v>-195</v>
      </c>
      <c r="H2927" t="s">
        <v>58</v>
      </c>
    </row>
    <row r="2928" spans="1:8" x14ac:dyDescent="0.3">
      <c r="A2928">
        <v>250</v>
      </c>
      <c r="B2928" s="5">
        <v>43924</v>
      </c>
      <c r="C2928" t="s">
        <v>12</v>
      </c>
      <c r="D2928">
        <v>903</v>
      </c>
      <c r="E2928">
        <v>-921</v>
      </c>
      <c r="F2928" s="5">
        <v>43922</v>
      </c>
      <c r="G2928">
        <v>-903</v>
      </c>
      <c r="H2928" t="s">
        <v>58</v>
      </c>
    </row>
    <row r="2929" spans="1:8" x14ac:dyDescent="0.3">
      <c r="A2929">
        <v>250</v>
      </c>
      <c r="B2929" s="5">
        <v>43938</v>
      </c>
      <c r="C2929" t="s">
        <v>12</v>
      </c>
      <c r="D2929">
        <v>634</v>
      </c>
      <c r="E2929">
        <v>-1555</v>
      </c>
      <c r="F2929" s="5">
        <v>43922</v>
      </c>
      <c r="G2929">
        <v>-634</v>
      </c>
      <c r="H2929" t="s">
        <v>58</v>
      </c>
    </row>
    <row r="2930" spans="1:8" x14ac:dyDescent="0.3">
      <c r="A2930">
        <v>251</v>
      </c>
      <c r="B2930" s="5">
        <v>43839</v>
      </c>
      <c r="C2930" t="s">
        <v>10</v>
      </c>
      <c r="D2930">
        <v>961</v>
      </c>
      <c r="E2930">
        <v>961</v>
      </c>
      <c r="F2930" s="5">
        <v>43831</v>
      </c>
      <c r="G2930">
        <v>961</v>
      </c>
      <c r="H2930" t="s">
        <v>57</v>
      </c>
    </row>
    <row r="2931" spans="1:8" x14ac:dyDescent="0.3">
      <c r="A2931">
        <v>251</v>
      </c>
      <c r="B2931" s="5">
        <v>43849</v>
      </c>
      <c r="C2931" t="s">
        <v>12</v>
      </c>
      <c r="D2931">
        <v>413</v>
      </c>
      <c r="E2931">
        <v>548</v>
      </c>
      <c r="F2931" s="5">
        <v>43831</v>
      </c>
      <c r="G2931">
        <v>-413</v>
      </c>
      <c r="H2931" t="s">
        <v>57</v>
      </c>
    </row>
    <row r="2932" spans="1:8" x14ac:dyDescent="0.3">
      <c r="A2932">
        <v>251</v>
      </c>
      <c r="B2932" s="5">
        <v>43849</v>
      </c>
      <c r="C2932" t="s">
        <v>11</v>
      </c>
      <c r="D2932">
        <v>108</v>
      </c>
      <c r="E2932">
        <v>440</v>
      </c>
      <c r="F2932" s="5">
        <v>43831</v>
      </c>
      <c r="G2932">
        <v>-108</v>
      </c>
      <c r="H2932" t="s">
        <v>57</v>
      </c>
    </row>
    <row r="2933" spans="1:8" x14ac:dyDescent="0.3">
      <c r="A2933">
        <v>251</v>
      </c>
      <c r="B2933" s="5">
        <v>43851</v>
      </c>
      <c r="C2933" t="s">
        <v>10</v>
      </c>
      <c r="D2933">
        <v>836</v>
      </c>
      <c r="E2933">
        <v>1276</v>
      </c>
      <c r="F2933" s="5">
        <v>43831</v>
      </c>
      <c r="G2933">
        <v>836</v>
      </c>
      <c r="H2933" t="s">
        <v>57</v>
      </c>
    </row>
    <row r="2934" spans="1:8" x14ac:dyDescent="0.3">
      <c r="A2934">
        <v>251</v>
      </c>
      <c r="B2934" s="5">
        <v>43873</v>
      </c>
      <c r="C2934" t="s">
        <v>11</v>
      </c>
      <c r="D2934">
        <v>874</v>
      </c>
      <c r="E2934">
        <v>402</v>
      </c>
      <c r="F2934" s="5">
        <v>43862</v>
      </c>
      <c r="G2934">
        <v>-874</v>
      </c>
      <c r="H2934" t="s">
        <v>57</v>
      </c>
    </row>
    <row r="2935" spans="1:8" x14ac:dyDescent="0.3">
      <c r="A2935">
        <v>251</v>
      </c>
      <c r="B2935" s="5">
        <v>43878</v>
      </c>
      <c r="C2935" t="s">
        <v>11</v>
      </c>
      <c r="D2935">
        <v>783</v>
      </c>
      <c r="E2935">
        <v>-381</v>
      </c>
      <c r="F2935" s="5">
        <v>43862</v>
      </c>
      <c r="G2935">
        <v>-783</v>
      </c>
      <c r="H2935" t="s">
        <v>58</v>
      </c>
    </row>
    <row r="2936" spans="1:8" x14ac:dyDescent="0.3">
      <c r="A2936">
        <v>251</v>
      </c>
      <c r="B2936" s="5">
        <v>43888</v>
      </c>
      <c r="C2936" t="s">
        <v>10</v>
      </c>
      <c r="D2936">
        <v>200</v>
      </c>
      <c r="E2936">
        <v>-181</v>
      </c>
      <c r="F2936" s="5">
        <v>43862</v>
      </c>
      <c r="G2936">
        <v>200</v>
      </c>
      <c r="H2936" t="s">
        <v>58</v>
      </c>
    </row>
    <row r="2937" spans="1:8" x14ac:dyDescent="0.3">
      <c r="A2937">
        <v>251</v>
      </c>
      <c r="B2937" s="5">
        <v>43889</v>
      </c>
      <c r="C2937" t="s">
        <v>12</v>
      </c>
      <c r="D2937">
        <v>743</v>
      </c>
      <c r="E2937">
        <v>-924</v>
      </c>
      <c r="F2937" s="5">
        <v>43862</v>
      </c>
      <c r="G2937">
        <v>-743</v>
      </c>
      <c r="H2937" t="s">
        <v>58</v>
      </c>
    </row>
    <row r="2938" spans="1:8" x14ac:dyDescent="0.3">
      <c r="A2938">
        <v>251</v>
      </c>
      <c r="B2938" s="5">
        <v>43893</v>
      </c>
      <c r="C2938" t="s">
        <v>12</v>
      </c>
      <c r="D2938">
        <v>977</v>
      </c>
      <c r="E2938">
        <v>-1901</v>
      </c>
      <c r="F2938" s="5">
        <v>43891</v>
      </c>
      <c r="G2938">
        <v>-977</v>
      </c>
      <c r="H2938" t="s">
        <v>58</v>
      </c>
    </row>
    <row r="2939" spans="1:8" x14ac:dyDescent="0.3">
      <c r="A2939">
        <v>251</v>
      </c>
      <c r="B2939" s="5">
        <v>43897</v>
      </c>
      <c r="C2939" t="s">
        <v>10</v>
      </c>
      <c r="D2939">
        <v>703</v>
      </c>
      <c r="E2939">
        <v>-1198</v>
      </c>
      <c r="F2939" s="5">
        <v>43891</v>
      </c>
      <c r="G2939">
        <v>703</v>
      </c>
      <c r="H2939" t="s">
        <v>58</v>
      </c>
    </row>
    <row r="2940" spans="1:8" x14ac:dyDescent="0.3">
      <c r="A2940">
        <v>251</v>
      </c>
      <c r="B2940" s="5">
        <v>43899</v>
      </c>
      <c r="C2940" t="s">
        <v>11</v>
      </c>
      <c r="D2940">
        <v>598</v>
      </c>
      <c r="E2940">
        <v>-1796</v>
      </c>
      <c r="F2940" s="5">
        <v>43891</v>
      </c>
      <c r="G2940">
        <v>-598</v>
      </c>
      <c r="H2940" t="s">
        <v>58</v>
      </c>
    </row>
    <row r="2941" spans="1:8" x14ac:dyDescent="0.3">
      <c r="A2941">
        <v>251</v>
      </c>
      <c r="B2941" s="5">
        <v>43901</v>
      </c>
      <c r="C2941" t="s">
        <v>10</v>
      </c>
      <c r="D2941">
        <v>323</v>
      </c>
      <c r="E2941">
        <v>-1473</v>
      </c>
      <c r="F2941" s="5">
        <v>43891</v>
      </c>
      <c r="G2941">
        <v>323</v>
      </c>
      <c r="H2941" t="s">
        <v>58</v>
      </c>
    </row>
    <row r="2942" spans="1:8" x14ac:dyDescent="0.3">
      <c r="A2942">
        <v>251</v>
      </c>
      <c r="B2942" s="5">
        <v>43901</v>
      </c>
      <c r="C2942" t="s">
        <v>12</v>
      </c>
      <c r="D2942">
        <v>238</v>
      </c>
      <c r="E2942">
        <v>-1711</v>
      </c>
      <c r="F2942" s="5">
        <v>43891</v>
      </c>
      <c r="G2942">
        <v>-238</v>
      </c>
      <c r="H2942" t="s">
        <v>58</v>
      </c>
    </row>
    <row r="2943" spans="1:8" x14ac:dyDescent="0.3">
      <c r="A2943">
        <v>251</v>
      </c>
      <c r="B2943" s="5">
        <v>43907</v>
      </c>
      <c r="C2943" t="s">
        <v>11</v>
      </c>
      <c r="D2943">
        <v>153</v>
      </c>
      <c r="E2943">
        <v>-1864</v>
      </c>
      <c r="F2943" s="5">
        <v>43891</v>
      </c>
      <c r="G2943">
        <v>-153</v>
      </c>
      <c r="H2943" t="s">
        <v>58</v>
      </c>
    </row>
    <row r="2944" spans="1:8" x14ac:dyDescent="0.3">
      <c r="A2944">
        <v>251</v>
      </c>
      <c r="B2944" s="5">
        <v>43915</v>
      </c>
      <c r="C2944" t="s">
        <v>10</v>
      </c>
      <c r="D2944">
        <v>595</v>
      </c>
      <c r="E2944">
        <v>-1269</v>
      </c>
      <c r="F2944" s="5">
        <v>43891</v>
      </c>
      <c r="G2944">
        <v>595</v>
      </c>
      <c r="H2944" t="s">
        <v>58</v>
      </c>
    </row>
    <row r="2945" spans="1:8" x14ac:dyDescent="0.3">
      <c r="A2945">
        <v>251</v>
      </c>
      <c r="B2945" s="5">
        <v>43919</v>
      </c>
      <c r="C2945" t="s">
        <v>10</v>
      </c>
      <c r="D2945">
        <v>39</v>
      </c>
      <c r="E2945">
        <v>-1230</v>
      </c>
      <c r="F2945" s="5">
        <v>43891</v>
      </c>
      <c r="G2945">
        <v>39</v>
      </c>
      <c r="H2945" t="s">
        <v>58</v>
      </c>
    </row>
    <row r="2946" spans="1:8" x14ac:dyDescent="0.3">
      <c r="A2946">
        <v>251</v>
      </c>
      <c r="B2946" s="5">
        <v>43922</v>
      </c>
      <c r="C2946" t="s">
        <v>12</v>
      </c>
      <c r="D2946">
        <v>653</v>
      </c>
      <c r="E2946">
        <v>-1883</v>
      </c>
      <c r="F2946" s="5">
        <v>43922</v>
      </c>
      <c r="G2946">
        <v>-653</v>
      </c>
      <c r="H2946" t="s">
        <v>58</v>
      </c>
    </row>
    <row r="2947" spans="1:8" x14ac:dyDescent="0.3">
      <c r="A2947">
        <v>252</v>
      </c>
      <c r="B2947" s="5">
        <v>43856</v>
      </c>
      <c r="C2947" t="s">
        <v>10</v>
      </c>
      <c r="D2947">
        <v>982</v>
      </c>
      <c r="E2947">
        <v>982</v>
      </c>
      <c r="F2947" s="5">
        <v>43831</v>
      </c>
      <c r="G2947">
        <v>982</v>
      </c>
      <c r="H2947" t="s">
        <v>57</v>
      </c>
    </row>
    <row r="2948" spans="1:8" x14ac:dyDescent="0.3">
      <c r="A2948">
        <v>252</v>
      </c>
      <c r="B2948" s="5">
        <v>43858</v>
      </c>
      <c r="C2948" t="s">
        <v>11</v>
      </c>
      <c r="D2948">
        <v>693</v>
      </c>
      <c r="E2948">
        <v>289</v>
      </c>
      <c r="F2948" s="5">
        <v>43831</v>
      </c>
      <c r="G2948">
        <v>-693</v>
      </c>
      <c r="H2948" t="s">
        <v>57</v>
      </c>
    </row>
    <row r="2949" spans="1:8" x14ac:dyDescent="0.3">
      <c r="A2949">
        <v>252</v>
      </c>
      <c r="B2949" s="5">
        <v>43945</v>
      </c>
      <c r="C2949" t="s">
        <v>12</v>
      </c>
      <c r="D2949">
        <v>156</v>
      </c>
      <c r="E2949">
        <v>133</v>
      </c>
      <c r="F2949" s="5">
        <v>43922</v>
      </c>
      <c r="G2949">
        <v>-156</v>
      </c>
      <c r="H2949" t="s">
        <v>57</v>
      </c>
    </row>
    <row r="2950" spans="1:8" x14ac:dyDescent="0.3">
      <c r="A2950">
        <v>253</v>
      </c>
      <c r="B2950" s="5">
        <v>43859</v>
      </c>
      <c r="C2950" t="s">
        <v>12</v>
      </c>
      <c r="D2950">
        <v>971</v>
      </c>
      <c r="E2950">
        <v>-971</v>
      </c>
      <c r="F2950" s="5">
        <v>43831</v>
      </c>
      <c r="G2950">
        <v>-971</v>
      </c>
      <c r="H2950" t="s">
        <v>58</v>
      </c>
    </row>
    <row r="2951" spans="1:8" x14ac:dyDescent="0.3">
      <c r="A2951">
        <v>253</v>
      </c>
      <c r="B2951" s="5">
        <v>43859</v>
      </c>
      <c r="C2951" t="s">
        <v>10</v>
      </c>
      <c r="D2951">
        <v>976</v>
      </c>
      <c r="E2951">
        <v>5</v>
      </c>
      <c r="F2951" s="5">
        <v>43831</v>
      </c>
      <c r="G2951">
        <v>976</v>
      </c>
      <c r="H2951" t="s">
        <v>57</v>
      </c>
    </row>
    <row r="2952" spans="1:8" x14ac:dyDescent="0.3">
      <c r="A2952">
        <v>253</v>
      </c>
      <c r="B2952" s="5">
        <v>43860</v>
      </c>
      <c r="C2952" t="s">
        <v>12</v>
      </c>
      <c r="D2952">
        <v>583</v>
      </c>
      <c r="E2952">
        <v>-578</v>
      </c>
      <c r="F2952" s="5">
        <v>43831</v>
      </c>
      <c r="G2952">
        <v>-583</v>
      </c>
      <c r="H2952" t="s">
        <v>58</v>
      </c>
    </row>
    <row r="2953" spans="1:8" x14ac:dyDescent="0.3">
      <c r="A2953">
        <v>253</v>
      </c>
      <c r="B2953" s="5">
        <v>43868</v>
      </c>
      <c r="C2953" t="s">
        <v>11</v>
      </c>
      <c r="D2953">
        <v>724</v>
      </c>
      <c r="E2953">
        <v>-1302</v>
      </c>
      <c r="F2953" s="5">
        <v>43862</v>
      </c>
      <c r="G2953">
        <v>-724</v>
      </c>
      <c r="H2953" t="s">
        <v>58</v>
      </c>
    </row>
    <row r="2954" spans="1:8" x14ac:dyDescent="0.3">
      <c r="A2954">
        <v>253</v>
      </c>
      <c r="B2954" s="5">
        <v>43872</v>
      </c>
      <c r="C2954" t="s">
        <v>10</v>
      </c>
      <c r="D2954">
        <v>754</v>
      </c>
      <c r="E2954">
        <v>-548</v>
      </c>
      <c r="F2954" s="5">
        <v>43862</v>
      </c>
      <c r="G2954">
        <v>754</v>
      </c>
      <c r="H2954" t="s">
        <v>58</v>
      </c>
    </row>
    <row r="2955" spans="1:8" x14ac:dyDescent="0.3">
      <c r="A2955">
        <v>253</v>
      </c>
      <c r="B2955" s="5">
        <v>43872</v>
      </c>
      <c r="C2955" t="s">
        <v>10</v>
      </c>
      <c r="D2955">
        <v>463</v>
      </c>
      <c r="E2955">
        <v>-85</v>
      </c>
      <c r="F2955" s="5">
        <v>43862</v>
      </c>
      <c r="G2955">
        <v>463</v>
      </c>
      <c r="H2955" t="s">
        <v>58</v>
      </c>
    </row>
    <row r="2956" spans="1:8" x14ac:dyDescent="0.3">
      <c r="A2956">
        <v>253</v>
      </c>
      <c r="B2956" s="5">
        <v>43883</v>
      </c>
      <c r="C2956" t="s">
        <v>11</v>
      </c>
      <c r="D2956">
        <v>492</v>
      </c>
      <c r="E2956">
        <v>-577</v>
      </c>
      <c r="F2956" s="5">
        <v>43862</v>
      </c>
      <c r="G2956">
        <v>-492</v>
      </c>
      <c r="H2956" t="s">
        <v>58</v>
      </c>
    </row>
    <row r="2957" spans="1:8" x14ac:dyDescent="0.3">
      <c r="A2957">
        <v>253</v>
      </c>
      <c r="B2957" s="5">
        <v>43907</v>
      </c>
      <c r="C2957" t="s">
        <v>11</v>
      </c>
      <c r="D2957">
        <v>723</v>
      </c>
      <c r="E2957">
        <v>-1300</v>
      </c>
      <c r="F2957" s="5">
        <v>43891</v>
      </c>
      <c r="G2957">
        <v>-723</v>
      </c>
      <c r="H2957" t="s">
        <v>58</v>
      </c>
    </row>
    <row r="2958" spans="1:8" x14ac:dyDescent="0.3">
      <c r="A2958">
        <v>253</v>
      </c>
      <c r="B2958" s="5">
        <v>43914</v>
      </c>
      <c r="C2958" t="s">
        <v>10</v>
      </c>
      <c r="D2958">
        <v>843</v>
      </c>
      <c r="E2958">
        <v>-457</v>
      </c>
      <c r="F2958" s="5">
        <v>43891</v>
      </c>
      <c r="G2958">
        <v>843</v>
      </c>
      <c r="H2958" t="s">
        <v>58</v>
      </c>
    </row>
    <row r="2959" spans="1:8" x14ac:dyDescent="0.3">
      <c r="A2959">
        <v>253</v>
      </c>
      <c r="B2959" s="5">
        <v>43925</v>
      </c>
      <c r="C2959" t="s">
        <v>12</v>
      </c>
      <c r="D2959">
        <v>257</v>
      </c>
      <c r="E2959">
        <v>-714</v>
      </c>
      <c r="F2959" s="5">
        <v>43922</v>
      </c>
      <c r="G2959">
        <v>-257</v>
      </c>
      <c r="H2959" t="s">
        <v>58</v>
      </c>
    </row>
    <row r="2960" spans="1:8" x14ac:dyDescent="0.3">
      <c r="A2960">
        <v>253</v>
      </c>
      <c r="B2960" s="5">
        <v>43927</v>
      </c>
      <c r="C2960" t="s">
        <v>12</v>
      </c>
      <c r="D2960">
        <v>990</v>
      </c>
      <c r="E2960">
        <v>-1704</v>
      </c>
      <c r="F2960" s="5">
        <v>43922</v>
      </c>
      <c r="G2960">
        <v>-990</v>
      </c>
      <c r="H2960" t="s">
        <v>58</v>
      </c>
    </row>
    <row r="2961" spans="1:8" x14ac:dyDescent="0.3">
      <c r="A2961">
        <v>253</v>
      </c>
      <c r="B2961" s="5">
        <v>43927</v>
      </c>
      <c r="C2961" t="s">
        <v>10</v>
      </c>
      <c r="D2961">
        <v>239</v>
      </c>
      <c r="E2961">
        <v>-1465</v>
      </c>
      <c r="F2961" s="5">
        <v>43922</v>
      </c>
      <c r="G2961">
        <v>239</v>
      </c>
      <c r="H2961" t="s">
        <v>58</v>
      </c>
    </row>
    <row r="2962" spans="1:8" x14ac:dyDescent="0.3">
      <c r="A2962">
        <v>253</v>
      </c>
      <c r="B2962" s="5">
        <v>43946</v>
      </c>
      <c r="C2962" t="s">
        <v>10</v>
      </c>
      <c r="D2962">
        <v>981</v>
      </c>
      <c r="E2962">
        <v>-484</v>
      </c>
      <c r="F2962" s="5">
        <v>43922</v>
      </c>
      <c r="G2962">
        <v>981</v>
      </c>
      <c r="H2962" t="s">
        <v>58</v>
      </c>
    </row>
    <row r="2963" spans="1:8" x14ac:dyDescent="0.3">
      <c r="A2963">
        <v>254</v>
      </c>
      <c r="B2963" s="5">
        <v>43835</v>
      </c>
      <c r="C2963" t="s">
        <v>10</v>
      </c>
      <c r="D2963">
        <v>856</v>
      </c>
      <c r="E2963">
        <v>856</v>
      </c>
      <c r="F2963" s="5">
        <v>43831</v>
      </c>
      <c r="G2963">
        <v>856</v>
      </c>
      <c r="H2963" t="s">
        <v>57</v>
      </c>
    </row>
    <row r="2964" spans="1:8" x14ac:dyDescent="0.3">
      <c r="A2964">
        <v>254</v>
      </c>
      <c r="B2964" s="5">
        <v>43857</v>
      </c>
      <c r="C2964" t="s">
        <v>11</v>
      </c>
      <c r="D2964">
        <v>820</v>
      </c>
      <c r="E2964">
        <v>36</v>
      </c>
      <c r="F2964" s="5">
        <v>43831</v>
      </c>
      <c r="G2964">
        <v>-820</v>
      </c>
      <c r="H2964" t="s">
        <v>57</v>
      </c>
    </row>
    <row r="2965" spans="1:8" x14ac:dyDescent="0.3">
      <c r="A2965">
        <v>254</v>
      </c>
      <c r="B2965" s="5">
        <v>43863</v>
      </c>
      <c r="C2965" t="s">
        <v>11</v>
      </c>
      <c r="D2965">
        <v>482</v>
      </c>
      <c r="E2965">
        <v>-446</v>
      </c>
      <c r="F2965" s="5">
        <v>43862</v>
      </c>
      <c r="G2965">
        <v>-482</v>
      </c>
      <c r="H2965" t="s">
        <v>58</v>
      </c>
    </row>
    <row r="2966" spans="1:8" x14ac:dyDescent="0.3">
      <c r="A2966">
        <v>254</v>
      </c>
      <c r="B2966" s="5">
        <v>43869</v>
      </c>
      <c r="C2966" t="s">
        <v>12</v>
      </c>
      <c r="D2966">
        <v>971</v>
      </c>
      <c r="E2966">
        <v>-1417</v>
      </c>
      <c r="F2966" s="5">
        <v>43862</v>
      </c>
      <c r="G2966">
        <v>-971</v>
      </c>
      <c r="H2966" t="s">
        <v>58</v>
      </c>
    </row>
    <row r="2967" spans="1:8" x14ac:dyDescent="0.3">
      <c r="A2967">
        <v>254</v>
      </c>
      <c r="B2967" s="5">
        <v>43871</v>
      </c>
      <c r="C2967" t="s">
        <v>12</v>
      </c>
      <c r="D2967">
        <v>314</v>
      </c>
      <c r="E2967">
        <v>-1731</v>
      </c>
      <c r="F2967" s="5">
        <v>43862</v>
      </c>
      <c r="G2967">
        <v>-314</v>
      </c>
      <c r="H2967" t="s">
        <v>58</v>
      </c>
    </row>
    <row r="2968" spans="1:8" x14ac:dyDescent="0.3">
      <c r="A2968">
        <v>254</v>
      </c>
      <c r="B2968" s="5">
        <v>43884</v>
      </c>
      <c r="C2968" t="s">
        <v>11</v>
      </c>
      <c r="D2968">
        <v>931</v>
      </c>
      <c r="E2968">
        <v>-2662</v>
      </c>
      <c r="F2968" s="5">
        <v>43862</v>
      </c>
      <c r="G2968">
        <v>-931</v>
      </c>
      <c r="H2968" t="s">
        <v>58</v>
      </c>
    </row>
    <row r="2969" spans="1:8" x14ac:dyDescent="0.3">
      <c r="A2969">
        <v>254</v>
      </c>
      <c r="B2969" s="5">
        <v>43888</v>
      </c>
      <c r="C2969" t="s">
        <v>11</v>
      </c>
      <c r="D2969">
        <v>221</v>
      </c>
      <c r="E2969">
        <v>-2883</v>
      </c>
      <c r="F2969" s="5">
        <v>43862</v>
      </c>
      <c r="G2969">
        <v>-221</v>
      </c>
      <c r="H2969" t="s">
        <v>58</v>
      </c>
    </row>
    <row r="2970" spans="1:8" x14ac:dyDescent="0.3">
      <c r="A2970">
        <v>254</v>
      </c>
      <c r="B2970" s="5">
        <v>43904</v>
      </c>
      <c r="C2970" t="s">
        <v>12</v>
      </c>
      <c r="D2970">
        <v>782</v>
      </c>
      <c r="E2970">
        <v>-3665</v>
      </c>
      <c r="F2970" s="5">
        <v>43891</v>
      </c>
      <c r="G2970">
        <v>-782</v>
      </c>
      <c r="H2970" t="s">
        <v>58</v>
      </c>
    </row>
    <row r="2971" spans="1:8" x14ac:dyDescent="0.3">
      <c r="A2971">
        <v>254</v>
      </c>
      <c r="B2971" s="5">
        <v>43908</v>
      </c>
      <c r="C2971" t="s">
        <v>10</v>
      </c>
      <c r="D2971">
        <v>590</v>
      </c>
      <c r="E2971">
        <v>-3075</v>
      </c>
      <c r="F2971" s="5">
        <v>43891</v>
      </c>
      <c r="G2971">
        <v>590</v>
      </c>
      <c r="H2971" t="s">
        <v>58</v>
      </c>
    </row>
    <row r="2972" spans="1:8" x14ac:dyDescent="0.3">
      <c r="A2972">
        <v>254</v>
      </c>
      <c r="B2972" s="5">
        <v>43917</v>
      </c>
      <c r="C2972" t="s">
        <v>10</v>
      </c>
      <c r="D2972">
        <v>961</v>
      </c>
      <c r="E2972">
        <v>-2114</v>
      </c>
      <c r="F2972" s="5">
        <v>43891</v>
      </c>
      <c r="G2972">
        <v>961</v>
      </c>
      <c r="H2972" t="s">
        <v>58</v>
      </c>
    </row>
    <row r="2973" spans="1:8" x14ac:dyDescent="0.3">
      <c r="A2973">
        <v>254</v>
      </c>
      <c r="B2973" s="5">
        <v>43918</v>
      </c>
      <c r="C2973" t="s">
        <v>10</v>
      </c>
      <c r="D2973">
        <v>778</v>
      </c>
      <c r="E2973">
        <v>-1336</v>
      </c>
      <c r="F2973" s="5">
        <v>43891</v>
      </c>
      <c r="G2973">
        <v>778</v>
      </c>
      <c r="H2973" t="s">
        <v>58</v>
      </c>
    </row>
    <row r="2974" spans="1:8" x14ac:dyDescent="0.3">
      <c r="A2974">
        <v>254</v>
      </c>
      <c r="B2974" s="5">
        <v>43919</v>
      </c>
      <c r="C2974" t="s">
        <v>10</v>
      </c>
      <c r="D2974">
        <v>17</v>
      </c>
      <c r="E2974">
        <v>-1319</v>
      </c>
      <c r="F2974" s="5">
        <v>43891</v>
      </c>
      <c r="G2974">
        <v>17</v>
      </c>
      <c r="H2974" t="s">
        <v>58</v>
      </c>
    </row>
    <row r="2975" spans="1:8" x14ac:dyDescent="0.3">
      <c r="A2975">
        <v>254</v>
      </c>
      <c r="B2975" s="5">
        <v>43920</v>
      </c>
      <c r="C2975" t="s">
        <v>11</v>
      </c>
      <c r="D2975">
        <v>5</v>
      </c>
      <c r="E2975">
        <v>-1324</v>
      </c>
      <c r="F2975" s="5">
        <v>43891</v>
      </c>
      <c r="G2975">
        <v>-5</v>
      </c>
      <c r="H2975" t="s">
        <v>58</v>
      </c>
    </row>
    <row r="2976" spans="1:8" x14ac:dyDescent="0.3">
      <c r="A2976">
        <v>254</v>
      </c>
      <c r="B2976" s="5">
        <v>43921</v>
      </c>
      <c r="C2976" t="s">
        <v>10</v>
      </c>
      <c r="D2976">
        <v>734</v>
      </c>
      <c r="E2976">
        <v>-590</v>
      </c>
      <c r="F2976" s="5">
        <v>43891</v>
      </c>
      <c r="G2976">
        <v>734</v>
      </c>
      <c r="H2976" t="s">
        <v>58</v>
      </c>
    </row>
    <row r="2977" spans="1:8" x14ac:dyDescent="0.3">
      <c r="A2977">
        <v>255</v>
      </c>
      <c r="B2977" s="5">
        <v>43844</v>
      </c>
      <c r="C2977" t="s">
        <v>10</v>
      </c>
      <c r="D2977">
        <v>563</v>
      </c>
      <c r="E2977">
        <v>563</v>
      </c>
      <c r="F2977" s="5">
        <v>43831</v>
      </c>
      <c r="G2977">
        <v>563</v>
      </c>
      <c r="H2977" t="s">
        <v>57</v>
      </c>
    </row>
    <row r="2978" spans="1:8" x14ac:dyDescent="0.3">
      <c r="A2978">
        <v>255</v>
      </c>
      <c r="B2978" s="5">
        <v>43861</v>
      </c>
      <c r="C2978" t="s">
        <v>11</v>
      </c>
      <c r="D2978">
        <v>310</v>
      </c>
      <c r="E2978">
        <v>253</v>
      </c>
      <c r="F2978" s="5">
        <v>43831</v>
      </c>
      <c r="G2978">
        <v>-310</v>
      </c>
      <c r="H2978" t="s">
        <v>57</v>
      </c>
    </row>
    <row r="2979" spans="1:8" x14ac:dyDescent="0.3">
      <c r="A2979">
        <v>255</v>
      </c>
      <c r="B2979" s="5">
        <v>43877</v>
      </c>
      <c r="C2979" t="s">
        <v>11</v>
      </c>
      <c r="D2979">
        <v>479</v>
      </c>
      <c r="E2979">
        <v>-226</v>
      </c>
      <c r="F2979" s="5">
        <v>43862</v>
      </c>
      <c r="G2979">
        <v>-479</v>
      </c>
      <c r="H2979" t="s">
        <v>58</v>
      </c>
    </row>
    <row r="2980" spans="1:8" x14ac:dyDescent="0.3">
      <c r="A2980">
        <v>255</v>
      </c>
      <c r="B2980" s="5">
        <v>43888</v>
      </c>
      <c r="C2980" t="s">
        <v>10</v>
      </c>
      <c r="D2980">
        <v>355</v>
      </c>
      <c r="E2980">
        <v>129</v>
      </c>
      <c r="F2980" s="5">
        <v>43862</v>
      </c>
      <c r="G2980">
        <v>355</v>
      </c>
      <c r="H2980" t="s">
        <v>57</v>
      </c>
    </row>
    <row r="2981" spans="1:8" x14ac:dyDescent="0.3">
      <c r="A2981">
        <v>255</v>
      </c>
      <c r="B2981" s="5">
        <v>43900</v>
      </c>
      <c r="C2981" t="s">
        <v>10</v>
      </c>
      <c r="D2981">
        <v>105</v>
      </c>
      <c r="E2981">
        <v>234</v>
      </c>
      <c r="F2981" s="5">
        <v>43891</v>
      </c>
      <c r="G2981">
        <v>105</v>
      </c>
      <c r="H2981" t="s">
        <v>57</v>
      </c>
    </row>
    <row r="2982" spans="1:8" x14ac:dyDescent="0.3">
      <c r="A2982">
        <v>255</v>
      </c>
      <c r="B2982" s="5">
        <v>43918</v>
      </c>
      <c r="C2982" t="s">
        <v>11</v>
      </c>
      <c r="D2982">
        <v>782</v>
      </c>
      <c r="E2982">
        <v>-548</v>
      </c>
      <c r="F2982" s="5">
        <v>43891</v>
      </c>
      <c r="G2982">
        <v>-782</v>
      </c>
      <c r="H2982" t="s">
        <v>58</v>
      </c>
    </row>
    <row r="2983" spans="1:8" x14ac:dyDescent="0.3">
      <c r="A2983">
        <v>256</v>
      </c>
      <c r="B2983" s="5">
        <v>43856</v>
      </c>
      <c r="C2983" t="s">
        <v>10</v>
      </c>
      <c r="D2983">
        <v>811</v>
      </c>
      <c r="E2983">
        <v>811</v>
      </c>
      <c r="F2983" s="5">
        <v>43831</v>
      </c>
      <c r="G2983">
        <v>811</v>
      </c>
      <c r="H2983" t="s">
        <v>57</v>
      </c>
    </row>
    <row r="2984" spans="1:8" x14ac:dyDescent="0.3">
      <c r="A2984">
        <v>256</v>
      </c>
      <c r="B2984" s="5">
        <v>43856</v>
      </c>
      <c r="C2984" t="s">
        <v>10</v>
      </c>
      <c r="D2984">
        <v>932</v>
      </c>
      <c r="E2984">
        <v>1743</v>
      </c>
      <c r="F2984" s="5">
        <v>43831</v>
      </c>
      <c r="G2984">
        <v>932</v>
      </c>
      <c r="H2984" t="s">
        <v>57</v>
      </c>
    </row>
    <row r="2985" spans="1:8" x14ac:dyDescent="0.3">
      <c r="A2985">
        <v>256</v>
      </c>
      <c r="B2985" s="5">
        <v>43865</v>
      </c>
      <c r="C2985" t="s">
        <v>10</v>
      </c>
      <c r="D2985">
        <v>10</v>
      </c>
      <c r="E2985">
        <v>1753</v>
      </c>
      <c r="F2985" s="5">
        <v>43862</v>
      </c>
      <c r="G2985">
        <v>10</v>
      </c>
      <c r="H2985" t="s">
        <v>57</v>
      </c>
    </row>
    <row r="2986" spans="1:8" x14ac:dyDescent="0.3">
      <c r="A2986">
        <v>256</v>
      </c>
      <c r="B2986" s="5">
        <v>43876</v>
      </c>
      <c r="C2986" t="s">
        <v>12</v>
      </c>
      <c r="D2986">
        <v>372</v>
      </c>
      <c r="E2986">
        <v>1381</v>
      </c>
      <c r="F2986" s="5">
        <v>43862</v>
      </c>
      <c r="G2986">
        <v>-372</v>
      </c>
      <c r="H2986" t="s">
        <v>57</v>
      </c>
    </row>
    <row r="2987" spans="1:8" x14ac:dyDescent="0.3">
      <c r="A2987">
        <v>256</v>
      </c>
      <c r="B2987" s="5">
        <v>43881</v>
      </c>
      <c r="C2987" t="s">
        <v>12</v>
      </c>
      <c r="D2987">
        <v>278</v>
      </c>
      <c r="E2987">
        <v>1103</v>
      </c>
      <c r="F2987" s="5">
        <v>43862</v>
      </c>
      <c r="G2987">
        <v>-278</v>
      </c>
      <c r="H2987" t="s">
        <v>57</v>
      </c>
    </row>
    <row r="2988" spans="1:8" x14ac:dyDescent="0.3">
      <c r="A2988">
        <v>256</v>
      </c>
      <c r="B2988" s="5">
        <v>43885</v>
      </c>
      <c r="C2988" t="s">
        <v>11</v>
      </c>
      <c r="D2988">
        <v>72</v>
      </c>
      <c r="E2988">
        <v>1031</v>
      </c>
      <c r="F2988" s="5">
        <v>43862</v>
      </c>
      <c r="G2988">
        <v>-72</v>
      </c>
      <c r="H2988" t="s">
        <v>57</v>
      </c>
    </row>
    <row r="2989" spans="1:8" x14ac:dyDescent="0.3">
      <c r="A2989">
        <v>256</v>
      </c>
      <c r="B2989" s="5">
        <v>43887</v>
      </c>
      <c r="C2989" t="s">
        <v>11</v>
      </c>
      <c r="D2989">
        <v>636</v>
      </c>
      <c r="E2989">
        <v>395</v>
      </c>
      <c r="F2989" s="5">
        <v>43862</v>
      </c>
      <c r="G2989">
        <v>-636</v>
      </c>
      <c r="H2989" t="s">
        <v>57</v>
      </c>
    </row>
    <row r="2990" spans="1:8" x14ac:dyDescent="0.3">
      <c r="A2990">
        <v>256</v>
      </c>
      <c r="B2990" s="5">
        <v>43888</v>
      </c>
      <c r="C2990" t="s">
        <v>10</v>
      </c>
      <c r="D2990">
        <v>962</v>
      </c>
      <c r="E2990">
        <v>1357</v>
      </c>
      <c r="F2990" s="5">
        <v>43862</v>
      </c>
      <c r="G2990">
        <v>962</v>
      </c>
      <c r="H2990" t="s">
        <v>57</v>
      </c>
    </row>
    <row r="2991" spans="1:8" x14ac:dyDescent="0.3">
      <c r="A2991">
        <v>256</v>
      </c>
      <c r="B2991" s="5">
        <v>43890</v>
      </c>
      <c r="C2991" t="s">
        <v>11</v>
      </c>
      <c r="D2991">
        <v>451</v>
      </c>
      <c r="E2991">
        <v>906</v>
      </c>
      <c r="F2991" s="5">
        <v>43862</v>
      </c>
      <c r="G2991">
        <v>-451</v>
      </c>
      <c r="H2991" t="s">
        <v>57</v>
      </c>
    </row>
    <row r="2992" spans="1:8" x14ac:dyDescent="0.3">
      <c r="A2992">
        <v>256</v>
      </c>
      <c r="B2992" s="5">
        <v>43892</v>
      </c>
      <c r="C2992" t="s">
        <v>10</v>
      </c>
      <c r="D2992">
        <v>469</v>
      </c>
      <c r="E2992">
        <v>1375</v>
      </c>
      <c r="F2992" s="5">
        <v>43891</v>
      </c>
      <c r="G2992">
        <v>469</v>
      </c>
      <c r="H2992" t="s">
        <v>57</v>
      </c>
    </row>
    <row r="2993" spans="1:8" x14ac:dyDescent="0.3">
      <c r="A2993">
        <v>256</v>
      </c>
      <c r="B2993" s="5">
        <v>43899</v>
      </c>
      <c r="C2993" t="s">
        <v>10</v>
      </c>
      <c r="D2993">
        <v>589</v>
      </c>
      <c r="E2993">
        <v>1964</v>
      </c>
      <c r="F2993" s="5">
        <v>43891</v>
      </c>
      <c r="G2993">
        <v>589</v>
      </c>
      <c r="H2993" t="s">
        <v>57</v>
      </c>
    </row>
    <row r="2994" spans="1:8" x14ac:dyDescent="0.3">
      <c r="A2994">
        <v>256</v>
      </c>
      <c r="B2994" s="5">
        <v>43900</v>
      </c>
      <c r="C2994" t="s">
        <v>11</v>
      </c>
      <c r="D2994">
        <v>354</v>
      </c>
      <c r="E2994">
        <v>1610</v>
      </c>
      <c r="F2994" s="5">
        <v>43891</v>
      </c>
      <c r="G2994">
        <v>-354</v>
      </c>
      <c r="H2994" t="s">
        <v>57</v>
      </c>
    </row>
    <row r="2995" spans="1:8" x14ac:dyDescent="0.3">
      <c r="A2995">
        <v>256</v>
      </c>
      <c r="B2995" s="5">
        <v>43912</v>
      </c>
      <c r="C2995" t="s">
        <v>10</v>
      </c>
      <c r="D2995">
        <v>82</v>
      </c>
      <c r="E2995">
        <v>1692</v>
      </c>
      <c r="F2995" s="5">
        <v>43891</v>
      </c>
      <c r="G2995">
        <v>82</v>
      </c>
      <c r="H2995" t="s">
        <v>57</v>
      </c>
    </row>
    <row r="2996" spans="1:8" x14ac:dyDescent="0.3">
      <c r="A2996">
        <v>256</v>
      </c>
      <c r="B2996" s="5">
        <v>43913</v>
      </c>
      <c r="C2996" t="s">
        <v>12</v>
      </c>
      <c r="D2996">
        <v>540</v>
      </c>
      <c r="E2996">
        <v>1152</v>
      </c>
      <c r="F2996" s="5">
        <v>43891</v>
      </c>
      <c r="G2996">
        <v>-540</v>
      </c>
      <c r="H2996" t="s">
        <v>57</v>
      </c>
    </row>
    <row r="2997" spans="1:8" x14ac:dyDescent="0.3">
      <c r="A2997">
        <v>256</v>
      </c>
      <c r="B2997" s="5">
        <v>43925</v>
      </c>
      <c r="C2997" t="s">
        <v>11</v>
      </c>
      <c r="D2997">
        <v>191</v>
      </c>
      <c r="E2997">
        <v>961</v>
      </c>
      <c r="F2997" s="5">
        <v>43922</v>
      </c>
      <c r="G2997">
        <v>-191</v>
      </c>
      <c r="H2997" t="s">
        <v>57</v>
      </c>
    </row>
    <row r="2998" spans="1:8" x14ac:dyDescent="0.3">
      <c r="A2998">
        <v>256</v>
      </c>
      <c r="B2998" s="5">
        <v>43929</v>
      </c>
      <c r="C2998" t="s">
        <v>10</v>
      </c>
      <c r="D2998">
        <v>78</v>
      </c>
      <c r="E2998">
        <v>1039</v>
      </c>
      <c r="F2998" s="5">
        <v>43922</v>
      </c>
      <c r="G2998">
        <v>78</v>
      </c>
      <c r="H2998" t="s">
        <v>57</v>
      </c>
    </row>
    <row r="2999" spans="1:8" x14ac:dyDescent="0.3">
      <c r="A2999">
        <v>256</v>
      </c>
      <c r="B2999" s="5">
        <v>43931</v>
      </c>
      <c r="C2999" t="s">
        <v>12</v>
      </c>
      <c r="D2999">
        <v>562</v>
      </c>
      <c r="E2999">
        <v>477</v>
      </c>
      <c r="F2999" s="5">
        <v>43922</v>
      </c>
      <c r="G2999">
        <v>-562</v>
      </c>
      <c r="H2999" t="s">
        <v>57</v>
      </c>
    </row>
    <row r="3000" spans="1:8" x14ac:dyDescent="0.3">
      <c r="A3000">
        <v>256</v>
      </c>
      <c r="B3000" s="5">
        <v>43938</v>
      </c>
      <c r="C3000" t="s">
        <v>11</v>
      </c>
      <c r="D3000">
        <v>327</v>
      </c>
      <c r="E3000">
        <v>150</v>
      </c>
      <c r="F3000" s="5">
        <v>43922</v>
      </c>
      <c r="G3000">
        <v>-327</v>
      </c>
      <c r="H3000" t="s">
        <v>57</v>
      </c>
    </row>
    <row r="3001" spans="1:8" x14ac:dyDescent="0.3">
      <c r="A3001">
        <v>256</v>
      </c>
      <c r="B3001" s="5">
        <v>43941</v>
      </c>
      <c r="C3001" t="s">
        <v>10</v>
      </c>
      <c r="D3001">
        <v>944</v>
      </c>
      <c r="E3001">
        <v>1094</v>
      </c>
      <c r="F3001" s="5">
        <v>43922</v>
      </c>
      <c r="G3001">
        <v>944</v>
      </c>
      <c r="H3001" t="s">
        <v>57</v>
      </c>
    </row>
    <row r="3002" spans="1:8" x14ac:dyDescent="0.3">
      <c r="A3002">
        <v>257</v>
      </c>
      <c r="B3002" s="5">
        <v>43850</v>
      </c>
      <c r="C3002" t="s">
        <v>10</v>
      </c>
      <c r="D3002">
        <v>493</v>
      </c>
      <c r="E3002">
        <v>493</v>
      </c>
      <c r="F3002" s="5">
        <v>43831</v>
      </c>
      <c r="G3002">
        <v>493</v>
      </c>
      <c r="H3002" t="s">
        <v>57</v>
      </c>
    </row>
    <row r="3003" spans="1:8" x14ac:dyDescent="0.3">
      <c r="A3003">
        <v>257</v>
      </c>
      <c r="B3003" s="5">
        <v>43857</v>
      </c>
      <c r="C3003" t="s">
        <v>12</v>
      </c>
      <c r="D3003">
        <v>79</v>
      </c>
      <c r="E3003">
        <v>414</v>
      </c>
      <c r="F3003" s="5">
        <v>43831</v>
      </c>
      <c r="G3003">
        <v>-79</v>
      </c>
      <c r="H3003" t="s">
        <v>57</v>
      </c>
    </row>
    <row r="3004" spans="1:8" x14ac:dyDescent="0.3">
      <c r="A3004">
        <v>257</v>
      </c>
      <c r="B3004" s="5">
        <v>43865</v>
      </c>
      <c r="C3004" t="s">
        <v>11</v>
      </c>
      <c r="D3004">
        <v>62</v>
      </c>
      <c r="E3004">
        <v>352</v>
      </c>
      <c r="F3004" s="5">
        <v>43862</v>
      </c>
      <c r="G3004">
        <v>-62</v>
      </c>
      <c r="H3004" t="s">
        <v>57</v>
      </c>
    </row>
    <row r="3005" spans="1:8" x14ac:dyDescent="0.3">
      <c r="A3005">
        <v>257</v>
      </c>
      <c r="B3005" s="5">
        <v>43874</v>
      </c>
      <c r="C3005" t="s">
        <v>12</v>
      </c>
      <c r="D3005">
        <v>319</v>
      </c>
      <c r="E3005">
        <v>33</v>
      </c>
      <c r="F3005" s="5">
        <v>43862</v>
      </c>
      <c r="G3005">
        <v>-319</v>
      </c>
      <c r="H3005" t="s">
        <v>57</v>
      </c>
    </row>
    <row r="3006" spans="1:8" x14ac:dyDescent="0.3">
      <c r="A3006">
        <v>257</v>
      </c>
      <c r="B3006" s="5">
        <v>43878</v>
      </c>
      <c r="C3006" t="s">
        <v>10</v>
      </c>
      <c r="D3006">
        <v>13</v>
      </c>
      <c r="E3006">
        <v>46</v>
      </c>
      <c r="F3006" s="5">
        <v>43862</v>
      </c>
      <c r="G3006">
        <v>13</v>
      </c>
      <c r="H3006" t="s">
        <v>57</v>
      </c>
    </row>
    <row r="3007" spans="1:8" x14ac:dyDescent="0.3">
      <c r="A3007">
        <v>257</v>
      </c>
      <c r="B3007" s="5">
        <v>43880</v>
      </c>
      <c r="C3007" t="s">
        <v>11</v>
      </c>
      <c r="D3007">
        <v>929</v>
      </c>
      <c r="E3007">
        <v>-883</v>
      </c>
      <c r="F3007" s="5">
        <v>43862</v>
      </c>
      <c r="G3007">
        <v>-929</v>
      </c>
      <c r="H3007" t="s">
        <v>58</v>
      </c>
    </row>
    <row r="3008" spans="1:8" x14ac:dyDescent="0.3">
      <c r="A3008">
        <v>257</v>
      </c>
      <c r="B3008" s="5">
        <v>43883</v>
      </c>
      <c r="C3008" t="s">
        <v>10</v>
      </c>
      <c r="D3008">
        <v>501</v>
      </c>
      <c r="E3008">
        <v>-382</v>
      </c>
      <c r="F3008" s="5">
        <v>43862</v>
      </c>
      <c r="G3008">
        <v>501</v>
      </c>
      <c r="H3008" t="s">
        <v>58</v>
      </c>
    </row>
    <row r="3009" spans="1:8" x14ac:dyDescent="0.3">
      <c r="A3009">
        <v>257</v>
      </c>
      <c r="B3009" s="5">
        <v>43885</v>
      </c>
      <c r="C3009" t="s">
        <v>11</v>
      </c>
      <c r="D3009">
        <v>546</v>
      </c>
      <c r="E3009">
        <v>-928</v>
      </c>
      <c r="F3009" s="5">
        <v>43862</v>
      </c>
      <c r="G3009">
        <v>-546</v>
      </c>
      <c r="H3009" t="s">
        <v>58</v>
      </c>
    </row>
    <row r="3010" spans="1:8" x14ac:dyDescent="0.3">
      <c r="A3010">
        <v>257</v>
      </c>
      <c r="B3010" s="5">
        <v>43889</v>
      </c>
      <c r="C3010" t="s">
        <v>12</v>
      </c>
      <c r="D3010">
        <v>681</v>
      </c>
      <c r="E3010">
        <v>-1609</v>
      </c>
      <c r="F3010" s="5">
        <v>43862</v>
      </c>
      <c r="G3010">
        <v>-681</v>
      </c>
      <c r="H3010" t="s">
        <v>58</v>
      </c>
    </row>
    <row r="3011" spans="1:8" x14ac:dyDescent="0.3">
      <c r="A3011">
        <v>257</v>
      </c>
      <c r="B3011" s="5">
        <v>43891</v>
      </c>
      <c r="C3011" t="s">
        <v>12</v>
      </c>
      <c r="D3011">
        <v>659</v>
      </c>
      <c r="E3011">
        <v>-2268</v>
      </c>
      <c r="F3011" s="5">
        <v>43891</v>
      </c>
      <c r="G3011">
        <v>-659</v>
      </c>
      <c r="H3011" t="s">
        <v>58</v>
      </c>
    </row>
    <row r="3012" spans="1:8" x14ac:dyDescent="0.3">
      <c r="A3012">
        <v>257</v>
      </c>
      <c r="B3012" s="5">
        <v>43893</v>
      </c>
      <c r="C3012" t="s">
        <v>10</v>
      </c>
      <c r="D3012">
        <v>815</v>
      </c>
      <c r="E3012">
        <v>-1453</v>
      </c>
      <c r="F3012" s="5">
        <v>43891</v>
      </c>
      <c r="G3012">
        <v>815</v>
      </c>
      <c r="H3012" t="s">
        <v>58</v>
      </c>
    </row>
    <row r="3013" spans="1:8" x14ac:dyDescent="0.3">
      <c r="A3013">
        <v>257</v>
      </c>
      <c r="B3013" s="5">
        <v>43897</v>
      </c>
      <c r="C3013" t="s">
        <v>12</v>
      </c>
      <c r="D3013">
        <v>105</v>
      </c>
      <c r="E3013">
        <v>-1558</v>
      </c>
      <c r="F3013" s="5">
        <v>43891</v>
      </c>
      <c r="G3013">
        <v>-105</v>
      </c>
      <c r="H3013" t="s">
        <v>58</v>
      </c>
    </row>
    <row r="3014" spans="1:8" x14ac:dyDescent="0.3">
      <c r="A3014">
        <v>257</v>
      </c>
      <c r="B3014" s="5">
        <v>43906</v>
      </c>
      <c r="C3014" t="s">
        <v>11</v>
      </c>
      <c r="D3014">
        <v>53</v>
      </c>
      <c r="E3014">
        <v>-1611</v>
      </c>
      <c r="F3014" s="5">
        <v>43891</v>
      </c>
      <c r="G3014">
        <v>-53</v>
      </c>
      <c r="H3014" t="s">
        <v>58</v>
      </c>
    </row>
    <row r="3015" spans="1:8" x14ac:dyDescent="0.3">
      <c r="A3015">
        <v>257</v>
      </c>
      <c r="B3015" s="5">
        <v>43908</v>
      </c>
      <c r="C3015" t="s">
        <v>12</v>
      </c>
      <c r="D3015">
        <v>31</v>
      </c>
      <c r="E3015">
        <v>-1642</v>
      </c>
      <c r="F3015" s="5">
        <v>43891</v>
      </c>
      <c r="G3015">
        <v>-31</v>
      </c>
      <c r="H3015" t="s">
        <v>58</v>
      </c>
    </row>
    <row r="3016" spans="1:8" x14ac:dyDescent="0.3">
      <c r="A3016">
        <v>257</v>
      </c>
      <c r="B3016" s="5">
        <v>43909</v>
      </c>
      <c r="C3016" t="s">
        <v>10</v>
      </c>
      <c r="D3016">
        <v>401</v>
      </c>
      <c r="E3016">
        <v>-1241</v>
      </c>
      <c r="F3016" s="5">
        <v>43891</v>
      </c>
      <c r="G3016">
        <v>401</v>
      </c>
      <c r="H3016" t="s">
        <v>58</v>
      </c>
    </row>
    <row r="3017" spans="1:8" x14ac:dyDescent="0.3">
      <c r="A3017">
        <v>257</v>
      </c>
      <c r="B3017" s="5">
        <v>43910</v>
      </c>
      <c r="C3017" t="s">
        <v>10</v>
      </c>
      <c r="D3017">
        <v>769</v>
      </c>
      <c r="E3017">
        <v>-472</v>
      </c>
      <c r="F3017" s="5">
        <v>43891</v>
      </c>
      <c r="G3017">
        <v>769</v>
      </c>
      <c r="H3017" t="s">
        <v>58</v>
      </c>
    </row>
    <row r="3018" spans="1:8" x14ac:dyDescent="0.3">
      <c r="A3018">
        <v>257</v>
      </c>
      <c r="B3018" s="5">
        <v>43934</v>
      </c>
      <c r="C3018" t="s">
        <v>11</v>
      </c>
      <c r="D3018">
        <v>504</v>
      </c>
      <c r="E3018">
        <v>-976</v>
      </c>
      <c r="F3018" s="5">
        <v>43922</v>
      </c>
      <c r="G3018">
        <v>-504</v>
      </c>
      <c r="H3018" t="s">
        <v>58</v>
      </c>
    </row>
    <row r="3019" spans="1:8" x14ac:dyDescent="0.3">
      <c r="A3019">
        <v>258</v>
      </c>
      <c r="B3019" s="5">
        <v>43855</v>
      </c>
      <c r="C3019" t="s">
        <v>10</v>
      </c>
      <c r="D3019">
        <v>590</v>
      </c>
      <c r="E3019">
        <v>590</v>
      </c>
      <c r="F3019" s="5">
        <v>43831</v>
      </c>
      <c r="G3019">
        <v>590</v>
      </c>
      <c r="H3019" t="s">
        <v>57</v>
      </c>
    </row>
    <row r="3020" spans="1:8" x14ac:dyDescent="0.3">
      <c r="A3020">
        <v>258</v>
      </c>
      <c r="B3020" s="5">
        <v>43865</v>
      </c>
      <c r="C3020" t="s">
        <v>11</v>
      </c>
      <c r="D3020">
        <v>849</v>
      </c>
      <c r="E3020">
        <v>-259</v>
      </c>
      <c r="F3020" s="5">
        <v>43862</v>
      </c>
      <c r="G3020">
        <v>-849</v>
      </c>
      <c r="H3020" t="s">
        <v>58</v>
      </c>
    </row>
    <row r="3021" spans="1:8" x14ac:dyDescent="0.3">
      <c r="A3021">
        <v>258</v>
      </c>
      <c r="B3021" s="5">
        <v>43875</v>
      </c>
      <c r="C3021" t="s">
        <v>11</v>
      </c>
      <c r="D3021">
        <v>817</v>
      </c>
      <c r="E3021">
        <v>-1076</v>
      </c>
      <c r="F3021" s="5">
        <v>43862</v>
      </c>
      <c r="G3021">
        <v>-817</v>
      </c>
      <c r="H3021" t="s">
        <v>58</v>
      </c>
    </row>
    <row r="3022" spans="1:8" x14ac:dyDescent="0.3">
      <c r="A3022">
        <v>258</v>
      </c>
      <c r="B3022" s="5">
        <v>43894</v>
      </c>
      <c r="C3022" t="s">
        <v>12</v>
      </c>
      <c r="D3022">
        <v>379</v>
      </c>
      <c r="E3022">
        <v>-1455</v>
      </c>
      <c r="F3022" s="5">
        <v>43891</v>
      </c>
      <c r="G3022">
        <v>-379</v>
      </c>
      <c r="H3022" t="s">
        <v>58</v>
      </c>
    </row>
    <row r="3023" spans="1:8" x14ac:dyDescent="0.3">
      <c r="A3023">
        <v>258</v>
      </c>
      <c r="B3023" s="5">
        <v>43896</v>
      </c>
      <c r="C3023" t="s">
        <v>11</v>
      </c>
      <c r="D3023">
        <v>782</v>
      </c>
      <c r="E3023">
        <v>-2237</v>
      </c>
      <c r="F3023" s="5">
        <v>43891</v>
      </c>
      <c r="G3023">
        <v>-782</v>
      </c>
      <c r="H3023" t="s">
        <v>58</v>
      </c>
    </row>
    <row r="3024" spans="1:8" x14ac:dyDescent="0.3">
      <c r="A3024">
        <v>258</v>
      </c>
      <c r="B3024" s="5">
        <v>43906</v>
      </c>
      <c r="C3024" t="s">
        <v>10</v>
      </c>
      <c r="D3024">
        <v>43</v>
      </c>
      <c r="E3024">
        <v>-2194</v>
      </c>
      <c r="F3024" s="5">
        <v>43891</v>
      </c>
      <c r="G3024">
        <v>43</v>
      </c>
      <c r="H3024" t="s">
        <v>58</v>
      </c>
    </row>
    <row r="3025" spans="1:8" x14ac:dyDescent="0.3">
      <c r="A3025">
        <v>258</v>
      </c>
      <c r="B3025" s="5">
        <v>43915</v>
      </c>
      <c r="C3025" t="s">
        <v>10</v>
      </c>
      <c r="D3025">
        <v>115</v>
      </c>
      <c r="E3025">
        <v>-2079</v>
      </c>
      <c r="F3025" s="5">
        <v>43891</v>
      </c>
      <c r="G3025">
        <v>115</v>
      </c>
      <c r="H3025" t="s">
        <v>58</v>
      </c>
    </row>
    <row r="3026" spans="1:8" x14ac:dyDescent="0.3">
      <c r="A3026">
        <v>258</v>
      </c>
      <c r="B3026" s="5">
        <v>43916</v>
      </c>
      <c r="C3026" t="s">
        <v>11</v>
      </c>
      <c r="D3026">
        <v>814</v>
      </c>
      <c r="E3026">
        <v>-2893</v>
      </c>
      <c r="F3026" s="5">
        <v>43891</v>
      </c>
      <c r="G3026">
        <v>-814</v>
      </c>
      <c r="H3026" t="s">
        <v>58</v>
      </c>
    </row>
    <row r="3027" spans="1:8" x14ac:dyDescent="0.3">
      <c r="A3027">
        <v>258</v>
      </c>
      <c r="B3027" s="5">
        <v>43924</v>
      </c>
      <c r="C3027" t="s">
        <v>10</v>
      </c>
      <c r="D3027">
        <v>819</v>
      </c>
      <c r="E3027">
        <v>-2074</v>
      </c>
      <c r="F3027" s="5">
        <v>43922</v>
      </c>
      <c r="G3027">
        <v>819</v>
      </c>
      <c r="H3027" t="s">
        <v>58</v>
      </c>
    </row>
    <row r="3028" spans="1:8" x14ac:dyDescent="0.3">
      <c r="A3028">
        <v>258</v>
      </c>
      <c r="B3028" s="5">
        <v>43934</v>
      </c>
      <c r="C3028" t="s">
        <v>10</v>
      </c>
      <c r="D3028">
        <v>609</v>
      </c>
      <c r="E3028">
        <v>-1465</v>
      </c>
      <c r="F3028" s="5">
        <v>43922</v>
      </c>
      <c r="G3028">
        <v>609</v>
      </c>
      <c r="H3028" t="s">
        <v>58</v>
      </c>
    </row>
    <row r="3029" spans="1:8" x14ac:dyDescent="0.3">
      <c r="A3029">
        <v>259</v>
      </c>
      <c r="B3029" s="5">
        <v>43834</v>
      </c>
      <c r="C3029" t="s">
        <v>10</v>
      </c>
      <c r="D3029">
        <v>744</v>
      </c>
      <c r="E3029">
        <v>744</v>
      </c>
      <c r="F3029" s="5">
        <v>43831</v>
      </c>
      <c r="G3029">
        <v>744</v>
      </c>
      <c r="H3029" t="s">
        <v>57</v>
      </c>
    </row>
    <row r="3030" spans="1:8" x14ac:dyDescent="0.3">
      <c r="A3030">
        <v>259</v>
      </c>
      <c r="B3030" s="5">
        <v>43838</v>
      </c>
      <c r="C3030" t="s">
        <v>11</v>
      </c>
      <c r="D3030">
        <v>672</v>
      </c>
      <c r="E3030">
        <v>72</v>
      </c>
      <c r="F3030" s="5">
        <v>43831</v>
      </c>
      <c r="G3030">
        <v>-672</v>
      </c>
      <c r="H3030" t="s">
        <v>57</v>
      </c>
    </row>
    <row r="3031" spans="1:8" x14ac:dyDescent="0.3">
      <c r="A3031">
        <v>259</v>
      </c>
      <c r="B3031" s="5">
        <v>43844</v>
      </c>
      <c r="C3031" t="s">
        <v>10</v>
      </c>
      <c r="D3031">
        <v>714</v>
      </c>
      <c r="E3031">
        <v>786</v>
      </c>
      <c r="F3031" s="5">
        <v>43831</v>
      </c>
      <c r="G3031">
        <v>714</v>
      </c>
      <c r="H3031" t="s">
        <v>57</v>
      </c>
    </row>
    <row r="3032" spans="1:8" x14ac:dyDescent="0.3">
      <c r="A3032">
        <v>259</v>
      </c>
      <c r="B3032" s="5">
        <v>43848</v>
      </c>
      <c r="C3032" t="s">
        <v>10</v>
      </c>
      <c r="D3032">
        <v>745</v>
      </c>
      <c r="E3032">
        <v>1531</v>
      </c>
      <c r="F3032" s="5">
        <v>43831</v>
      </c>
      <c r="G3032">
        <v>745</v>
      </c>
      <c r="H3032" t="s">
        <v>57</v>
      </c>
    </row>
    <row r="3033" spans="1:8" x14ac:dyDescent="0.3">
      <c r="A3033">
        <v>259</v>
      </c>
      <c r="B3033" s="5">
        <v>43848</v>
      </c>
      <c r="C3033" t="s">
        <v>11</v>
      </c>
      <c r="D3033">
        <v>695</v>
      </c>
      <c r="E3033">
        <v>836</v>
      </c>
      <c r="F3033" s="5">
        <v>43831</v>
      </c>
      <c r="G3033">
        <v>-695</v>
      </c>
      <c r="H3033" t="s">
        <v>57</v>
      </c>
    </row>
    <row r="3034" spans="1:8" x14ac:dyDescent="0.3">
      <c r="A3034">
        <v>259</v>
      </c>
      <c r="B3034" s="5">
        <v>43855</v>
      </c>
      <c r="C3034" t="s">
        <v>12</v>
      </c>
      <c r="D3034">
        <v>352</v>
      </c>
      <c r="E3034">
        <v>484</v>
      </c>
      <c r="F3034" s="5">
        <v>43831</v>
      </c>
      <c r="G3034">
        <v>-352</v>
      </c>
      <c r="H3034" t="s">
        <v>57</v>
      </c>
    </row>
    <row r="3035" spans="1:8" x14ac:dyDescent="0.3">
      <c r="A3035">
        <v>259</v>
      </c>
      <c r="B3035" s="5">
        <v>43860</v>
      </c>
      <c r="C3035" t="s">
        <v>11</v>
      </c>
      <c r="D3035">
        <v>188</v>
      </c>
      <c r="E3035">
        <v>296</v>
      </c>
      <c r="F3035" s="5">
        <v>43831</v>
      </c>
      <c r="G3035">
        <v>-188</v>
      </c>
      <c r="H3035" t="s">
        <v>57</v>
      </c>
    </row>
    <row r="3036" spans="1:8" x14ac:dyDescent="0.3">
      <c r="A3036">
        <v>259</v>
      </c>
      <c r="B3036" s="5">
        <v>43861</v>
      </c>
      <c r="C3036" t="s">
        <v>10</v>
      </c>
      <c r="D3036">
        <v>632</v>
      </c>
      <c r="E3036">
        <v>928</v>
      </c>
      <c r="F3036" s="5">
        <v>43831</v>
      </c>
      <c r="G3036">
        <v>632</v>
      </c>
      <c r="H3036" t="s">
        <v>57</v>
      </c>
    </row>
    <row r="3037" spans="1:8" x14ac:dyDescent="0.3">
      <c r="A3037">
        <v>259</v>
      </c>
      <c r="B3037" s="5">
        <v>43867</v>
      </c>
      <c r="C3037" t="s">
        <v>11</v>
      </c>
      <c r="D3037">
        <v>347</v>
      </c>
      <c r="E3037">
        <v>581</v>
      </c>
      <c r="F3037" s="5">
        <v>43862</v>
      </c>
      <c r="G3037">
        <v>-347</v>
      </c>
      <c r="H3037" t="s">
        <v>57</v>
      </c>
    </row>
    <row r="3038" spans="1:8" x14ac:dyDescent="0.3">
      <c r="A3038">
        <v>259</v>
      </c>
      <c r="B3038" s="5">
        <v>43878</v>
      </c>
      <c r="C3038" t="s">
        <v>12</v>
      </c>
      <c r="D3038">
        <v>982</v>
      </c>
      <c r="E3038">
        <v>-401</v>
      </c>
      <c r="F3038" s="5">
        <v>43862</v>
      </c>
      <c r="G3038">
        <v>-982</v>
      </c>
      <c r="H3038" t="s">
        <v>58</v>
      </c>
    </row>
    <row r="3039" spans="1:8" x14ac:dyDescent="0.3">
      <c r="A3039">
        <v>259</v>
      </c>
      <c r="B3039" s="5">
        <v>43879</v>
      </c>
      <c r="C3039" t="s">
        <v>12</v>
      </c>
      <c r="D3039">
        <v>41</v>
      </c>
      <c r="E3039">
        <v>-442</v>
      </c>
      <c r="F3039" s="5">
        <v>43862</v>
      </c>
      <c r="G3039">
        <v>-41</v>
      </c>
      <c r="H3039" t="s">
        <v>58</v>
      </c>
    </row>
    <row r="3040" spans="1:8" x14ac:dyDescent="0.3">
      <c r="A3040">
        <v>259</v>
      </c>
      <c r="B3040" s="5">
        <v>43883</v>
      </c>
      <c r="C3040" t="s">
        <v>12</v>
      </c>
      <c r="D3040">
        <v>464</v>
      </c>
      <c r="E3040">
        <v>-906</v>
      </c>
      <c r="F3040" s="5">
        <v>43862</v>
      </c>
      <c r="G3040">
        <v>-464</v>
      </c>
      <c r="H3040" t="s">
        <v>58</v>
      </c>
    </row>
    <row r="3041" spans="1:8" x14ac:dyDescent="0.3">
      <c r="A3041">
        <v>259</v>
      </c>
      <c r="B3041" s="5">
        <v>43884</v>
      </c>
      <c r="C3041" t="s">
        <v>10</v>
      </c>
      <c r="D3041">
        <v>639</v>
      </c>
      <c r="E3041">
        <v>-267</v>
      </c>
      <c r="F3041" s="5">
        <v>43862</v>
      </c>
      <c r="G3041">
        <v>639</v>
      </c>
      <c r="H3041" t="s">
        <v>58</v>
      </c>
    </row>
    <row r="3042" spans="1:8" x14ac:dyDescent="0.3">
      <c r="A3042">
        <v>259</v>
      </c>
      <c r="B3042" s="5">
        <v>43898</v>
      </c>
      <c r="C3042" t="s">
        <v>10</v>
      </c>
      <c r="D3042">
        <v>223</v>
      </c>
      <c r="E3042">
        <v>-44</v>
      </c>
      <c r="F3042" s="5">
        <v>43891</v>
      </c>
      <c r="G3042">
        <v>223</v>
      </c>
      <c r="H3042" t="s">
        <v>58</v>
      </c>
    </row>
    <row r="3043" spans="1:8" x14ac:dyDescent="0.3">
      <c r="A3043">
        <v>259</v>
      </c>
      <c r="B3043" s="5">
        <v>43907</v>
      </c>
      <c r="C3043" t="s">
        <v>12</v>
      </c>
      <c r="D3043">
        <v>593</v>
      </c>
      <c r="E3043">
        <v>-637</v>
      </c>
      <c r="F3043" s="5">
        <v>43891</v>
      </c>
      <c r="G3043">
        <v>-593</v>
      </c>
      <c r="H3043" t="s">
        <v>58</v>
      </c>
    </row>
    <row r="3044" spans="1:8" x14ac:dyDescent="0.3">
      <c r="A3044">
        <v>259</v>
      </c>
      <c r="B3044" s="5">
        <v>43920</v>
      </c>
      <c r="C3044" t="s">
        <v>12</v>
      </c>
      <c r="D3044">
        <v>821</v>
      </c>
      <c r="E3044">
        <v>-1458</v>
      </c>
      <c r="F3044" s="5">
        <v>43891</v>
      </c>
      <c r="G3044">
        <v>-821</v>
      </c>
      <c r="H3044" t="s">
        <v>58</v>
      </c>
    </row>
    <row r="3045" spans="1:8" x14ac:dyDescent="0.3">
      <c r="A3045">
        <v>260</v>
      </c>
      <c r="B3045" s="5">
        <v>43856</v>
      </c>
      <c r="C3045" t="s">
        <v>10</v>
      </c>
      <c r="D3045">
        <v>899</v>
      </c>
      <c r="E3045">
        <v>899</v>
      </c>
      <c r="F3045" s="5">
        <v>43831</v>
      </c>
      <c r="G3045">
        <v>899</v>
      </c>
      <c r="H3045" t="s">
        <v>57</v>
      </c>
    </row>
    <row r="3046" spans="1:8" x14ac:dyDescent="0.3">
      <c r="A3046">
        <v>260</v>
      </c>
      <c r="B3046" s="5">
        <v>43858</v>
      </c>
      <c r="C3046" t="s">
        <v>10</v>
      </c>
      <c r="D3046">
        <v>966</v>
      </c>
      <c r="E3046">
        <v>1865</v>
      </c>
      <c r="F3046" s="5">
        <v>43831</v>
      </c>
      <c r="G3046">
        <v>966</v>
      </c>
      <c r="H3046" t="s">
        <v>57</v>
      </c>
    </row>
    <row r="3047" spans="1:8" x14ac:dyDescent="0.3">
      <c r="A3047">
        <v>260</v>
      </c>
      <c r="B3047" s="5">
        <v>43897</v>
      </c>
      <c r="C3047" t="s">
        <v>12</v>
      </c>
      <c r="D3047">
        <v>952</v>
      </c>
      <c r="E3047">
        <v>913</v>
      </c>
      <c r="F3047" s="5">
        <v>43891</v>
      </c>
      <c r="G3047">
        <v>-952</v>
      </c>
      <c r="H3047" t="s">
        <v>57</v>
      </c>
    </row>
    <row r="3048" spans="1:8" x14ac:dyDescent="0.3">
      <c r="A3048">
        <v>260</v>
      </c>
      <c r="B3048" s="5">
        <v>43914</v>
      </c>
      <c r="C3048" t="s">
        <v>10</v>
      </c>
      <c r="D3048">
        <v>996</v>
      </c>
      <c r="E3048">
        <v>1909</v>
      </c>
      <c r="F3048" s="5">
        <v>43891</v>
      </c>
      <c r="G3048">
        <v>996</v>
      </c>
      <c r="H3048" t="s">
        <v>57</v>
      </c>
    </row>
    <row r="3049" spans="1:8" x14ac:dyDescent="0.3">
      <c r="A3049">
        <v>261</v>
      </c>
      <c r="B3049" s="5">
        <v>43855</v>
      </c>
      <c r="C3049" t="s">
        <v>10</v>
      </c>
      <c r="D3049">
        <v>746</v>
      </c>
      <c r="E3049">
        <v>746</v>
      </c>
      <c r="F3049" s="5">
        <v>43831</v>
      </c>
      <c r="G3049">
        <v>746</v>
      </c>
      <c r="H3049" t="s">
        <v>57</v>
      </c>
    </row>
    <row r="3050" spans="1:8" x14ac:dyDescent="0.3">
      <c r="A3050">
        <v>261</v>
      </c>
      <c r="B3050" s="5">
        <v>43865</v>
      </c>
      <c r="C3050" t="s">
        <v>10</v>
      </c>
      <c r="D3050">
        <v>974</v>
      </c>
      <c r="E3050">
        <v>1720</v>
      </c>
      <c r="F3050" s="5">
        <v>43862</v>
      </c>
      <c r="G3050">
        <v>974</v>
      </c>
      <c r="H3050" t="s">
        <v>57</v>
      </c>
    </row>
    <row r="3051" spans="1:8" x14ac:dyDescent="0.3">
      <c r="A3051">
        <v>261</v>
      </c>
      <c r="B3051" s="5">
        <v>43875</v>
      </c>
      <c r="C3051" t="s">
        <v>10</v>
      </c>
      <c r="D3051">
        <v>27</v>
      </c>
      <c r="E3051">
        <v>1747</v>
      </c>
      <c r="F3051" s="5">
        <v>43862</v>
      </c>
      <c r="G3051">
        <v>27</v>
      </c>
      <c r="H3051" t="s">
        <v>57</v>
      </c>
    </row>
    <row r="3052" spans="1:8" x14ac:dyDescent="0.3">
      <c r="A3052">
        <v>261</v>
      </c>
      <c r="B3052" s="5">
        <v>43881</v>
      </c>
      <c r="C3052" t="s">
        <v>12</v>
      </c>
      <c r="D3052">
        <v>339</v>
      </c>
      <c r="E3052">
        <v>1408</v>
      </c>
      <c r="F3052" s="5">
        <v>43862</v>
      </c>
      <c r="G3052">
        <v>-339</v>
      </c>
      <c r="H3052" t="s">
        <v>57</v>
      </c>
    </row>
    <row r="3053" spans="1:8" x14ac:dyDescent="0.3">
      <c r="A3053">
        <v>261</v>
      </c>
      <c r="B3053" s="5">
        <v>43892</v>
      </c>
      <c r="C3053" t="s">
        <v>11</v>
      </c>
      <c r="D3053">
        <v>778</v>
      </c>
      <c r="E3053">
        <v>630</v>
      </c>
      <c r="F3053" s="5">
        <v>43891</v>
      </c>
      <c r="G3053">
        <v>-778</v>
      </c>
      <c r="H3053" t="s">
        <v>57</v>
      </c>
    </row>
    <row r="3054" spans="1:8" x14ac:dyDescent="0.3">
      <c r="A3054">
        <v>261</v>
      </c>
      <c r="B3054" s="5">
        <v>43897</v>
      </c>
      <c r="C3054" t="s">
        <v>12</v>
      </c>
      <c r="D3054">
        <v>959</v>
      </c>
      <c r="E3054">
        <v>-329</v>
      </c>
      <c r="F3054" s="5">
        <v>43891</v>
      </c>
      <c r="G3054">
        <v>-959</v>
      </c>
      <c r="H3054" t="s">
        <v>58</v>
      </c>
    </row>
    <row r="3055" spans="1:8" x14ac:dyDescent="0.3">
      <c r="A3055">
        <v>261</v>
      </c>
      <c r="B3055" s="5">
        <v>43926</v>
      </c>
      <c r="C3055" t="s">
        <v>10</v>
      </c>
      <c r="D3055">
        <v>298</v>
      </c>
      <c r="E3055">
        <v>-31</v>
      </c>
      <c r="F3055" s="5">
        <v>43922</v>
      </c>
      <c r="G3055">
        <v>298</v>
      </c>
      <c r="H3055" t="s">
        <v>58</v>
      </c>
    </row>
    <row r="3056" spans="1:8" x14ac:dyDescent="0.3">
      <c r="A3056">
        <v>262</v>
      </c>
      <c r="B3056" s="5">
        <v>43834</v>
      </c>
      <c r="C3056" t="s">
        <v>10</v>
      </c>
      <c r="D3056">
        <v>83</v>
      </c>
      <c r="E3056">
        <v>83</v>
      </c>
      <c r="F3056" s="5">
        <v>43831</v>
      </c>
      <c r="G3056">
        <v>83</v>
      </c>
      <c r="H3056" t="s">
        <v>57</v>
      </c>
    </row>
    <row r="3057" spans="1:8" x14ac:dyDescent="0.3">
      <c r="A3057">
        <v>262</v>
      </c>
      <c r="B3057" s="5">
        <v>43834</v>
      </c>
      <c r="C3057" t="s">
        <v>12</v>
      </c>
      <c r="D3057">
        <v>728</v>
      </c>
      <c r="E3057">
        <v>-645</v>
      </c>
      <c r="F3057" s="5">
        <v>43831</v>
      </c>
      <c r="G3057">
        <v>-728</v>
      </c>
      <c r="H3057" t="s">
        <v>58</v>
      </c>
    </row>
    <row r="3058" spans="1:8" x14ac:dyDescent="0.3">
      <c r="A3058">
        <v>262</v>
      </c>
      <c r="B3058" s="5">
        <v>43841</v>
      </c>
      <c r="C3058" t="s">
        <v>12</v>
      </c>
      <c r="D3058">
        <v>368</v>
      </c>
      <c r="E3058">
        <v>-1013</v>
      </c>
      <c r="F3058" s="5">
        <v>43831</v>
      </c>
      <c r="G3058">
        <v>-368</v>
      </c>
      <c r="H3058" t="s">
        <v>58</v>
      </c>
    </row>
    <row r="3059" spans="1:8" x14ac:dyDescent="0.3">
      <c r="A3059">
        <v>262</v>
      </c>
      <c r="B3059" s="5">
        <v>43853</v>
      </c>
      <c r="C3059" t="s">
        <v>11</v>
      </c>
      <c r="D3059">
        <v>57</v>
      </c>
      <c r="E3059">
        <v>-1070</v>
      </c>
      <c r="F3059" s="5">
        <v>43831</v>
      </c>
      <c r="G3059">
        <v>-57</v>
      </c>
      <c r="H3059" t="s">
        <v>58</v>
      </c>
    </row>
    <row r="3060" spans="1:8" x14ac:dyDescent="0.3">
      <c r="A3060">
        <v>262</v>
      </c>
      <c r="B3060" s="5">
        <v>43876</v>
      </c>
      <c r="C3060" t="s">
        <v>11</v>
      </c>
      <c r="D3060">
        <v>702</v>
      </c>
      <c r="E3060">
        <v>-1772</v>
      </c>
      <c r="F3060" s="5">
        <v>43862</v>
      </c>
      <c r="G3060">
        <v>-702</v>
      </c>
      <c r="H3060" t="s">
        <v>58</v>
      </c>
    </row>
    <row r="3061" spans="1:8" x14ac:dyDescent="0.3">
      <c r="A3061">
        <v>262</v>
      </c>
      <c r="B3061" s="5">
        <v>43877</v>
      </c>
      <c r="C3061" t="s">
        <v>11</v>
      </c>
      <c r="D3061">
        <v>227</v>
      </c>
      <c r="E3061">
        <v>-1999</v>
      </c>
      <c r="F3061" s="5">
        <v>43862</v>
      </c>
      <c r="G3061">
        <v>-227</v>
      </c>
      <c r="H3061" t="s">
        <v>58</v>
      </c>
    </row>
    <row r="3062" spans="1:8" x14ac:dyDescent="0.3">
      <c r="A3062">
        <v>262</v>
      </c>
      <c r="B3062" s="5">
        <v>43878</v>
      </c>
      <c r="C3062" t="s">
        <v>11</v>
      </c>
      <c r="D3062">
        <v>16</v>
      </c>
      <c r="E3062">
        <v>-2015</v>
      </c>
      <c r="F3062" s="5">
        <v>43862</v>
      </c>
      <c r="G3062">
        <v>-16</v>
      </c>
      <c r="H3062" t="s">
        <v>58</v>
      </c>
    </row>
    <row r="3063" spans="1:8" x14ac:dyDescent="0.3">
      <c r="A3063">
        <v>262</v>
      </c>
      <c r="B3063" s="5">
        <v>43879</v>
      </c>
      <c r="C3063" t="s">
        <v>12</v>
      </c>
      <c r="D3063">
        <v>584</v>
      </c>
      <c r="E3063">
        <v>-2599</v>
      </c>
      <c r="F3063" s="5">
        <v>43862</v>
      </c>
      <c r="G3063">
        <v>-584</v>
      </c>
      <c r="H3063" t="s">
        <v>58</v>
      </c>
    </row>
    <row r="3064" spans="1:8" x14ac:dyDescent="0.3">
      <c r="A3064">
        <v>262</v>
      </c>
      <c r="B3064" s="5">
        <v>43896</v>
      </c>
      <c r="C3064" t="s">
        <v>10</v>
      </c>
      <c r="D3064">
        <v>97</v>
      </c>
      <c r="E3064">
        <v>-2502</v>
      </c>
      <c r="F3064" s="5">
        <v>43891</v>
      </c>
      <c r="G3064">
        <v>97</v>
      </c>
      <c r="H3064" t="s">
        <v>58</v>
      </c>
    </row>
    <row r="3065" spans="1:8" x14ac:dyDescent="0.3">
      <c r="A3065">
        <v>262</v>
      </c>
      <c r="B3065" s="5">
        <v>43897</v>
      </c>
      <c r="C3065" t="s">
        <v>12</v>
      </c>
      <c r="D3065">
        <v>516</v>
      </c>
      <c r="E3065">
        <v>-3018</v>
      </c>
      <c r="F3065" s="5">
        <v>43891</v>
      </c>
      <c r="G3065">
        <v>-516</v>
      </c>
      <c r="H3065" t="s">
        <v>58</v>
      </c>
    </row>
    <row r="3066" spans="1:8" x14ac:dyDescent="0.3">
      <c r="A3066">
        <v>262</v>
      </c>
      <c r="B3066" s="5">
        <v>43901</v>
      </c>
      <c r="C3066" t="s">
        <v>10</v>
      </c>
      <c r="D3066">
        <v>264</v>
      </c>
      <c r="E3066">
        <v>-2754</v>
      </c>
      <c r="F3066" s="5">
        <v>43891</v>
      </c>
      <c r="G3066">
        <v>264</v>
      </c>
      <c r="H3066" t="s">
        <v>58</v>
      </c>
    </row>
    <row r="3067" spans="1:8" x14ac:dyDescent="0.3">
      <c r="A3067">
        <v>262</v>
      </c>
      <c r="B3067" s="5">
        <v>43909</v>
      </c>
      <c r="C3067" t="s">
        <v>10</v>
      </c>
      <c r="D3067">
        <v>646</v>
      </c>
      <c r="E3067">
        <v>-2108</v>
      </c>
      <c r="F3067" s="5">
        <v>43891</v>
      </c>
      <c r="G3067">
        <v>646</v>
      </c>
      <c r="H3067" t="s">
        <v>58</v>
      </c>
    </row>
    <row r="3068" spans="1:8" x14ac:dyDescent="0.3">
      <c r="A3068">
        <v>262</v>
      </c>
      <c r="B3068" s="5">
        <v>43910</v>
      </c>
      <c r="C3068" t="s">
        <v>10</v>
      </c>
      <c r="D3068">
        <v>610</v>
      </c>
      <c r="E3068">
        <v>-1498</v>
      </c>
      <c r="F3068" s="5">
        <v>43891</v>
      </c>
      <c r="G3068">
        <v>610</v>
      </c>
      <c r="H3068" t="s">
        <v>58</v>
      </c>
    </row>
    <row r="3069" spans="1:8" x14ac:dyDescent="0.3">
      <c r="A3069">
        <v>262</v>
      </c>
      <c r="B3069" s="5">
        <v>43913</v>
      </c>
      <c r="C3069" t="s">
        <v>11</v>
      </c>
      <c r="D3069">
        <v>871</v>
      </c>
      <c r="E3069">
        <v>-2369</v>
      </c>
      <c r="F3069" s="5">
        <v>43891</v>
      </c>
      <c r="G3069">
        <v>-871</v>
      </c>
      <c r="H3069" t="s">
        <v>58</v>
      </c>
    </row>
    <row r="3070" spans="1:8" x14ac:dyDescent="0.3">
      <c r="A3070">
        <v>262</v>
      </c>
      <c r="B3070" s="5">
        <v>43914</v>
      </c>
      <c r="C3070" t="s">
        <v>11</v>
      </c>
      <c r="D3070">
        <v>28</v>
      </c>
      <c r="E3070">
        <v>-2397</v>
      </c>
      <c r="F3070" s="5">
        <v>43891</v>
      </c>
      <c r="G3070">
        <v>-28</v>
      </c>
      <c r="H3070" t="s">
        <v>58</v>
      </c>
    </row>
    <row r="3071" spans="1:8" x14ac:dyDescent="0.3">
      <c r="A3071">
        <v>262</v>
      </c>
      <c r="B3071" s="5">
        <v>43915</v>
      </c>
      <c r="C3071" t="s">
        <v>10</v>
      </c>
      <c r="D3071">
        <v>155</v>
      </c>
      <c r="E3071">
        <v>-2242</v>
      </c>
      <c r="F3071" s="5">
        <v>43891</v>
      </c>
      <c r="G3071">
        <v>155</v>
      </c>
      <c r="H3071" t="s">
        <v>58</v>
      </c>
    </row>
    <row r="3072" spans="1:8" x14ac:dyDescent="0.3">
      <c r="A3072">
        <v>262</v>
      </c>
      <c r="B3072" s="5">
        <v>43921</v>
      </c>
      <c r="C3072" t="s">
        <v>12</v>
      </c>
      <c r="D3072">
        <v>130</v>
      </c>
      <c r="E3072">
        <v>-2372</v>
      </c>
      <c r="F3072" s="5">
        <v>43891</v>
      </c>
      <c r="G3072">
        <v>-130</v>
      </c>
      <c r="H3072" t="s">
        <v>58</v>
      </c>
    </row>
    <row r="3073" spans="1:8" x14ac:dyDescent="0.3">
      <c r="A3073">
        <v>263</v>
      </c>
      <c r="B3073" s="5">
        <v>43846</v>
      </c>
      <c r="C3073" t="s">
        <v>10</v>
      </c>
      <c r="D3073">
        <v>312</v>
      </c>
      <c r="E3073">
        <v>312</v>
      </c>
      <c r="F3073" s="5">
        <v>43831</v>
      </c>
      <c r="G3073">
        <v>312</v>
      </c>
      <c r="H3073" t="s">
        <v>57</v>
      </c>
    </row>
    <row r="3074" spans="1:8" x14ac:dyDescent="0.3">
      <c r="A3074">
        <v>263</v>
      </c>
      <c r="B3074" s="5">
        <v>43883</v>
      </c>
      <c r="C3074" t="s">
        <v>11</v>
      </c>
      <c r="D3074">
        <v>200</v>
      </c>
      <c r="E3074">
        <v>112</v>
      </c>
      <c r="F3074" s="5">
        <v>43862</v>
      </c>
      <c r="G3074">
        <v>-200</v>
      </c>
      <c r="H3074" t="s">
        <v>57</v>
      </c>
    </row>
    <row r="3075" spans="1:8" x14ac:dyDescent="0.3">
      <c r="A3075">
        <v>263</v>
      </c>
      <c r="B3075" s="5">
        <v>43926</v>
      </c>
      <c r="C3075" t="s">
        <v>10</v>
      </c>
      <c r="D3075">
        <v>658</v>
      </c>
      <c r="E3075">
        <v>770</v>
      </c>
      <c r="F3075" s="5">
        <v>43922</v>
      </c>
      <c r="G3075">
        <v>658</v>
      </c>
      <c r="H3075" t="s">
        <v>57</v>
      </c>
    </row>
    <row r="3076" spans="1:8" x14ac:dyDescent="0.3">
      <c r="A3076">
        <v>264</v>
      </c>
      <c r="B3076" s="5">
        <v>43846</v>
      </c>
      <c r="C3076" t="s">
        <v>10</v>
      </c>
      <c r="D3076">
        <v>876</v>
      </c>
      <c r="E3076">
        <v>876</v>
      </c>
      <c r="F3076" s="5">
        <v>43831</v>
      </c>
      <c r="G3076">
        <v>876</v>
      </c>
      <c r="H3076" t="s">
        <v>57</v>
      </c>
    </row>
    <row r="3077" spans="1:8" x14ac:dyDescent="0.3">
      <c r="A3077">
        <v>264</v>
      </c>
      <c r="B3077" s="5">
        <v>43846</v>
      </c>
      <c r="C3077" t="s">
        <v>10</v>
      </c>
      <c r="D3077">
        <v>41</v>
      </c>
      <c r="E3077">
        <v>917</v>
      </c>
      <c r="F3077" s="5">
        <v>43831</v>
      </c>
      <c r="G3077">
        <v>41</v>
      </c>
      <c r="H3077" t="s">
        <v>57</v>
      </c>
    </row>
    <row r="3078" spans="1:8" x14ac:dyDescent="0.3">
      <c r="A3078">
        <v>264</v>
      </c>
      <c r="B3078" s="5">
        <v>43853</v>
      </c>
      <c r="C3078" t="s">
        <v>11</v>
      </c>
      <c r="D3078">
        <v>147</v>
      </c>
      <c r="E3078">
        <v>770</v>
      </c>
      <c r="F3078" s="5">
        <v>43831</v>
      </c>
      <c r="G3078">
        <v>-147</v>
      </c>
      <c r="H3078" t="s">
        <v>57</v>
      </c>
    </row>
    <row r="3079" spans="1:8" x14ac:dyDescent="0.3">
      <c r="A3079">
        <v>264</v>
      </c>
      <c r="B3079" s="5">
        <v>43865</v>
      </c>
      <c r="C3079" t="s">
        <v>11</v>
      </c>
      <c r="D3079">
        <v>75</v>
      </c>
      <c r="E3079">
        <v>695</v>
      </c>
      <c r="F3079" s="5">
        <v>43862</v>
      </c>
      <c r="G3079">
        <v>-75</v>
      </c>
      <c r="H3079" t="s">
        <v>57</v>
      </c>
    </row>
    <row r="3080" spans="1:8" x14ac:dyDescent="0.3">
      <c r="A3080">
        <v>264</v>
      </c>
      <c r="B3080" s="5">
        <v>43886</v>
      </c>
      <c r="C3080" t="s">
        <v>10</v>
      </c>
      <c r="D3080">
        <v>850</v>
      </c>
      <c r="E3080">
        <v>1545</v>
      </c>
      <c r="F3080" s="5">
        <v>43862</v>
      </c>
      <c r="G3080">
        <v>850</v>
      </c>
      <c r="H3080" t="s">
        <v>57</v>
      </c>
    </row>
    <row r="3081" spans="1:8" x14ac:dyDescent="0.3">
      <c r="A3081">
        <v>264</v>
      </c>
      <c r="B3081" s="5">
        <v>43900</v>
      </c>
      <c r="C3081" t="s">
        <v>10</v>
      </c>
      <c r="D3081">
        <v>886</v>
      </c>
      <c r="E3081">
        <v>2431</v>
      </c>
      <c r="F3081" s="5">
        <v>43891</v>
      </c>
      <c r="G3081">
        <v>886</v>
      </c>
      <c r="H3081" t="s">
        <v>57</v>
      </c>
    </row>
    <row r="3082" spans="1:8" x14ac:dyDescent="0.3">
      <c r="A3082">
        <v>264</v>
      </c>
      <c r="B3082" s="5">
        <v>43908</v>
      </c>
      <c r="C3082" t="s">
        <v>10</v>
      </c>
      <c r="D3082">
        <v>362</v>
      </c>
      <c r="E3082">
        <v>2793</v>
      </c>
      <c r="F3082" s="5">
        <v>43891</v>
      </c>
      <c r="G3082">
        <v>362</v>
      </c>
      <c r="H3082" t="s">
        <v>57</v>
      </c>
    </row>
    <row r="3083" spans="1:8" x14ac:dyDescent="0.3">
      <c r="A3083">
        <v>264</v>
      </c>
      <c r="B3083" s="5">
        <v>43908</v>
      </c>
      <c r="C3083" t="s">
        <v>10</v>
      </c>
      <c r="D3083">
        <v>987</v>
      </c>
      <c r="E3083">
        <v>3780</v>
      </c>
      <c r="F3083" s="5">
        <v>43891</v>
      </c>
      <c r="G3083">
        <v>987</v>
      </c>
      <c r="H3083" t="s">
        <v>57</v>
      </c>
    </row>
    <row r="3084" spans="1:8" x14ac:dyDescent="0.3">
      <c r="A3084">
        <v>264</v>
      </c>
      <c r="B3084" s="5">
        <v>43909</v>
      </c>
      <c r="C3084" t="s">
        <v>11</v>
      </c>
      <c r="D3084">
        <v>760</v>
      </c>
      <c r="E3084">
        <v>3020</v>
      </c>
      <c r="F3084" s="5">
        <v>43891</v>
      </c>
      <c r="G3084">
        <v>-760</v>
      </c>
      <c r="H3084" t="s">
        <v>57</v>
      </c>
    </row>
    <row r="3085" spans="1:8" x14ac:dyDescent="0.3">
      <c r="A3085">
        <v>264</v>
      </c>
      <c r="B3085" s="5">
        <v>43915</v>
      </c>
      <c r="C3085" t="s">
        <v>11</v>
      </c>
      <c r="D3085">
        <v>932</v>
      </c>
      <c r="E3085">
        <v>2088</v>
      </c>
      <c r="F3085" s="5">
        <v>43891</v>
      </c>
      <c r="G3085">
        <v>-932</v>
      </c>
      <c r="H3085" t="s">
        <v>57</v>
      </c>
    </row>
    <row r="3086" spans="1:8" x14ac:dyDescent="0.3">
      <c r="A3086">
        <v>264</v>
      </c>
      <c r="B3086" s="5">
        <v>43927</v>
      </c>
      <c r="C3086" t="s">
        <v>12</v>
      </c>
      <c r="D3086">
        <v>793</v>
      </c>
      <c r="E3086">
        <v>1295</v>
      </c>
      <c r="F3086" s="5">
        <v>43922</v>
      </c>
      <c r="G3086">
        <v>-793</v>
      </c>
      <c r="H3086" t="s">
        <v>57</v>
      </c>
    </row>
    <row r="3087" spans="1:8" x14ac:dyDescent="0.3">
      <c r="A3087">
        <v>265</v>
      </c>
      <c r="B3087" s="5">
        <v>43838</v>
      </c>
      <c r="C3087" t="s">
        <v>10</v>
      </c>
      <c r="D3087">
        <v>699</v>
      </c>
      <c r="E3087">
        <v>699</v>
      </c>
      <c r="F3087" s="5">
        <v>43831</v>
      </c>
      <c r="G3087">
        <v>699</v>
      </c>
      <c r="H3087" t="s">
        <v>57</v>
      </c>
    </row>
    <row r="3088" spans="1:8" x14ac:dyDescent="0.3">
      <c r="A3088">
        <v>265</v>
      </c>
      <c r="B3088" s="5">
        <v>43840</v>
      </c>
      <c r="C3088" t="s">
        <v>10</v>
      </c>
      <c r="D3088">
        <v>92</v>
      </c>
      <c r="E3088">
        <v>791</v>
      </c>
      <c r="F3088" s="5">
        <v>43831</v>
      </c>
      <c r="G3088">
        <v>92</v>
      </c>
      <c r="H3088" t="s">
        <v>57</v>
      </c>
    </row>
    <row r="3089" spans="1:8" x14ac:dyDescent="0.3">
      <c r="A3089">
        <v>265</v>
      </c>
      <c r="B3089" s="5">
        <v>43844</v>
      </c>
      <c r="C3089" t="s">
        <v>12</v>
      </c>
      <c r="D3089">
        <v>818</v>
      </c>
      <c r="E3089">
        <v>-27</v>
      </c>
      <c r="F3089" s="5">
        <v>43831</v>
      </c>
      <c r="G3089">
        <v>-818</v>
      </c>
      <c r="H3089" t="s">
        <v>58</v>
      </c>
    </row>
    <row r="3090" spans="1:8" x14ac:dyDescent="0.3">
      <c r="A3090">
        <v>265</v>
      </c>
      <c r="B3090" s="5">
        <v>43848</v>
      </c>
      <c r="C3090" t="s">
        <v>10</v>
      </c>
      <c r="D3090">
        <v>2</v>
      </c>
      <c r="E3090">
        <v>-25</v>
      </c>
      <c r="F3090" s="5">
        <v>43831</v>
      </c>
      <c r="G3090">
        <v>2</v>
      </c>
      <c r="H3090" t="s">
        <v>58</v>
      </c>
    </row>
    <row r="3091" spans="1:8" x14ac:dyDescent="0.3">
      <c r="A3091">
        <v>265</v>
      </c>
      <c r="B3091" s="5">
        <v>43866</v>
      </c>
      <c r="C3091" t="s">
        <v>11</v>
      </c>
      <c r="D3091">
        <v>161</v>
      </c>
      <c r="E3091">
        <v>-186</v>
      </c>
      <c r="F3091" s="5">
        <v>43862</v>
      </c>
      <c r="G3091">
        <v>-161</v>
      </c>
      <c r="H3091" t="s">
        <v>58</v>
      </c>
    </row>
    <row r="3092" spans="1:8" x14ac:dyDescent="0.3">
      <c r="A3092">
        <v>265</v>
      </c>
      <c r="B3092" s="5">
        <v>43871</v>
      </c>
      <c r="C3092" t="s">
        <v>11</v>
      </c>
      <c r="D3092">
        <v>193</v>
      </c>
      <c r="E3092">
        <v>-379</v>
      </c>
      <c r="F3092" s="5">
        <v>43862</v>
      </c>
      <c r="G3092">
        <v>-193</v>
      </c>
      <c r="H3092" t="s">
        <v>58</v>
      </c>
    </row>
    <row r="3093" spans="1:8" x14ac:dyDescent="0.3">
      <c r="A3093">
        <v>265</v>
      </c>
      <c r="B3093" s="5">
        <v>43875</v>
      </c>
      <c r="C3093" t="s">
        <v>11</v>
      </c>
      <c r="D3093">
        <v>577</v>
      </c>
      <c r="E3093">
        <v>-956</v>
      </c>
      <c r="F3093" s="5">
        <v>43862</v>
      </c>
      <c r="G3093">
        <v>-577</v>
      </c>
      <c r="H3093" t="s">
        <v>58</v>
      </c>
    </row>
    <row r="3094" spans="1:8" x14ac:dyDescent="0.3">
      <c r="A3094">
        <v>265</v>
      </c>
      <c r="B3094" s="5">
        <v>43878</v>
      </c>
      <c r="C3094" t="s">
        <v>11</v>
      </c>
      <c r="D3094">
        <v>73</v>
      </c>
      <c r="E3094">
        <v>-1029</v>
      </c>
      <c r="F3094" s="5">
        <v>43862</v>
      </c>
      <c r="G3094">
        <v>-73</v>
      </c>
      <c r="H3094" t="s">
        <v>58</v>
      </c>
    </row>
    <row r="3095" spans="1:8" x14ac:dyDescent="0.3">
      <c r="A3095">
        <v>265</v>
      </c>
      <c r="B3095" s="5">
        <v>43889</v>
      </c>
      <c r="C3095" t="s">
        <v>12</v>
      </c>
      <c r="D3095">
        <v>452</v>
      </c>
      <c r="E3095">
        <v>-1481</v>
      </c>
      <c r="F3095" s="5">
        <v>43862</v>
      </c>
      <c r="G3095">
        <v>-452</v>
      </c>
      <c r="H3095" t="s">
        <v>58</v>
      </c>
    </row>
    <row r="3096" spans="1:8" x14ac:dyDescent="0.3">
      <c r="A3096">
        <v>265</v>
      </c>
      <c r="B3096" s="5">
        <v>43893</v>
      </c>
      <c r="C3096" t="s">
        <v>10</v>
      </c>
      <c r="D3096">
        <v>280</v>
      </c>
      <c r="E3096">
        <v>-1201</v>
      </c>
      <c r="F3096" s="5">
        <v>43891</v>
      </c>
      <c r="G3096">
        <v>280</v>
      </c>
      <c r="H3096" t="s">
        <v>58</v>
      </c>
    </row>
    <row r="3097" spans="1:8" x14ac:dyDescent="0.3">
      <c r="A3097">
        <v>265</v>
      </c>
      <c r="B3097" s="5">
        <v>43897</v>
      </c>
      <c r="C3097" t="s">
        <v>10</v>
      </c>
      <c r="D3097">
        <v>36</v>
      </c>
      <c r="E3097">
        <v>-1165</v>
      </c>
      <c r="F3097" s="5">
        <v>43891</v>
      </c>
      <c r="G3097">
        <v>36</v>
      </c>
      <c r="H3097" t="s">
        <v>58</v>
      </c>
    </row>
    <row r="3098" spans="1:8" x14ac:dyDescent="0.3">
      <c r="A3098">
        <v>265</v>
      </c>
      <c r="B3098" s="5">
        <v>43898</v>
      </c>
      <c r="C3098" t="s">
        <v>10</v>
      </c>
      <c r="D3098">
        <v>483</v>
      </c>
      <c r="E3098">
        <v>-682</v>
      </c>
      <c r="F3098" s="5">
        <v>43891</v>
      </c>
      <c r="G3098">
        <v>483</v>
      </c>
      <c r="H3098" t="s">
        <v>58</v>
      </c>
    </row>
    <row r="3099" spans="1:8" x14ac:dyDescent="0.3">
      <c r="A3099">
        <v>265</v>
      </c>
      <c r="B3099" s="5">
        <v>43899</v>
      </c>
      <c r="C3099" t="s">
        <v>10</v>
      </c>
      <c r="D3099">
        <v>531</v>
      </c>
      <c r="E3099">
        <v>-151</v>
      </c>
      <c r="F3099" s="5">
        <v>43891</v>
      </c>
      <c r="G3099">
        <v>531</v>
      </c>
      <c r="H3099" t="s">
        <v>58</v>
      </c>
    </row>
    <row r="3100" spans="1:8" x14ac:dyDescent="0.3">
      <c r="A3100">
        <v>265</v>
      </c>
      <c r="B3100" s="5">
        <v>43906</v>
      </c>
      <c r="C3100" t="s">
        <v>11</v>
      </c>
      <c r="D3100">
        <v>257</v>
      </c>
      <c r="E3100">
        <v>-408</v>
      </c>
      <c r="F3100" s="5">
        <v>43891</v>
      </c>
      <c r="G3100">
        <v>-257</v>
      </c>
      <c r="H3100" t="s">
        <v>58</v>
      </c>
    </row>
    <row r="3101" spans="1:8" x14ac:dyDescent="0.3">
      <c r="A3101">
        <v>265</v>
      </c>
      <c r="B3101" s="5">
        <v>43913</v>
      </c>
      <c r="C3101" t="s">
        <v>11</v>
      </c>
      <c r="D3101">
        <v>835</v>
      </c>
      <c r="E3101">
        <v>-1243</v>
      </c>
      <c r="F3101" s="5">
        <v>43891</v>
      </c>
      <c r="G3101">
        <v>-835</v>
      </c>
      <c r="H3101" t="s">
        <v>58</v>
      </c>
    </row>
    <row r="3102" spans="1:8" x14ac:dyDescent="0.3">
      <c r="A3102">
        <v>265</v>
      </c>
      <c r="B3102" s="5">
        <v>43916</v>
      </c>
      <c r="C3102" t="s">
        <v>12</v>
      </c>
      <c r="D3102">
        <v>881</v>
      </c>
      <c r="E3102">
        <v>-2124</v>
      </c>
      <c r="F3102" s="5">
        <v>43891</v>
      </c>
      <c r="G3102">
        <v>-881</v>
      </c>
      <c r="H3102" t="s">
        <v>58</v>
      </c>
    </row>
    <row r="3103" spans="1:8" x14ac:dyDescent="0.3">
      <c r="A3103">
        <v>265</v>
      </c>
      <c r="B3103" s="5">
        <v>43917</v>
      </c>
      <c r="C3103" t="s">
        <v>10</v>
      </c>
      <c r="D3103">
        <v>89</v>
      </c>
      <c r="E3103">
        <v>-2035</v>
      </c>
      <c r="F3103" s="5">
        <v>43891</v>
      </c>
      <c r="G3103">
        <v>89</v>
      </c>
      <c r="H3103" t="s">
        <v>58</v>
      </c>
    </row>
    <row r="3104" spans="1:8" x14ac:dyDescent="0.3">
      <c r="A3104">
        <v>265</v>
      </c>
      <c r="B3104" s="5">
        <v>43919</v>
      </c>
      <c r="C3104" t="s">
        <v>12</v>
      </c>
      <c r="D3104">
        <v>557</v>
      </c>
      <c r="E3104">
        <v>-2592</v>
      </c>
      <c r="F3104" s="5">
        <v>43891</v>
      </c>
      <c r="G3104">
        <v>-557</v>
      </c>
      <c r="H3104" t="s">
        <v>58</v>
      </c>
    </row>
    <row r="3105" spans="1:8" x14ac:dyDescent="0.3">
      <c r="A3105">
        <v>265</v>
      </c>
      <c r="B3105" s="5">
        <v>43926</v>
      </c>
      <c r="C3105" t="s">
        <v>10</v>
      </c>
      <c r="D3105">
        <v>644</v>
      </c>
      <c r="E3105">
        <v>-1948</v>
      </c>
      <c r="F3105" s="5">
        <v>43922</v>
      </c>
      <c r="G3105">
        <v>644</v>
      </c>
      <c r="H3105" t="s">
        <v>58</v>
      </c>
    </row>
    <row r="3106" spans="1:8" x14ac:dyDescent="0.3">
      <c r="A3106">
        <v>266</v>
      </c>
      <c r="B3106" s="5">
        <v>43847</v>
      </c>
      <c r="C3106" t="s">
        <v>10</v>
      </c>
      <c r="D3106">
        <v>651</v>
      </c>
      <c r="E3106">
        <v>651</v>
      </c>
      <c r="F3106" s="5">
        <v>43831</v>
      </c>
      <c r="G3106">
        <v>651</v>
      </c>
      <c r="H3106" t="s">
        <v>57</v>
      </c>
    </row>
    <row r="3107" spans="1:8" x14ac:dyDescent="0.3">
      <c r="A3107">
        <v>266</v>
      </c>
      <c r="B3107" s="5">
        <v>43866</v>
      </c>
      <c r="C3107" t="s">
        <v>10</v>
      </c>
      <c r="D3107">
        <v>804</v>
      </c>
      <c r="E3107">
        <v>1455</v>
      </c>
      <c r="F3107" s="5">
        <v>43862</v>
      </c>
      <c r="G3107">
        <v>804</v>
      </c>
      <c r="H3107" t="s">
        <v>57</v>
      </c>
    </row>
    <row r="3108" spans="1:8" x14ac:dyDescent="0.3">
      <c r="A3108">
        <v>266</v>
      </c>
      <c r="B3108" s="5">
        <v>43902</v>
      </c>
      <c r="C3108" t="s">
        <v>11</v>
      </c>
      <c r="D3108">
        <v>668</v>
      </c>
      <c r="E3108">
        <v>787</v>
      </c>
      <c r="F3108" s="5">
        <v>43891</v>
      </c>
      <c r="G3108">
        <v>-668</v>
      </c>
      <c r="H3108" t="s">
        <v>57</v>
      </c>
    </row>
    <row r="3109" spans="1:8" x14ac:dyDescent="0.3">
      <c r="A3109">
        <v>266</v>
      </c>
      <c r="B3109" s="5">
        <v>43922</v>
      </c>
      <c r="C3109" t="s">
        <v>12</v>
      </c>
      <c r="D3109">
        <v>507</v>
      </c>
      <c r="E3109">
        <v>280</v>
      </c>
      <c r="F3109" s="5">
        <v>43922</v>
      </c>
      <c r="G3109">
        <v>-507</v>
      </c>
      <c r="H3109" t="s">
        <v>57</v>
      </c>
    </row>
    <row r="3110" spans="1:8" x14ac:dyDescent="0.3">
      <c r="A3110">
        <v>266</v>
      </c>
      <c r="B3110" s="5">
        <v>43936</v>
      </c>
      <c r="C3110" t="s">
        <v>10</v>
      </c>
      <c r="D3110">
        <v>858</v>
      </c>
      <c r="E3110">
        <v>1138</v>
      </c>
      <c r="F3110" s="5">
        <v>43922</v>
      </c>
      <c r="G3110">
        <v>858</v>
      </c>
      <c r="H3110" t="s">
        <v>57</v>
      </c>
    </row>
    <row r="3111" spans="1:8" x14ac:dyDescent="0.3">
      <c r="A3111">
        <v>267</v>
      </c>
      <c r="B3111" s="5">
        <v>43849</v>
      </c>
      <c r="C3111" t="s">
        <v>10</v>
      </c>
      <c r="D3111">
        <v>31</v>
      </c>
      <c r="E3111">
        <v>31</v>
      </c>
      <c r="F3111" s="5">
        <v>43831</v>
      </c>
      <c r="G3111">
        <v>31</v>
      </c>
      <c r="H3111" t="s">
        <v>57</v>
      </c>
    </row>
    <row r="3112" spans="1:8" x14ac:dyDescent="0.3">
      <c r="A3112">
        <v>267</v>
      </c>
      <c r="B3112" s="5">
        <v>43859</v>
      </c>
      <c r="C3112" t="s">
        <v>11</v>
      </c>
      <c r="D3112">
        <v>196</v>
      </c>
      <c r="E3112">
        <v>-165</v>
      </c>
      <c r="F3112" s="5">
        <v>43831</v>
      </c>
      <c r="G3112">
        <v>-196</v>
      </c>
      <c r="H3112" t="s">
        <v>58</v>
      </c>
    </row>
    <row r="3113" spans="1:8" x14ac:dyDescent="0.3">
      <c r="A3113">
        <v>267</v>
      </c>
      <c r="B3113" s="5">
        <v>43860</v>
      </c>
      <c r="C3113" t="s">
        <v>12</v>
      </c>
      <c r="D3113">
        <v>660</v>
      </c>
      <c r="E3113">
        <v>-825</v>
      </c>
      <c r="F3113" s="5">
        <v>43831</v>
      </c>
      <c r="G3113">
        <v>-660</v>
      </c>
      <c r="H3113" t="s">
        <v>58</v>
      </c>
    </row>
    <row r="3114" spans="1:8" x14ac:dyDescent="0.3">
      <c r="A3114">
        <v>267</v>
      </c>
      <c r="B3114" s="5">
        <v>43861</v>
      </c>
      <c r="C3114" t="s">
        <v>10</v>
      </c>
      <c r="D3114">
        <v>632</v>
      </c>
      <c r="E3114">
        <v>-193</v>
      </c>
      <c r="F3114" s="5">
        <v>43831</v>
      </c>
      <c r="G3114">
        <v>632</v>
      </c>
      <c r="H3114" t="s">
        <v>58</v>
      </c>
    </row>
    <row r="3115" spans="1:8" x14ac:dyDescent="0.3">
      <c r="A3115">
        <v>267</v>
      </c>
      <c r="B3115" s="5">
        <v>43872</v>
      </c>
      <c r="C3115" t="s">
        <v>12</v>
      </c>
      <c r="D3115">
        <v>523</v>
      </c>
      <c r="E3115">
        <v>-716</v>
      </c>
      <c r="F3115" s="5">
        <v>43862</v>
      </c>
      <c r="G3115">
        <v>-523</v>
      </c>
      <c r="H3115" t="s">
        <v>58</v>
      </c>
    </row>
    <row r="3116" spans="1:8" x14ac:dyDescent="0.3">
      <c r="A3116">
        <v>267</v>
      </c>
      <c r="B3116" s="5">
        <v>43881</v>
      </c>
      <c r="C3116" t="s">
        <v>11</v>
      </c>
      <c r="D3116">
        <v>497</v>
      </c>
      <c r="E3116">
        <v>-1213</v>
      </c>
      <c r="F3116" s="5">
        <v>43862</v>
      </c>
      <c r="G3116">
        <v>-497</v>
      </c>
      <c r="H3116" t="s">
        <v>58</v>
      </c>
    </row>
    <row r="3117" spans="1:8" x14ac:dyDescent="0.3">
      <c r="A3117">
        <v>267</v>
      </c>
      <c r="B3117" s="5">
        <v>43888</v>
      </c>
      <c r="C3117" t="s">
        <v>11</v>
      </c>
      <c r="D3117">
        <v>325</v>
      </c>
      <c r="E3117">
        <v>-1538</v>
      </c>
      <c r="F3117" s="5">
        <v>43862</v>
      </c>
      <c r="G3117">
        <v>-325</v>
      </c>
      <c r="H3117" t="s">
        <v>58</v>
      </c>
    </row>
    <row r="3118" spans="1:8" x14ac:dyDescent="0.3">
      <c r="A3118">
        <v>267</v>
      </c>
      <c r="B3118" s="5">
        <v>43888</v>
      </c>
      <c r="C3118" t="s">
        <v>12</v>
      </c>
      <c r="D3118">
        <v>530</v>
      </c>
      <c r="E3118">
        <v>-2068</v>
      </c>
      <c r="F3118" s="5">
        <v>43862</v>
      </c>
      <c r="G3118">
        <v>-530</v>
      </c>
      <c r="H3118" t="s">
        <v>58</v>
      </c>
    </row>
    <row r="3119" spans="1:8" x14ac:dyDescent="0.3">
      <c r="A3119">
        <v>267</v>
      </c>
      <c r="B3119" s="5">
        <v>43896</v>
      </c>
      <c r="C3119" t="s">
        <v>10</v>
      </c>
      <c r="D3119">
        <v>201</v>
      </c>
      <c r="E3119">
        <v>-1867</v>
      </c>
      <c r="F3119" s="5">
        <v>43891</v>
      </c>
      <c r="G3119">
        <v>201</v>
      </c>
      <c r="H3119" t="s">
        <v>58</v>
      </c>
    </row>
    <row r="3120" spans="1:8" x14ac:dyDescent="0.3">
      <c r="A3120">
        <v>267</v>
      </c>
      <c r="B3120" s="5">
        <v>43898</v>
      </c>
      <c r="C3120" t="s">
        <v>11</v>
      </c>
      <c r="D3120">
        <v>880</v>
      </c>
      <c r="E3120">
        <v>-2747</v>
      </c>
      <c r="F3120" s="5">
        <v>43891</v>
      </c>
      <c r="G3120">
        <v>-880</v>
      </c>
      <c r="H3120" t="s">
        <v>58</v>
      </c>
    </row>
    <row r="3121" spans="1:8" x14ac:dyDescent="0.3">
      <c r="A3121">
        <v>267</v>
      </c>
      <c r="B3121" s="5">
        <v>43907</v>
      </c>
      <c r="C3121" t="s">
        <v>12</v>
      </c>
      <c r="D3121">
        <v>970</v>
      </c>
      <c r="E3121">
        <v>-3717</v>
      </c>
      <c r="F3121" s="5">
        <v>43891</v>
      </c>
      <c r="G3121">
        <v>-970</v>
      </c>
      <c r="H3121" t="s">
        <v>58</v>
      </c>
    </row>
    <row r="3122" spans="1:8" x14ac:dyDescent="0.3">
      <c r="A3122">
        <v>267</v>
      </c>
      <c r="B3122" s="5">
        <v>43911</v>
      </c>
      <c r="C3122" t="s">
        <v>12</v>
      </c>
      <c r="D3122">
        <v>501</v>
      </c>
      <c r="E3122">
        <v>-4218</v>
      </c>
      <c r="F3122" s="5">
        <v>43891</v>
      </c>
      <c r="G3122">
        <v>-501</v>
      </c>
      <c r="H3122" t="s">
        <v>58</v>
      </c>
    </row>
    <row r="3123" spans="1:8" x14ac:dyDescent="0.3">
      <c r="A3123">
        <v>267</v>
      </c>
      <c r="B3123" s="5">
        <v>43911</v>
      </c>
      <c r="C3123" t="s">
        <v>12</v>
      </c>
      <c r="D3123">
        <v>729</v>
      </c>
      <c r="E3123">
        <v>-4947</v>
      </c>
      <c r="F3123" s="5">
        <v>43891</v>
      </c>
      <c r="G3123">
        <v>-729</v>
      </c>
      <c r="H3123" t="s">
        <v>58</v>
      </c>
    </row>
    <row r="3124" spans="1:8" x14ac:dyDescent="0.3">
      <c r="A3124">
        <v>267</v>
      </c>
      <c r="B3124" s="5">
        <v>43918</v>
      </c>
      <c r="C3124" t="s">
        <v>12</v>
      </c>
      <c r="D3124">
        <v>289</v>
      </c>
      <c r="E3124">
        <v>-5236</v>
      </c>
      <c r="F3124" s="5">
        <v>43891</v>
      </c>
      <c r="G3124">
        <v>-289</v>
      </c>
      <c r="H3124" t="s">
        <v>58</v>
      </c>
    </row>
    <row r="3125" spans="1:8" x14ac:dyDescent="0.3">
      <c r="A3125">
        <v>267</v>
      </c>
      <c r="B3125" s="5">
        <v>43925</v>
      </c>
      <c r="C3125" t="s">
        <v>10</v>
      </c>
      <c r="D3125">
        <v>996</v>
      </c>
      <c r="E3125">
        <v>-4240</v>
      </c>
      <c r="F3125" s="5">
        <v>43922</v>
      </c>
      <c r="G3125">
        <v>996</v>
      </c>
      <c r="H3125" t="s">
        <v>58</v>
      </c>
    </row>
    <row r="3126" spans="1:8" x14ac:dyDescent="0.3">
      <c r="A3126">
        <v>267</v>
      </c>
      <c r="B3126" s="5">
        <v>43925</v>
      </c>
      <c r="C3126" t="s">
        <v>10</v>
      </c>
      <c r="D3126">
        <v>917</v>
      </c>
      <c r="E3126">
        <v>-3323</v>
      </c>
      <c r="F3126" s="5">
        <v>43922</v>
      </c>
      <c r="G3126">
        <v>917</v>
      </c>
      <c r="H3126" t="s">
        <v>58</v>
      </c>
    </row>
    <row r="3127" spans="1:8" x14ac:dyDescent="0.3">
      <c r="A3127">
        <v>267</v>
      </c>
      <c r="B3127" s="5">
        <v>43931</v>
      </c>
      <c r="C3127" t="s">
        <v>10</v>
      </c>
      <c r="D3127">
        <v>530</v>
      </c>
      <c r="E3127">
        <v>-2793</v>
      </c>
      <c r="F3127" s="5">
        <v>43922</v>
      </c>
      <c r="G3127">
        <v>530</v>
      </c>
      <c r="H3127" t="s">
        <v>58</v>
      </c>
    </row>
    <row r="3128" spans="1:8" x14ac:dyDescent="0.3">
      <c r="A3128">
        <v>267</v>
      </c>
      <c r="B3128" s="5">
        <v>43934</v>
      </c>
      <c r="C3128" t="s">
        <v>10</v>
      </c>
      <c r="D3128">
        <v>351</v>
      </c>
      <c r="E3128">
        <v>-2442</v>
      </c>
      <c r="F3128" s="5">
        <v>43922</v>
      </c>
      <c r="G3128">
        <v>351</v>
      </c>
      <c r="H3128" t="s">
        <v>58</v>
      </c>
    </row>
    <row r="3129" spans="1:8" x14ac:dyDescent="0.3">
      <c r="A3129">
        <v>268</v>
      </c>
      <c r="B3129" s="5">
        <v>43841</v>
      </c>
      <c r="C3129" t="s">
        <v>10</v>
      </c>
      <c r="D3129">
        <v>744</v>
      </c>
      <c r="E3129">
        <v>744</v>
      </c>
      <c r="F3129" s="5">
        <v>43831</v>
      </c>
      <c r="G3129">
        <v>744</v>
      </c>
      <c r="H3129" t="s">
        <v>57</v>
      </c>
    </row>
    <row r="3130" spans="1:8" x14ac:dyDescent="0.3">
      <c r="A3130">
        <v>268</v>
      </c>
      <c r="B3130" s="5">
        <v>43842</v>
      </c>
      <c r="C3130" t="s">
        <v>10</v>
      </c>
      <c r="D3130">
        <v>589</v>
      </c>
      <c r="E3130">
        <v>1333</v>
      </c>
      <c r="F3130" s="5">
        <v>43831</v>
      </c>
      <c r="G3130">
        <v>589</v>
      </c>
      <c r="H3130" t="s">
        <v>57</v>
      </c>
    </row>
    <row r="3131" spans="1:8" x14ac:dyDescent="0.3">
      <c r="A3131">
        <v>268</v>
      </c>
      <c r="B3131" s="5">
        <v>43845</v>
      </c>
      <c r="C3131" t="s">
        <v>10</v>
      </c>
      <c r="D3131">
        <v>291</v>
      </c>
      <c r="E3131">
        <v>1624</v>
      </c>
      <c r="F3131" s="5">
        <v>43831</v>
      </c>
      <c r="G3131">
        <v>291</v>
      </c>
      <c r="H3131" t="s">
        <v>57</v>
      </c>
    </row>
    <row r="3132" spans="1:8" x14ac:dyDescent="0.3">
      <c r="A3132">
        <v>268</v>
      </c>
      <c r="B3132" s="5">
        <v>43848</v>
      </c>
      <c r="C3132" t="s">
        <v>10</v>
      </c>
      <c r="D3132">
        <v>759</v>
      </c>
      <c r="E3132">
        <v>2383</v>
      </c>
      <c r="F3132" s="5">
        <v>43831</v>
      </c>
      <c r="G3132">
        <v>759</v>
      </c>
      <c r="H3132" t="s">
        <v>57</v>
      </c>
    </row>
    <row r="3133" spans="1:8" x14ac:dyDescent="0.3">
      <c r="A3133">
        <v>268</v>
      </c>
      <c r="B3133" s="5">
        <v>43851</v>
      </c>
      <c r="C3133" t="s">
        <v>10</v>
      </c>
      <c r="D3133">
        <v>249</v>
      </c>
      <c r="E3133">
        <v>2632</v>
      </c>
      <c r="F3133" s="5">
        <v>43831</v>
      </c>
      <c r="G3133">
        <v>249</v>
      </c>
      <c r="H3133" t="s">
        <v>57</v>
      </c>
    </row>
    <row r="3134" spans="1:8" x14ac:dyDescent="0.3">
      <c r="A3134">
        <v>268</v>
      </c>
      <c r="B3134" s="5">
        <v>43852</v>
      </c>
      <c r="C3134" t="s">
        <v>11</v>
      </c>
      <c r="D3134">
        <v>547</v>
      </c>
      <c r="E3134">
        <v>2085</v>
      </c>
      <c r="F3134" s="5">
        <v>43831</v>
      </c>
      <c r="G3134">
        <v>-547</v>
      </c>
      <c r="H3134" t="s">
        <v>57</v>
      </c>
    </row>
    <row r="3135" spans="1:8" x14ac:dyDescent="0.3">
      <c r="A3135">
        <v>268</v>
      </c>
      <c r="B3135" s="5">
        <v>43861</v>
      </c>
      <c r="C3135" t="s">
        <v>12</v>
      </c>
      <c r="D3135">
        <v>386</v>
      </c>
      <c r="E3135">
        <v>1699</v>
      </c>
      <c r="F3135" s="5">
        <v>43831</v>
      </c>
      <c r="G3135">
        <v>-386</v>
      </c>
      <c r="H3135" t="s">
        <v>57</v>
      </c>
    </row>
    <row r="3136" spans="1:8" x14ac:dyDescent="0.3">
      <c r="A3136">
        <v>268</v>
      </c>
      <c r="B3136" s="5">
        <v>43862</v>
      </c>
      <c r="C3136" t="s">
        <v>12</v>
      </c>
      <c r="D3136">
        <v>937</v>
      </c>
      <c r="E3136">
        <v>762</v>
      </c>
      <c r="F3136" s="5">
        <v>43862</v>
      </c>
      <c r="G3136">
        <v>-937</v>
      </c>
      <c r="H3136" t="s">
        <v>57</v>
      </c>
    </row>
    <row r="3137" spans="1:8" x14ac:dyDescent="0.3">
      <c r="A3137">
        <v>268</v>
      </c>
      <c r="B3137" s="5">
        <v>43865</v>
      </c>
      <c r="C3137" t="s">
        <v>11</v>
      </c>
      <c r="D3137">
        <v>169</v>
      </c>
      <c r="E3137">
        <v>593</v>
      </c>
      <c r="F3137" s="5">
        <v>43862</v>
      </c>
      <c r="G3137">
        <v>-169</v>
      </c>
      <c r="H3137" t="s">
        <v>57</v>
      </c>
    </row>
    <row r="3138" spans="1:8" x14ac:dyDescent="0.3">
      <c r="A3138">
        <v>268</v>
      </c>
      <c r="B3138" s="5">
        <v>43870</v>
      </c>
      <c r="C3138" t="s">
        <v>11</v>
      </c>
      <c r="D3138">
        <v>104</v>
      </c>
      <c r="E3138">
        <v>489</v>
      </c>
      <c r="F3138" s="5">
        <v>43862</v>
      </c>
      <c r="G3138">
        <v>-104</v>
      </c>
      <c r="H3138" t="s">
        <v>57</v>
      </c>
    </row>
    <row r="3139" spans="1:8" x14ac:dyDescent="0.3">
      <c r="A3139">
        <v>268</v>
      </c>
      <c r="B3139" s="5">
        <v>43874</v>
      </c>
      <c r="C3139" t="s">
        <v>10</v>
      </c>
      <c r="D3139">
        <v>503</v>
      </c>
      <c r="E3139">
        <v>992</v>
      </c>
      <c r="F3139" s="5">
        <v>43862</v>
      </c>
      <c r="G3139">
        <v>503</v>
      </c>
      <c r="H3139" t="s">
        <v>57</v>
      </c>
    </row>
    <row r="3140" spans="1:8" x14ac:dyDescent="0.3">
      <c r="A3140">
        <v>268</v>
      </c>
      <c r="B3140" s="5">
        <v>43874</v>
      </c>
      <c r="C3140" t="s">
        <v>12</v>
      </c>
      <c r="D3140">
        <v>58</v>
      </c>
      <c r="E3140">
        <v>934</v>
      </c>
      <c r="F3140" s="5">
        <v>43862</v>
      </c>
      <c r="G3140">
        <v>-58</v>
      </c>
      <c r="H3140" t="s">
        <v>57</v>
      </c>
    </row>
    <row r="3141" spans="1:8" x14ac:dyDescent="0.3">
      <c r="A3141">
        <v>268</v>
      </c>
      <c r="B3141" s="5">
        <v>43880</v>
      </c>
      <c r="C3141" t="s">
        <v>12</v>
      </c>
      <c r="D3141">
        <v>811</v>
      </c>
      <c r="E3141">
        <v>123</v>
      </c>
      <c r="F3141" s="5">
        <v>43862</v>
      </c>
      <c r="G3141">
        <v>-811</v>
      </c>
      <c r="H3141" t="s">
        <v>57</v>
      </c>
    </row>
    <row r="3142" spans="1:8" x14ac:dyDescent="0.3">
      <c r="A3142">
        <v>268</v>
      </c>
      <c r="B3142" s="5">
        <v>43892</v>
      </c>
      <c r="C3142" t="s">
        <v>10</v>
      </c>
      <c r="D3142">
        <v>150</v>
      </c>
      <c r="E3142">
        <v>273</v>
      </c>
      <c r="F3142" s="5">
        <v>43891</v>
      </c>
      <c r="G3142">
        <v>150</v>
      </c>
      <c r="H3142" t="s">
        <v>57</v>
      </c>
    </row>
    <row r="3143" spans="1:8" x14ac:dyDescent="0.3">
      <c r="A3143">
        <v>268</v>
      </c>
      <c r="B3143" s="5">
        <v>43898</v>
      </c>
      <c r="C3143" t="s">
        <v>11</v>
      </c>
      <c r="D3143">
        <v>52</v>
      </c>
      <c r="E3143">
        <v>221</v>
      </c>
      <c r="F3143" s="5">
        <v>43891</v>
      </c>
      <c r="G3143">
        <v>-52</v>
      </c>
      <c r="H3143" t="s">
        <v>57</v>
      </c>
    </row>
    <row r="3144" spans="1:8" x14ac:dyDescent="0.3">
      <c r="A3144">
        <v>268</v>
      </c>
      <c r="B3144" s="5">
        <v>43901</v>
      </c>
      <c r="C3144" t="s">
        <v>10</v>
      </c>
      <c r="D3144">
        <v>583</v>
      </c>
      <c r="E3144">
        <v>804</v>
      </c>
      <c r="F3144" s="5">
        <v>43891</v>
      </c>
      <c r="G3144">
        <v>583</v>
      </c>
      <c r="H3144" t="s">
        <v>57</v>
      </c>
    </row>
    <row r="3145" spans="1:8" x14ac:dyDescent="0.3">
      <c r="A3145">
        <v>268</v>
      </c>
      <c r="B3145" s="5">
        <v>43904</v>
      </c>
      <c r="C3145" t="s">
        <v>11</v>
      </c>
      <c r="D3145">
        <v>84</v>
      </c>
      <c r="E3145">
        <v>720</v>
      </c>
      <c r="F3145" s="5">
        <v>43891</v>
      </c>
      <c r="G3145">
        <v>-84</v>
      </c>
      <c r="H3145" t="s">
        <v>57</v>
      </c>
    </row>
    <row r="3146" spans="1:8" x14ac:dyDescent="0.3">
      <c r="A3146">
        <v>268</v>
      </c>
      <c r="B3146" s="5">
        <v>43912</v>
      </c>
      <c r="C3146" t="s">
        <v>12</v>
      </c>
      <c r="D3146">
        <v>450</v>
      </c>
      <c r="E3146">
        <v>270</v>
      </c>
      <c r="F3146" s="5">
        <v>43891</v>
      </c>
      <c r="G3146">
        <v>-450</v>
      </c>
      <c r="H3146" t="s">
        <v>57</v>
      </c>
    </row>
    <row r="3147" spans="1:8" x14ac:dyDescent="0.3">
      <c r="A3147">
        <v>268</v>
      </c>
      <c r="B3147" s="5">
        <v>43924</v>
      </c>
      <c r="C3147" t="s">
        <v>12</v>
      </c>
      <c r="D3147">
        <v>488</v>
      </c>
      <c r="E3147">
        <v>-218</v>
      </c>
      <c r="F3147" s="5">
        <v>43922</v>
      </c>
      <c r="G3147">
        <v>-488</v>
      </c>
      <c r="H3147" t="s">
        <v>58</v>
      </c>
    </row>
    <row r="3148" spans="1:8" x14ac:dyDescent="0.3">
      <c r="A3148">
        <v>269</v>
      </c>
      <c r="B3148" s="5">
        <v>43844</v>
      </c>
      <c r="C3148" t="s">
        <v>10</v>
      </c>
      <c r="D3148">
        <v>654</v>
      </c>
      <c r="E3148">
        <v>654</v>
      </c>
      <c r="F3148" s="5">
        <v>43831</v>
      </c>
      <c r="G3148">
        <v>654</v>
      </c>
      <c r="H3148" t="s">
        <v>57</v>
      </c>
    </row>
    <row r="3149" spans="1:8" x14ac:dyDescent="0.3">
      <c r="A3149">
        <v>269</v>
      </c>
      <c r="B3149" s="5">
        <v>43845</v>
      </c>
      <c r="C3149" t="s">
        <v>11</v>
      </c>
      <c r="D3149">
        <v>421</v>
      </c>
      <c r="E3149">
        <v>233</v>
      </c>
      <c r="F3149" s="5">
        <v>43831</v>
      </c>
      <c r="G3149">
        <v>-421</v>
      </c>
      <c r="H3149" t="s">
        <v>57</v>
      </c>
    </row>
    <row r="3150" spans="1:8" x14ac:dyDescent="0.3">
      <c r="A3150">
        <v>269</v>
      </c>
      <c r="B3150" s="5">
        <v>43845</v>
      </c>
      <c r="C3150" t="s">
        <v>10</v>
      </c>
      <c r="D3150">
        <v>351</v>
      </c>
      <c r="E3150">
        <v>584</v>
      </c>
      <c r="F3150" s="5">
        <v>43831</v>
      </c>
      <c r="G3150">
        <v>351</v>
      </c>
      <c r="H3150" t="s">
        <v>57</v>
      </c>
    </row>
    <row r="3151" spans="1:8" x14ac:dyDescent="0.3">
      <c r="A3151">
        <v>269</v>
      </c>
      <c r="B3151" s="5">
        <v>43848</v>
      </c>
      <c r="C3151" t="s">
        <v>11</v>
      </c>
      <c r="D3151">
        <v>406</v>
      </c>
      <c r="E3151">
        <v>178</v>
      </c>
      <c r="F3151" s="5">
        <v>43831</v>
      </c>
      <c r="G3151">
        <v>-406</v>
      </c>
      <c r="H3151" t="s">
        <v>57</v>
      </c>
    </row>
    <row r="3152" spans="1:8" x14ac:dyDescent="0.3">
      <c r="A3152">
        <v>269</v>
      </c>
      <c r="B3152" s="5">
        <v>43851</v>
      </c>
      <c r="C3152" t="s">
        <v>12</v>
      </c>
      <c r="D3152">
        <v>895</v>
      </c>
      <c r="E3152">
        <v>-717</v>
      </c>
      <c r="F3152" s="5">
        <v>43831</v>
      </c>
      <c r="G3152">
        <v>-895</v>
      </c>
      <c r="H3152" t="s">
        <v>58</v>
      </c>
    </row>
    <row r="3153" spans="1:8" x14ac:dyDescent="0.3">
      <c r="A3153">
        <v>269</v>
      </c>
      <c r="B3153" s="5">
        <v>43857</v>
      </c>
      <c r="C3153" t="s">
        <v>12</v>
      </c>
      <c r="D3153">
        <v>705</v>
      </c>
      <c r="E3153">
        <v>-1422</v>
      </c>
      <c r="F3153" s="5">
        <v>43831</v>
      </c>
      <c r="G3153">
        <v>-705</v>
      </c>
      <c r="H3153" t="s">
        <v>58</v>
      </c>
    </row>
    <row r="3154" spans="1:8" x14ac:dyDescent="0.3">
      <c r="A3154">
        <v>269</v>
      </c>
      <c r="B3154" s="5">
        <v>43858</v>
      </c>
      <c r="C3154" t="s">
        <v>12</v>
      </c>
      <c r="D3154">
        <v>765</v>
      </c>
      <c r="E3154">
        <v>-2187</v>
      </c>
      <c r="F3154" s="5">
        <v>43831</v>
      </c>
      <c r="G3154">
        <v>-765</v>
      </c>
      <c r="H3154" t="s">
        <v>58</v>
      </c>
    </row>
    <row r="3155" spans="1:8" x14ac:dyDescent="0.3">
      <c r="A3155">
        <v>269</v>
      </c>
      <c r="B3155" s="5">
        <v>43859</v>
      </c>
      <c r="C3155" t="s">
        <v>12</v>
      </c>
      <c r="D3155">
        <v>478</v>
      </c>
      <c r="E3155">
        <v>-2665</v>
      </c>
      <c r="F3155" s="5">
        <v>43831</v>
      </c>
      <c r="G3155">
        <v>-478</v>
      </c>
      <c r="H3155" t="s">
        <v>58</v>
      </c>
    </row>
    <row r="3156" spans="1:8" x14ac:dyDescent="0.3">
      <c r="A3156">
        <v>269</v>
      </c>
      <c r="B3156" s="5">
        <v>43863</v>
      </c>
      <c r="C3156" t="s">
        <v>10</v>
      </c>
      <c r="D3156">
        <v>354</v>
      </c>
      <c r="E3156">
        <v>-2311</v>
      </c>
      <c r="F3156" s="5">
        <v>43862</v>
      </c>
      <c r="G3156">
        <v>354</v>
      </c>
      <c r="H3156" t="s">
        <v>58</v>
      </c>
    </row>
    <row r="3157" spans="1:8" x14ac:dyDescent="0.3">
      <c r="A3157">
        <v>269</v>
      </c>
      <c r="B3157" s="5">
        <v>43872</v>
      </c>
      <c r="C3157" t="s">
        <v>11</v>
      </c>
      <c r="D3157">
        <v>550</v>
      </c>
      <c r="E3157">
        <v>-2861</v>
      </c>
      <c r="F3157" s="5">
        <v>43862</v>
      </c>
      <c r="G3157">
        <v>-550</v>
      </c>
      <c r="H3157" t="s">
        <v>58</v>
      </c>
    </row>
    <row r="3158" spans="1:8" x14ac:dyDescent="0.3">
      <c r="A3158">
        <v>269</v>
      </c>
      <c r="B3158" s="5">
        <v>43876</v>
      </c>
      <c r="C3158" t="s">
        <v>12</v>
      </c>
      <c r="D3158">
        <v>459</v>
      </c>
      <c r="E3158">
        <v>-3320</v>
      </c>
      <c r="F3158" s="5">
        <v>43862</v>
      </c>
      <c r="G3158">
        <v>-459</v>
      </c>
      <c r="H3158" t="s">
        <v>58</v>
      </c>
    </row>
    <row r="3159" spans="1:8" x14ac:dyDescent="0.3">
      <c r="A3159">
        <v>269</v>
      </c>
      <c r="B3159" s="5">
        <v>43881</v>
      </c>
      <c r="C3159" t="s">
        <v>11</v>
      </c>
      <c r="D3159">
        <v>665</v>
      </c>
      <c r="E3159">
        <v>-3985</v>
      </c>
      <c r="F3159" s="5">
        <v>43862</v>
      </c>
      <c r="G3159">
        <v>-665</v>
      </c>
      <c r="H3159" t="s">
        <v>58</v>
      </c>
    </row>
    <row r="3160" spans="1:8" x14ac:dyDescent="0.3">
      <c r="A3160">
        <v>269</v>
      </c>
      <c r="B3160" s="5">
        <v>43894</v>
      </c>
      <c r="C3160" t="s">
        <v>12</v>
      </c>
      <c r="D3160">
        <v>24</v>
      </c>
      <c r="E3160">
        <v>-4009</v>
      </c>
      <c r="F3160" s="5">
        <v>43891</v>
      </c>
      <c r="G3160">
        <v>-24</v>
      </c>
      <c r="H3160" t="s">
        <v>58</v>
      </c>
    </row>
    <row r="3161" spans="1:8" x14ac:dyDescent="0.3">
      <c r="A3161">
        <v>269</v>
      </c>
      <c r="B3161" s="5">
        <v>43900</v>
      </c>
      <c r="C3161" t="s">
        <v>10</v>
      </c>
      <c r="D3161">
        <v>471</v>
      </c>
      <c r="E3161">
        <v>-3538</v>
      </c>
      <c r="F3161" s="5">
        <v>43891</v>
      </c>
      <c r="G3161">
        <v>471</v>
      </c>
      <c r="H3161" t="s">
        <v>58</v>
      </c>
    </row>
    <row r="3162" spans="1:8" x14ac:dyDescent="0.3">
      <c r="A3162">
        <v>269</v>
      </c>
      <c r="B3162" s="5">
        <v>43905</v>
      </c>
      <c r="C3162" t="s">
        <v>10</v>
      </c>
      <c r="D3162">
        <v>766</v>
      </c>
      <c r="E3162">
        <v>-2772</v>
      </c>
      <c r="F3162" s="5">
        <v>43891</v>
      </c>
      <c r="G3162">
        <v>766</v>
      </c>
      <c r="H3162" t="s">
        <v>58</v>
      </c>
    </row>
    <row r="3163" spans="1:8" x14ac:dyDescent="0.3">
      <c r="A3163">
        <v>269</v>
      </c>
      <c r="B3163" s="5">
        <v>43920</v>
      </c>
      <c r="C3163" t="s">
        <v>10</v>
      </c>
      <c r="D3163">
        <v>302</v>
      </c>
      <c r="E3163">
        <v>-2470</v>
      </c>
      <c r="F3163" s="5">
        <v>43891</v>
      </c>
      <c r="G3163">
        <v>302</v>
      </c>
      <c r="H3163" t="s">
        <v>58</v>
      </c>
    </row>
    <row r="3164" spans="1:8" x14ac:dyDescent="0.3">
      <c r="A3164">
        <v>269</v>
      </c>
      <c r="B3164" s="5">
        <v>43924</v>
      </c>
      <c r="C3164" t="s">
        <v>11</v>
      </c>
      <c r="D3164">
        <v>98</v>
      </c>
      <c r="E3164">
        <v>-2568</v>
      </c>
      <c r="F3164" s="5">
        <v>43922</v>
      </c>
      <c r="G3164">
        <v>-98</v>
      </c>
      <c r="H3164" t="s">
        <v>58</v>
      </c>
    </row>
    <row r="3165" spans="1:8" x14ac:dyDescent="0.3">
      <c r="A3165">
        <v>269</v>
      </c>
      <c r="B3165" s="5">
        <v>43928</v>
      </c>
      <c r="C3165" t="s">
        <v>10</v>
      </c>
      <c r="D3165">
        <v>640</v>
      </c>
      <c r="E3165">
        <v>-1928</v>
      </c>
      <c r="F3165" s="5">
        <v>43922</v>
      </c>
      <c r="G3165">
        <v>640</v>
      </c>
      <c r="H3165" t="s">
        <v>58</v>
      </c>
    </row>
    <row r="3166" spans="1:8" x14ac:dyDescent="0.3">
      <c r="A3166">
        <v>269</v>
      </c>
      <c r="B3166" s="5">
        <v>43932</v>
      </c>
      <c r="C3166" t="s">
        <v>10</v>
      </c>
      <c r="D3166">
        <v>64</v>
      </c>
      <c r="E3166">
        <v>-1864</v>
      </c>
      <c r="F3166" s="5">
        <v>43922</v>
      </c>
      <c r="G3166">
        <v>64</v>
      </c>
      <c r="H3166" t="s">
        <v>58</v>
      </c>
    </row>
    <row r="3167" spans="1:8" x14ac:dyDescent="0.3">
      <c r="A3167">
        <v>270</v>
      </c>
      <c r="B3167" s="5">
        <v>43846</v>
      </c>
      <c r="C3167" t="s">
        <v>10</v>
      </c>
      <c r="D3167">
        <v>294</v>
      </c>
      <c r="E3167">
        <v>294</v>
      </c>
      <c r="F3167" s="5">
        <v>43831</v>
      </c>
      <c r="G3167">
        <v>294</v>
      </c>
      <c r="H3167" t="s">
        <v>57</v>
      </c>
    </row>
    <row r="3168" spans="1:8" x14ac:dyDescent="0.3">
      <c r="A3168">
        <v>270</v>
      </c>
      <c r="B3168" s="5">
        <v>43848</v>
      </c>
      <c r="C3168" t="s">
        <v>10</v>
      </c>
      <c r="D3168">
        <v>708</v>
      </c>
      <c r="E3168">
        <v>1002</v>
      </c>
      <c r="F3168" s="5">
        <v>43831</v>
      </c>
      <c r="G3168">
        <v>708</v>
      </c>
      <c r="H3168" t="s">
        <v>57</v>
      </c>
    </row>
    <row r="3169" spans="1:8" x14ac:dyDescent="0.3">
      <c r="A3169">
        <v>270</v>
      </c>
      <c r="B3169" s="5">
        <v>43860</v>
      </c>
      <c r="C3169" t="s">
        <v>10</v>
      </c>
      <c r="D3169">
        <v>393</v>
      </c>
      <c r="E3169">
        <v>1395</v>
      </c>
      <c r="F3169" s="5">
        <v>43831</v>
      </c>
      <c r="G3169">
        <v>393</v>
      </c>
      <c r="H3169" t="s">
        <v>57</v>
      </c>
    </row>
    <row r="3170" spans="1:8" x14ac:dyDescent="0.3">
      <c r="A3170">
        <v>270</v>
      </c>
      <c r="B3170" s="5">
        <v>43863</v>
      </c>
      <c r="C3170" t="s">
        <v>12</v>
      </c>
      <c r="D3170">
        <v>835</v>
      </c>
      <c r="E3170">
        <v>560</v>
      </c>
      <c r="F3170" s="5">
        <v>43862</v>
      </c>
      <c r="G3170">
        <v>-835</v>
      </c>
      <c r="H3170" t="s">
        <v>57</v>
      </c>
    </row>
    <row r="3171" spans="1:8" x14ac:dyDescent="0.3">
      <c r="A3171">
        <v>270</v>
      </c>
      <c r="B3171" s="5">
        <v>43879</v>
      </c>
      <c r="C3171" t="s">
        <v>10</v>
      </c>
      <c r="D3171">
        <v>520</v>
      </c>
      <c r="E3171">
        <v>1080</v>
      </c>
      <c r="F3171" s="5">
        <v>43862</v>
      </c>
      <c r="G3171">
        <v>520</v>
      </c>
      <c r="H3171" t="s">
        <v>57</v>
      </c>
    </row>
    <row r="3172" spans="1:8" x14ac:dyDescent="0.3">
      <c r="A3172">
        <v>270</v>
      </c>
      <c r="B3172" s="5">
        <v>43885</v>
      </c>
      <c r="C3172" t="s">
        <v>10</v>
      </c>
      <c r="D3172">
        <v>315</v>
      </c>
      <c r="E3172">
        <v>1395</v>
      </c>
      <c r="F3172" s="5">
        <v>43862</v>
      </c>
      <c r="G3172">
        <v>315</v>
      </c>
      <c r="H3172" t="s">
        <v>57</v>
      </c>
    </row>
    <row r="3173" spans="1:8" x14ac:dyDescent="0.3">
      <c r="A3173">
        <v>270</v>
      </c>
      <c r="B3173" s="5">
        <v>43887</v>
      </c>
      <c r="C3173" t="s">
        <v>10</v>
      </c>
      <c r="D3173">
        <v>69</v>
      </c>
      <c r="E3173">
        <v>1464</v>
      </c>
      <c r="F3173" s="5">
        <v>43862</v>
      </c>
      <c r="G3173">
        <v>69</v>
      </c>
      <c r="H3173" t="s">
        <v>57</v>
      </c>
    </row>
    <row r="3174" spans="1:8" x14ac:dyDescent="0.3">
      <c r="A3174">
        <v>270</v>
      </c>
      <c r="B3174" s="5">
        <v>43889</v>
      </c>
      <c r="C3174" t="s">
        <v>12</v>
      </c>
      <c r="D3174">
        <v>503</v>
      </c>
      <c r="E3174">
        <v>961</v>
      </c>
      <c r="F3174" s="5">
        <v>43862</v>
      </c>
      <c r="G3174">
        <v>-503</v>
      </c>
      <c r="H3174" t="s">
        <v>57</v>
      </c>
    </row>
    <row r="3175" spans="1:8" x14ac:dyDescent="0.3">
      <c r="A3175">
        <v>270</v>
      </c>
      <c r="B3175" s="5">
        <v>43896</v>
      </c>
      <c r="C3175" t="s">
        <v>10</v>
      </c>
      <c r="D3175">
        <v>843</v>
      </c>
      <c r="E3175">
        <v>1804</v>
      </c>
      <c r="F3175" s="5">
        <v>43891</v>
      </c>
      <c r="G3175">
        <v>843</v>
      </c>
      <c r="H3175" t="s">
        <v>57</v>
      </c>
    </row>
    <row r="3176" spans="1:8" x14ac:dyDescent="0.3">
      <c r="A3176">
        <v>270</v>
      </c>
      <c r="B3176" s="5">
        <v>43901</v>
      </c>
      <c r="C3176" t="s">
        <v>12</v>
      </c>
      <c r="D3176">
        <v>379</v>
      </c>
      <c r="E3176">
        <v>1425</v>
      </c>
      <c r="F3176" s="5">
        <v>43891</v>
      </c>
      <c r="G3176">
        <v>-379</v>
      </c>
      <c r="H3176" t="s">
        <v>57</v>
      </c>
    </row>
    <row r="3177" spans="1:8" x14ac:dyDescent="0.3">
      <c r="A3177">
        <v>270</v>
      </c>
      <c r="B3177" s="5">
        <v>43905</v>
      </c>
      <c r="C3177" t="s">
        <v>12</v>
      </c>
      <c r="D3177">
        <v>826</v>
      </c>
      <c r="E3177">
        <v>599</v>
      </c>
      <c r="F3177" s="5">
        <v>43891</v>
      </c>
      <c r="G3177">
        <v>-826</v>
      </c>
      <c r="H3177" t="s">
        <v>57</v>
      </c>
    </row>
    <row r="3178" spans="1:8" x14ac:dyDescent="0.3">
      <c r="A3178">
        <v>270</v>
      </c>
      <c r="B3178" s="5">
        <v>43927</v>
      </c>
      <c r="C3178" t="s">
        <v>11</v>
      </c>
      <c r="D3178">
        <v>984</v>
      </c>
      <c r="E3178">
        <v>-385</v>
      </c>
      <c r="F3178" s="5">
        <v>43922</v>
      </c>
      <c r="G3178">
        <v>-984</v>
      </c>
      <c r="H3178" t="s">
        <v>58</v>
      </c>
    </row>
    <row r="3179" spans="1:8" x14ac:dyDescent="0.3">
      <c r="A3179">
        <v>270</v>
      </c>
      <c r="B3179" s="5">
        <v>43929</v>
      </c>
      <c r="C3179" t="s">
        <v>12</v>
      </c>
      <c r="D3179">
        <v>57</v>
      </c>
      <c r="E3179">
        <v>-442</v>
      </c>
      <c r="F3179" s="5">
        <v>43922</v>
      </c>
      <c r="G3179">
        <v>-57</v>
      </c>
      <c r="H3179" t="s">
        <v>58</v>
      </c>
    </row>
    <row r="3180" spans="1:8" x14ac:dyDescent="0.3">
      <c r="A3180">
        <v>271</v>
      </c>
      <c r="B3180" s="5">
        <v>43838</v>
      </c>
      <c r="C3180" t="s">
        <v>10</v>
      </c>
      <c r="D3180">
        <v>318</v>
      </c>
      <c r="E3180">
        <v>318</v>
      </c>
      <c r="F3180" s="5">
        <v>43831</v>
      </c>
      <c r="G3180">
        <v>318</v>
      </c>
      <c r="H3180" t="s">
        <v>57</v>
      </c>
    </row>
    <row r="3181" spans="1:8" x14ac:dyDescent="0.3">
      <c r="A3181">
        <v>271</v>
      </c>
      <c r="B3181" s="5">
        <v>43841</v>
      </c>
      <c r="C3181" t="s">
        <v>11</v>
      </c>
      <c r="D3181">
        <v>833</v>
      </c>
      <c r="E3181">
        <v>-515</v>
      </c>
      <c r="F3181" s="5">
        <v>43831</v>
      </c>
      <c r="G3181">
        <v>-833</v>
      </c>
      <c r="H3181" t="s">
        <v>58</v>
      </c>
    </row>
    <row r="3182" spans="1:8" x14ac:dyDescent="0.3">
      <c r="A3182">
        <v>271</v>
      </c>
      <c r="B3182" s="5">
        <v>43847</v>
      </c>
      <c r="C3182" t="s">
        <v>10</v>
      </c>
      <c r="D3182">
        <v>469</v>
      </c>
      <c r="E3182">
        <v>-46</v>
      </c>
      <c r="F3182" s="5">
        <v>43831</v>
      </c>
      <c r="G3182">
        <v>469</v>
      </c>
      <c r="H3182" t="s">
        <v>58</v>
      </c>
    </row>
    <row r="3183" spans="1:8" x14ac:dyDescent="0.3">
      <c r="A3183">
        <v>271</v>
      </c>
      <c r="B3183" s="5">
        <v>43847</v>
      </c>
      <c r="C3183" t="s">
        <v>11</v>
      </c>
      <c r="D3183">
        <v>821</v>
      </c>
      <c r="E3183">
        <v>-867</v>
      </c>
      <c r="F3183" s="5">
        <v>43831</v>
      </c>
      <c r="G3183">
        <v>-821</v>
      </c>
      <c r="H3183" t="s">
        <v>58</v>
      </c>
    </row>
    <row r="3184" spans="1:8" x14ac:dyDescent="0.3">
      <c r="A3184">
        <v>271</v>
      </c>
      <c r="B3184" s="5">
        <v>43849</v>
      </c>
      <c r="C3184" t="s">
        <v>12</v>
      </c>
      <c r="D3184">
        <v>719</v>
      </c>
      <c r="E3184">
        <v>-1586</v>
      </c>
      <c r="F3184" s="5">
        <v>43831</v>
      </c>
      <c r="G3184">
        <v>-719</v>
      </c>
      <c r="H3184" t="s">
        <v>58</v>
      </c>
    </row>
    <row r="3185" spans="1:8" x14ac:dyDescent="0.3">
      <c r="A3185">
        <v>271</v>
      </c>
      <c r="B3185" s="5">
        <v>43863</v>
      </c>
      <c r="C3185" t="s">
        <v>10</v>
      </c>
      <c r="D3185">
        <v>965</v>
      </c>
      <c r="E3185">
        <v>-621</v>
      </c>
      <c r="F3185" s="5">
        <v>43862</v>
      </c>
      <c r="G3185">
        <v>965</v>
      </c>
      <c r="H3185" t="s">
        <v>58</v>
      </c>
    </row>
    <row r="3186" spans="1:8" x14ac:dyDescent="0.3">
      <c r="A3186">
        <v>271</v>
      </c>
      <c r="B3186" s="5">
        <v>43867</v>
      </c>
      <c r="C3186" t="s">
        <v>11</v>
      </c>
      <c r="D3186">
        <v>167</v>
      </c>
      <c r="E3186">
        <v>-788</v>
      </c>
      <c r="F3186" s="5">
        <v>43862</v>
      </c>
      <c r="G3186">
        <v>-167</v>
      </c>
      <c r="H3186" t="s">
        <v>58</v>
      </c>
    </row>
    <row r="3187" spans="1:8" x14ac:dyDescent="0.3">
      <c r="A3187">
        <v>271</v>
      </c>
      <c r="B3187" s="5">
        <v>43887</v>
      </c>
      <c r="C3187" t="s">
        <v>10</v>
      </c>
      <c r="D3187">
        <v>737</v>
      </c>
      <c r="E3187">
        <v>-51</v>
      </c>
      <c r="F3187" s="5">
        <v>43862</v>
      </c>
      <c r="G3187">
        <v>737</v>
      </c>
      <c r="H3187" t="s">
        <v>58</v>
      </c>
    </row>
    <row r="3188" spans="1:8" x14ac:dyDescent="0.3">
      <c r="A3188">
        <v>271</v>
      </c>
      <c r="B3188" s="5">
        <v>43889</v>
      </c>
      <c r="C3188" t="s">
        <v>10</v>
      </c>
      <c r="D3188">
        <v>55</v>
      </c>
      <c r="E3188">
        <v>4</v>
      </c>
      <c r="F3188" s="5">
        <v>43862</v>
      </c>
      <c r="G3188">
        <v>55</v>
      </c>
      <c r="H3188" t="s">
        <v>57</v>
      </c>
    </row>
    <row r="3189" spans="1:8" x14ac:dyDescent="0.3">
      <c r="A3189">
        <v>271</v>
      </c>
      <c r="B3189" s="5">
        <v>43890</v>
      </c>
      <c r="C3189" t="s">
        <v>10</v>
      </c>
      <c r="D3189">
        <v>268</v>
      </c>
      <c r="E3189">
        <v>272</v>
      </c>
      <c r="F3189" s="5">
        <v>43862</v>
      </c>
      <c r="G3189">
        <v>268</v>
      </c>
      <c r="H3189" t="s">
        <v>57</v>
      </c>
    </row>
    <row r="3190" spans="1:8" x14ac:dyDescent="0.3">
      <c r="A3190">
        <v>271</v>
      </c>
      <c r="B3190" s="5">
        <v>43895</v>
      </c>
      <c r="C3190" t="s">
        <v>11</v>
      </c>
      <c r="D3190">
        <v>468</v>
      </c>
      <c r="E3190">
        <v>-196</v>
      </c>
      <c r="F3190" s="5">
        <v>43891</v>
      </c>
      <c r="G3190">
        <v>-468</v>
      </c>
      <c r="H3190" t="s">
        <v>58</v>
      </c>
    </row>
    <row r="3191" spans="1:8" x14ac:dyDescent="0.3">
      <c r="A3191">
        <v>271</v>
      </c>
      <c r="B3191" s="5">
        <v>43895</v>
      </c>
      <c r="C3191" t="s">
        <v>12</v>
      </c>
      <c r="D3191">
        <v>584</v>
      </c>
      <c r="E3191">
        <v>-780</v>
      </c>
      <c r="F3191" s="5">
        <v>43891</v>
      </c>
      <c r="G3191">
        <v>-584</v>
      </c>
      <c r="H3191" t="s">
        <v>58</v>
      </c>
    </row>
    <row r="3192" spans="1:8" x14ac:dyDescent="0.3">
      <c r="A3192">
        <v>271</v>
      </c>
      <c r="B3192" s="5">
        <v>43901</v>
      </c>
      <c r="C3192" t="s">
        <v>11</v>
      </c>
      <c r="D3192">
        <v>842</v>
      </c>
      <c r="E3192">
        <v>-1622</v>
      </c>
      <c r="F3192" s="5">
        <v>43891</v>
      </c>
      <c r="G3192">
        <v>-842</v>
      </c>
      <c r="H3192" t="s">
        <v>58</v>
      </c>
    </row>
    <row r="3193" spans="1:8" x14ac:dyDescent="0.3">
      <c r="A3193">
        <v>271</v>
      </c>
      <c r="B3193" s="5">
        <v>43901</v>
      </c>
      <c r="C3193" t="s">
        <v>11</v>
      </c>
      <c r="D3193">
        <v>245</v>
      </c>
      <c r="E3193">
        <v>-1867</v>
      </c>
      <c r="F3193" s="5">
        <v>43891</v>
      </c>
      <c r="G3193">
        <v>-245</v>
      </c>
      <c r="H3193" t="s">
        <v>58</v>
      </c>
    </row>
    <row r="3194" spans="1:8" x14ac:dyDescent="0.3">
      <c r="A3194">
        <v>271</v>
      </c>
      <c r="B3194" s="5">
        <v>43908</v>
      </c>
      <c r="C3194" t="s">
        <v>10</v>
      </c>
      <c r="D3194">
        <v>844</v>
      </c>
      <c r="E3194">
        <v>-1023</v>
      </c>
      <c r="F3194" s="5">
        <v>43891</v>
      </c>
      <c r="G3194">
        <v>844</v>
      </c>
      <c r="H3194" t="s">
        <v>58</v>
      </c>
    </row>
    <row r="3195" spans="1:8" x14ac:dyDescent="0.3">
      <c r="A3195">
        <v>271</v>
      </c>
      <c r="B3195" s="5">
        <v>43909</v>
      </c>
      <c r="C3195" t="s">
        <v>10</v>
      </c>
      <c r="D3195">
        <v>478</v>
      </c>
      <c r="E3195">
        <v>-545</v>
      </c>
      <c r="F3195" s="5">
        <v>43891</v>
      </c>
      <c r="G3195">
        <v>478</v>
      </c>
      <c r="H3195" t="s">
        <v>58</v>
      </c>
    </row>
    <row r="3196" spans="1:8" x14ac:dyDescent="0.3">
      <c r="A3196">
        <v>271</v>
      </c>
      <c r="B3196" s="5">
        <v>43913</v>
      </c>
      <c r="C3196" t="s">
        <v>10</v>
      </c>
      <c r="D3196">
        <v>497</v>
      </c>
      <c r="E3196">
        <v>-48</v>
      </c>
      <c r="F3196" s="5">
        <v>43891</v>
      </c>
      <c r="G3196">
        <v>497</v>
      </c>
      <c r="H3196" t="s">
        <v>58</v>
      </c>
    </row>
    <row r="3197" spans="1:8" x14ac:dyDescent="0.3">
      <c r="A3197">
        <v>271</v>
      </c>
      <c r="B3197" s="5">
        <v>43919</v>
      </c>
      <c r="C3197" t="s">
        <v>11</v>
      </c>
      <c r="D3197">
        <v>568</v>
      </c>
      <c r="E3197">
        <v>-616</v>
      </c>
      <c r="F3197" s="5">
        <v>43891</v>
      </c>
      <c r="G3197">
        <v>-568</v>
      </c>
      <c r="H3197" t="s">
        <v>58</v>
      </c>
    </row>
    <row r="3198" spans="1:8" x14ac:dyDescent="0.3">
      <c r="A3198">
        <v>271</v>
      </c>
      <c r="B3198" s="5">
        <v>43923</v>
      </c>
      <c r="C3198" t="s">
        <v>10</v>
      </c>
      <c r="D3198">
        <v>857</v>
      </c>
      <c r="E3198">
        <v>241</v>
      </c>
      <c r="F3198" s="5">
        <v>43922</v>
      </c>
      <c r="G3198">
        <v>857</v>
      </c>
      <c r="H3198" t="s">
        <v>57</v>
      </c>
    </row>
    <row r="3199" spans="1:8" x14ac:dyDescent="0.3">
      <c r="A3199">
        <v>271</v>
      </c>
      <c r="B3199" s="5">
        <v>43923</v>
      </c>
      <c r="C3199" t="s">
        <v>12</v>
      </c>
      <c r="D3199">
        <v>61</v>
      </c>
      <c r="E3199">
        <v>180</v>
      </c>
      <c r="F3199" s="5">
        <v>43922</v>
      </c>
      <c r="G3199">
        <v>-61</v>
      </c>
      <c r="H3199" t="s">
        <v>57</v>
      </c>
    </row>
    <row r="3200" spans="1:8" x14ac:dyDescent="0.3">
      <c r="A3200">
        <v>272</v>
      </c>
      <c r="B3200" s="5">
        <v>43841</v>
      </c>
      <c r="C3200" t="s">
        <v>10</v>
      </c>
      <c r="D3200">
        <v>706</v>
      </c>
      <c r="E3200">
        <v>706</v>
      </c>
      <c r="F3200" s="5">
        <v>43831</v>
      </c>
      <c r="G3200">
        <v>706</v>
      </c>
      <c r="H3200" t="s">
        <v>57</v>
      </c>
    </row>
    <row r="3201" spans="1:8" x14ac:dyDescent="0.3">
      <c r="A3201">
        <v>272</v>
      </c>
      <c r="B3201" s="5">
        <v>43857</v>
      </c>
      <c r="C3201" t="s">
        <v>11</v>
      </c>
      <c r="D3201">
        <v>934</v>
      </c>
      <c r="E3201">
        <v>-228</v>
      </c>
      <c r="F3201" s="5">
        <v>43831</v>
      </c>
      <c r="G3201">
        <v>-934</v>
      </c>
      <c r="H3201" t="s">
        <v>58</v>
      </c>
    </row>
    <row r="3202" spans="1:8" x14ac:dyDescent="0.3">
      <c r="A3202">
        <v>272</v>
      </c>
      <c r="B3202" s="5">
        <v>43862</v>
      </c>
      <c r="C3202" t="s">
        <v>10</v>
      </c>
      <c r="D3202">
        <v>526</v>
      </c>
      <c r="E3202">
        <v>298</v>
      </c>
      <c r="F3202" s="5">
        <v>43862</v>
      </c>
      <c r="G3202">
        <v>526</v>
      </c>
      <c r="H3202" t="s">
        <v>57</v>
      </c>
    </row>
    <row r="3203" spans="1:8" x14ac:dyDescent="0.3">
      <c r="A3203">
        <v>272</v>
      </c>
      <c r="B3203" s="5">
        <v>43871</v>
      </c>
      <c r="C3203" t="s">
        <v>12</v>
      </c>
      <c r="D3203">
        <v>563</v>
      </c>
      <c r="E3203">
        <v>-265</v>
      </c>
      <c r="F3203" s="5">
        <v>43862</v>
      </c>
      <c r="G3203">
        <v>-563</v>
      </c>
      <c r="H3203" t="s">
        <v>58</v>
      </c>
    </row>
    <row r="3204" spans="1:8" x14ac:dyDescent="0.3">
      <c r="A3204">
        <v>272</v>
      </c>
      <c r="B3204" s="5">
        <v>43880</v>
      </c>
      <c r="C3204" t="s">
        <v>11</v>
      </c>
      <c r="D3204">
        <v>852</v>
      </c>
      <c r="E3204">
        <v>-1117</v>
      </c>
      <c r="F3204" s="5">
        <v>43862</v>
      </c>
      <c r="G3204">
        <v>-852</v>
      </c>
      <c r="H3204" t="s">
        <v>58</v>
      </c>
    </row>
    <row r="3205" spans="1:8" x14ac:dyDescent="0.3">
      <c r="A3205">
        <v>272</v>
      </c>
      <c r="B3205" s="5">
        <v>43883</v>
      </c>
      <c r="C3205" t="s">
        <v>12</v>
      </c>
      <c r="D3205">
        <v>15</v>
      </c>
      <c r="E3205">
        <v>-1132</v>
      </c>
      <c r="F3205" s="5">
        <v>43862</v>
      </c>
      <c r="G3205">
        <v>-15</v>
      </c>
      <c r="H3205" t="s">
        <v>58</v>
      </c>
    </row>
    <row r="3206" spans="1:8" x14ac:dyDescent="0.3">
      <c r="A3206">
        <v>272</v>
      </c>
      <c r="B3206" s="5">
        <v>43890</v>
      </c>
      <c r="C3206" t="s">
        <v>11</v>
      </c>
      <c r="D3206">
        <v>541</v>
      </c>
      <c r="E3206">
        <v>-1673</v>
      </c>
      <c r="F3206" s="5">
        <v>43862</v>
      </c>
      <c r="G3206">
        <v>-541</v>
      </c>
      <c r="H3206" t="s">
        <v>58</v>
      </c>
    </row>
    <row r="3207" spans="1:8" x14ac:dyDescent="0.3">
      <c r="A3207">
        <v>272</v>
      </c>
      <c r="B3207" s="5">
        <v>43922</v>
      </c>
      <c r="C3207" t="s">
        <v>10</v>
      </c>
      <c r="D3207">
        <v>708</v>
      </c>
      <c r="E3207">
        <v>-965</v>
      </c>
      <c r="F3207" s="5">
        <v>43922</v>
      </c>
      <c r="G3207">
        <v>708</v>
      </c>
      <c r="H3207" t="s">
        <v>58</v>
      </c>
    </row>
    <row r="3208" spans="1:8" x14ac:dyDescent="0.3">
      <c r="A3208">
        <v>272</v>
      </c>
      <c r="B3208" s="5">
        <v>43922</v>
      </c>
      <c r="C3208" t="s">
        <v>12</v>
      </c>
      <c r="D3208">
        <v>804</v>
      </c>
      <c r="E3208">
        <v>-1769</v>
      </c>
      <c r="F3208" s="5">
        <v>43922</v>
      </c>
      <c r="G3208">
        <v>-804</v>
      </c>
      <c r="H3208" t="s">
        <v>58</v>
      </c>
    </row>
    <row r="3209" spans="1:8" x14ac:dyDescent="0.3">
      <c r="A3209">
        <v>273</v>
      </c>
      <c r="B3209" s="5">
        <v>43849</v>
      </c>
      <c r="C3209" t="s">
        <v>10</v>
      </c>
      <c r="D3209">
        <v>876</v>
      </c>
      <c r="E3209">
        <v>876</v>
      </c>
      <c r="F3209" s="5">
        <v>43831</v>
      </c>
      <c r="G3209">
        <v>876</v>
      </c>
      <c r="H3209" t="s">
        <v>57</v>
      </c>
    </row>
    <row r="3210" spans="1:8" x14ac:dyDescent="0.3">
      <c r="A3210">
        <v>273</v>
      </c>
      <c r="B3210" s="5">
        <v>43869</v>
      </c>
      <c r="C3210" t="s">
        <v>10</v>
      </c>
      <c r="D3210">
        <v>751</v>
      </c>
      <c r="E3210">
        <v>1627</v>
      </c>
      <c r="F3210" s="5">
        <v>43862</v>
      </c>
      <c r="G3210">
        <v>751</v>
      </c>
      <c r="H3210" t="s">
        <v>57</v>
      </c>
    </row>
    <row r="3211" spans="1:8" x14ac:dyDescent="0.3">
      <c r="A3211">
        <v>273</v>
      </c>
      <c r="B3211" s="5">
        <v>43874</v>
      </c>
      <c r="C3211" t="s">
        <v>12</v>
      </c>
      <c r="D3211">
        <v>883</v>
      </c>
      <c r="E3211">
        <v>744</v>
      </c>
      <c r="F3211" s="5">
        <v>43862</v>
      </c>
      <c r="G3211">
        <v>-883</v>
      </c>
      <c r="H3211" t="s">
        <v>57</v>
      </c>
    </row>
    <row r="3212" spans="1:8" x14ac:dyDescent="0.3">
      <c r="A3212">
        <v>273</v>
      </c>
      <c r="B3212" s="5">
        <v>43876</v>
      </c>
      <c r="C3212" t="s">
        <v>10</v>
      </c>
      <c r="D3212">
        <v>215</v>
      </c>
      <c r="E3212">
        <v>959</v>
      </c>
      <c r="F3212" s="5">
        <v>43862</v>
      </c>
      <c r="G3212">
        <v>215</v>
      </c>
      <c r="H3212" t="s">
        <v>57</v>
      </c>
    </row>
    <row r="3213" spans="1:8" x14ac:dyDescent="0.3">
      <c r="A3213">
        <v>273</v>
      </c>
      <c r="B3213" s="5">
        <v>43883</v>
      </c>
      <c r="C3213" t="s">
        <v>12</v>
      </c>
      <c r="D3213">
        <v>826</v>
      </c>
      <c r="E3213">
        <v>133</v>
      </c>
      <c r="F3213" s="5">
        <v>43862</v>
      </c>
      <c r="G3213">
        <v>-826</v>
      </c>
      <c r="H3213" t="s">
        <v>57</v>
      </c>
    </row>
    <row r="3214" spans="1:8" x14ac:dyDescent="0.3">
      <c r="A3214">
        <v>273</v>
      </c>
      <c r="B3214" s="5">
        <v>43913</v>
      </c>
      <c r="C3214" t="s">
        <v>10</v>
      </c>
      <c r="D3214">
        <v>684</v>
      </c>
      <c r="E3214">
        <v>817</v>
      </c>
      <c r="F3214" s="5">
        <v>43891</v>
      </c>
      <c r="G3214">
        <v>684</v>
      </c>
      <c r="H3214" t="s">
        <v>57</v>
      </c>
    </row>
    <row r="3215" spans="1:8" x14ac:dyDescent="0.3">
      <c r="A3215">
        <v>273</v>
      </c>
      <c r="B3215" s="5">
        <v>43915</v>
      </c>
      <c r="C3215" t="s">
        <v>11</v>
      </c>
      <c r="D3215">
        <v>995</v>
      </c>
      <c r="E3215">
        <v>-178</v>
      </c>
      <c r="F3215" s="5">
        <v>43891</v>
      </c>
      <c r="G3215">
        <v>-995</v>
      </c>
      <c r="H3215" t="s">
        <v>58</v>
      </c>
    </row>
    <row r="3216" spans="1:8" x14ac:dyDescent="0.3">
      <c r="A3216">
        <v>273</v>
      </c>
      <c r="B3216" s="5">
        <v>43927</v>
      </c>
      <c r="C3216" t="s">
        <v>10</v>
      </c>
      <c r="D3216">
        <v>859</v>
      </c>
      <c r="E3216">
        <v>681</v>
      </c>
      <c r="F3216" s="5">
        <v>43922</v>
      </c>
      <c r="G3216">
        <v>859</v>
      </c>
      <c r="H3216" t="s">
        <v>57</v>
      </c>
    </row>
    <row r="3217" spans="1:8" x14ac:dyDescent="0.3">
      <c r="A3217">
        <v>273</v>
      </c>
      <c r="B3217" s="5">
        <v>43928</v>
      </c>
      <c r="C3217" t="s">
        <v>12</v>
      </c>
      <c r="D3217">
        <v>147</v>
      </c>
      <c r="E3217">
        <v>534</v>
      </c>
      <c r="F3217" s="5">
        <v>43922</v>
      </c>
      <c r="G3217">
        <v>-147</v>
      </c>
      <c r="H3217" t="s">
        <v>57</v>
      </c>
    </row>
    <row r="3218" spans="1:8" x14ac:dyDescent="0.3">
      <c r="A3218">
        <v>273</v>
      </c>
      <c r="B3218" s="5">
        <v>43934</v>
      </c>
      <c r="C3218" t="s">
        <v>11</v>
      </c>
      <c r="D3218">
        <v>226</v>
      </c>
      <c r="E3218">
        <v>308</v>
      </c>
      <c r="F3218" s="5">
        <v>43922</v>
      </c>
      <c r="G3218">
        <v>-226</v>
      </c>
      <c r="H3218" t="s">
        <v>57</v>
      </c>
    </row>
    <row r="3219" spans="1:8" x14ac:dyDescent="0.3">
      <c r="A3219">
        <v>274</v>
      </c>
      <c r="B3219" s="5">
        <v>43832</v>
      </c>
      <c r="C3219" t="s">
        <v>10</v>
      </c>
      <c r="D3219">
        <v>801</v>
      </c>
      <c r="E3219">
        <v>801</v>
      </c>
      <c r="F3219" s="5">
        <v>43831</v>
      </c>
      <c r="G3219">
        <v>801</v>
      </c>
      <c r="H3219" t="s">
        <v>57</v>
      </c>
    </row>
    <row r="3220" spans="1:8" x14ac:dyDescent="0.3">
      <c r="A3220">
        <v>274</v>
      </c>
      <c r="B3220" s="5">
        <v>43833</v>
      </c>
      <c r="C3220" t="s">
        <v>11</v>
      </c>
      <c r="D3220">
        <v>174</v>
      </c>
      <c r="E3220">
        <v>627</v>
      </c>
      <c r="F3220" s="5">
        <v>43831</v>
      </c>
      <c r="G3220">
        <v>-174</v>
      </c>
      <c r="H3220" t="s">
        <v>57</v>
      </c>
    </row>
    <row r="3221" spans="1:8" x14ac:dyDescent="0.3">
      <c r="A3221">
        <v>274</v>
      </c>
      <c r="B3221" s="5">
        <v>43833</v>
      </c>
      <c r="C3221" t="s">
        <v>12</v>
      </c>
      <c r="D3221">
        <v>437</v>
      </c>
      <c r="E3221">
        <v>190</v>
      </c>
      <c r="F3221" s="5">
        <v>43831</v>
      </c>
      <c r="G3221">
        <v>-437</v>
      </c>
      <c r="H3221" t="s">
        <v>57</v>
      </c>
    </row>
    <row r="3222" spans="1:8" x14ac:dyDescent="0.3">
      <c r="A3222">
        <v>274</v>
      </c>
      <c r="B3222" s="5">
        <v>43834</v>
      </c>
      <c r="C3222" t="s">
        <v>12</v>
      </c>
      <c r="D3222">
        <v>839</v>
      </c>
      <c r="E3222">
        <v>-649</v>
      </c>
      <c r="F3222" s="5">
        <v>43831</v>
      </c>
      <c r="G3222">
        <v>-839</v>
      </c>
      <c r="H3222" t="s">
        <v>58</v>
      </c>
    </row>
    <row r="3223" spans="1:8" x14ac:dyDescent="0.3">
      <c r="A3223">
        <v>274</v>
      </c>
      <c r="B3223" s="5">
        <v>43834</v>
      </c>
      <c r="C3223" t="s">
        <v>11</v>
      </c>
      <c r="D3223">
        <v>359</v>
      </c>
      <c r="E3223">
        <v>-1008</v>
      </c>
      <c r="F3223" s="5">
        <v>43831</v>
      </c>
      <c r="G3223">
        <v>-359</v>
      </c>
      <c r="H3223" t="s">
        <v>58</v>
      </c>
    </row>
    <row r="3224" spans="1:8" x14ac:dyDescent="0.3">
      <c r="A3224">
        <v>274</v>
      </c>
      <c r="B3224" s="5">
        <v>43837</v>
      </c>
      <c r="C3224" t="s">
        <v>10</v>
      </c>
      <c r="D3224">
        <v>763</v>
      </c>
      <c r="E3224">
        <v>-245</v>
      </c>
      <c r="F3224" s="5">
        <v>43831</v>
      </c>
      <c r="G3224">
        <v>763</v>
      </c>
      <c r="H3224" t="s">
        <v>58</v>
      </c>
    </row>
    <row r="3225" spans="1:8" x14ac:dyDescent="0.3">
      <c r="A3225">
        <v>274</v>
      </c>
      <c r="B3225" s="5">
        <v>43838</v>
      </c>
      <c r="C3225" t="s">
        <v>12</v>
      </c>
      <c r="D3225">
        <v>217</v>
      </c>
      <c r="E3225">
        <v>-462</v>
      </c>
      <c r="F3225" s="5">
        <v>43831</v>
      </c>
      <c r="G3225">
        <v>-217</v>
      </c>
      <c r="H3225" t="s">
        <v>58</v>
      </c>
    </row>
    <row r="3226" spans="1:8" x14ac:dyDescent="0.3">
      <c r="A3226">
        <v>274</v>
      </c>
      <c r="B3226" s="5">
        <v>43848</v>
      </c>
      <c r="C3226" t="s">
        <v>11</v>
      </c>
      <c r="D3226">
        <v>318</v>
      </c>
      <c r="E3226">
        <v>-780</v>
      </c>
      <c r="F3226" s="5">
        <v>43831</v>
      </c>
      <c r="G3226">
        <v>-318</v>
      </c>
      <c r="H3226" t="s">
        <v>58</v>
      </c>
    </row>
    <row r="3227" spans="1:8" x14ac:dyDescent="0.3">
      <c r="A3227">
        <v>274</v>
      </c>
      <c r="B3227" s="5">
        <v>43870</v>
      </c>
      <c r="C3227" t="s">
        <v>11</v>
      </c>
      <c r="D3227">
        <v>949</v>
      </c>
      <c r="E3227">
        <v>-1729</v>
      </c>
      <c r="F3227" s="5">
        <v>43862</v>
      </c>
      <c r="G3227">
        <v>-949</v>
      </c>
      <c r="H3227" t="s">
        <v>58</v>
      </c>
    </row>
    <row r="3228" spans="1:8" x14ac:dyDescent="0.3">
      <c r="A3228">
        <v>274</v>
      </c>
      <c r="B3228" s="5">
        <v>43874</v>
      </c>
      <c r="C3228" t="s">
        <v>10</v>
      </c>
      <c r="D3228">
        <v>192</v>
      </c>
      <c r="E3228">
        <v>-1537</v>
      </c>
      <c r="F3228" s="5">
        <v>43862</v>
      </c>
      <c r="G3228">
        <v>192</v>
      </c>
      <c r="H3228" t="s">
        <v>58</v>
      </c>
    </row>
    <row r="3229" spans="1:8" x14ac:dyDescent="0.3">
      <c r="A3229">
        <v>274</v>
      </c>
      <c r="B3229" s="5">
        <v>43876</v>
      </c>
      <c r="C3229" t="s">
        <v>10</v>
      </c>
      <c r="D3229">
        <v>815</v>
      </c>
      <c r="E3229">
        <v>-722</v>
      </c>
      <c r="F3229" s="5">
        <v>43862</v>
      </c>
      <c r="G3229">
        <v>815</v>
      </c>
      <c r="H3229" t="s">
        <v>58</v>
      </c>
    </row>
    <row r="3230" spans="1:8" x14ac:dyDescent="0.3">
      <c r="A3230">
        <v>274</v>
      </c>
      <c r="B3230" s="5">
        <v>43878</v>
      </c>
      <c r="C3230" t="s">
        <v>10</v>
      </c>
      <c r="D3230">
        <v>554</v>
      </c>
      <c r="E3230">
        <v>-168</v>
      </c>
      <c r="F3230" s="5">
        <v>43862</v>
      </c>
      <c r="G3230">
        <v>554</v>
      </c>
      <c r="H3230" t="s">
        <v>58</v>
      </c>
    </row>
    <row r="3231" spans="1:8" x14ac:dyDescent="0.3">
      <c r="A3231">
        <v>274</v>
      </c>
      <c r="B3231" s="5">
        <v>43884</v>
      </c>
      <c r="C3231" t="s">
        <v>12</v>
      </c>
      <c r="D3231">
        <v>493</v>
      </c>
      <c r="E3231">
        <v>-661</v>
      </c>
      <c r="F3231" s="5">
        <v>43862</v>
      </c>
      <c r="G3231">
        <v>-493</v>
      </c>
      <c r="H3231" t="s">
        <v>58</v>
      </c>
    </row>
    <row r="3232" spans="1:8" x14ac:dyDescent="0.3">
      <c r="A3232">
        <v>274</v>
      </c>
      <c r="B3232" s="5">
        <v>43889</v>
      </c>
      <c r="C3232" t="s">
        <v>10</v>
      </c>
      <c r="D3232">
        <v>79</v>
      </c>
      <c r="E3232">
        <v>-582</v>
      </c>
      <c r="F3232" s="5">
        <v>43862</v>
      </c>
      <c r="G3232">
        <v>79</v>
      </c>
      <c r="H3232" t="s">
        <v>58</v>
      </c>
    </row>
    <row r="3233" spans="1:8" x14ac:dyDescent="0.3">
      <c r="A3233">
        <v>274</v>
      </c>
      <c r="B3233" s="5">
        <v>43891</v>
      </c>
      <c r="C3233" t="s">
        <v>10</v>
      </c>
      <c r="D3233">
        <v>156</v>
      </c>
      <c r="E3233">
        <v>-426</v>
      </c>
      <c r="F3233" s="5">
        <v>43891</v>
      </c>
      <c r="G3233">
        <v>156</v>
      </c>
      <c r="H3233" t="s">
        <v>58</v>
      </c>
    </row>
    <row r="3234" spans="1:8" x14ac:dyDescent="0.3">
      <c r="A3234">
        <v>274</v>
      </c>
      <c r="B3234" s="5">
        <v>43899</v>
      </c>
      <c r="C3234" t="s">
        <v>10</v>
      </c>
      <c r="D3234">
        <v>895</v>
      </c>
      <c r="E3234">
        <v>469</v>
      </c>
      <c r="F3234" s="5">
        <v>43891</v>
      </c>
      <c r="G3234">
        <v>895</v>
      </c>
      <c r="H3234" t="s">
        <v>57</v>
      </c>
    </row>
    <row r="3235" spans="1:8" x14ac:dyDescent="0.3">
      <c r="A3235">
        <v>274</v>
      </c>
      <c r="B3235" s="5">
        <v>43902</v>
      </c>
      <c r="C3235" t="s">
        <v>11</v>
      </c>
      <c r="D3235">
        <v>345</v>
      </c>
      <c r="E3235">
        <v>124</v>
      </c>
      <c r="F3235" s="5">
        <v>43891</v>
      </c>
      <c r="G3235">
        <v>-345</v>
      </c>
      <c r="H3235" t="s">
        <v>57</v>
      </c>
    </row>
    <row r="3236" spans="1:8" x14ac:dyDescent="0.3">
      <c r="A3236">
        <v>275</v>
      </c>
      <c r="B3236" s="5">
        <v>43858</v>
      </c>
      <c r="C3236" t="s">
        <v>10</v>
      </c>
      <c r="D3236">
        <v>211</v>
      </c>
      <c r="E3236">
        <v>211</v>
      </c>
      <c r="F3236" s="5">
        <v>43831</v>
      </c>
      <c r="G3236">
        <v>211</v>
      </c>
      <c r="H3236" t="s">
        <v>57</v>
      </c>
    </row>
    <row r="3237" spans="1:8" x14ac:dyDescent="0.3">
      <c r="A3237">
        <v>275</v>
      </c>
      <c r="B3237" s="5">
        <v>43871</v>
      </c>
      <c r="C3237" t="s">
        <v>11</v>
      </c>
      <c r="D3237">
        <v>390</v>
      </c>
      <c r="E3237">
        <v>-179</v>
      </c>
      <c r="F3237" s="5">
        <v>43862</v>
      </c>
      <c r="G3237">
        <v>-390</v>
      </c>
      <c r="H3237" t="s">
        <v>58</v>
      </c>
    </row>
    <row r="3238" spans="1:8" x14ac:dyDescent="0.3">
      <c r="A3238">
        <v>275</v>
      </c>
      <c r="B3238" s="5">
        <v>43877</v>
      </c>
      <c r="C3238" t="s">
        <v>12</v>
      </c>
      <c r="D3238">
        <v>918</v>
      </c>
      <c r="E3238">
        <v>-1097</v>
      </c>
      <c r="F3238" s="5">
        <v>43862</v>
      </c>
      <c r="G3238">
        <v>-918</v>
      </c>
      <c r="H3238" t="s">
        <v>58</v>
      </c>
    </row>
    <row r="3239" spans="1:8" x14ac:dyDescent="0.3">
      <c r="A3239">
        <v>275</v>
      </c>
      <c r="B3239" s="5">
        <v>43885</v>
      </c>
      <c r="C3239" t="s">
        <v>10</v>
      </c>
      <c r="D3239">
        <v>53</v>
      </c>
      <c r="E3239">
        <v>-1044</v>
      </c>
      <c r="F3239" s="5">
        <v>43862</v>
      </c>
      <c r="G3239">
        <v>53</v>
      </c>
      <c r="H3239" t="s">
        <v>58</v>
      </c>
    </row>
    <row r="3240" spans="1:8" x14ac:dyDescent="0.3">
      <c r="A3240">
        <v>275</v>
      </c>
      <c r="B3240" s="5">
        <v>43888</v>
      </c>
      <c r="C3240" t="s">
        <v>12</v>
      </c>
      <c r="D3240">
        <v>281</v>
      </c>
      <c r="E3240">
        <v>-1325</v>
      </c>
      <c r="F3240" s="5">
        <v>43862</v>
      </c>
      <c r="G3240">
        <v>-281</v>
      </c>
      <c r="H3240" t="s">
        <v>58</v>
      </c>
    </row>
    <row r="3241" spans="1:8" x14ac:dyDescent="0.3">
      <c r="A3241">
        <v>275</v>
      </c>
      <c r="B3241" s="5">
        <v>43891</v>
      </c>
      <c r="C3241" t="s">
        <v>12</v>
      </c>
      <c r="D3241">
        <v>481</v>
      </c>
      <c r="E3241">
        <v>-1806</v>
      </c>
      <c r="F3241" s="5">
        <v>43891</v>
      </c>
      <c r="G3241">
        <v>-481</v>
      </c>
      <c r="H3241" t="s">
        <v>58</v>
      </c>
    </row>
    <row r="3242" spans="1:8" x14ac:dyDescent="0.3">
      <c r="A3242">
        <v>275</v>
      </c>
      <c r="B3242" s="5">
        <v>43892</v>
      </c>
      <c r="C3242" t="s">
        <v>10</v>
      </c>
      <c r="D3242">
        <v>127</v>
      </c>
      <c r="E3242">
        <v>-1679</v>
      </c>
      <c r="F3242" s="5">
        <v>43891</v>
      </c>
      <c r="G3242">
        <v>127</v>
      </c>
      <c r="H3242" t="s">
        <v>58</v>
      </c>
    </row>
    <row r="3243" spans="1:8" x14ac:dyDescent="0.3">
      <c r="A3243">
        <v>275</v>
      </c>
      <c r="B3243" s="5">
        <v>43895</v>
      </c>
      <c r="C3243" t="s">
        <v>10</v>
      </c>
      <c r="D3243">
        <v>377</v>
      </c>
      <c r="E3243">
        <v>-1302</v>
      </c>
      <c r="F3243" s="5">
        <v>43891</v>
      </c>
      <c r="G3243">
        <v>377</v>
      </c>
      <c r="H3243" t="s">
        <v>58</v>
      </c>
    </row>
    <row r="3244" spans="1:8" x14ac:dyDescent="0.3">
      <c r="A3244">
        <v>275</v>
      </c>
      <c r="B3244" s="5">
        <v>43896</v>
      </c>
      <c r="C3244" t="s">
        <v>10</v>
      </c>
      <c r="D3244">
        <v>763</v>
      </c>
      <c r="E3244">
        <v>-539</v>
      </c>
      <c r="F3244" s="5">
        <v>43891</v>
      </c>
      <c r="G3244">
        <v>763</v>
      </c>
      <c r="H3244" t="s">
        <v>58</v>
      </c>
    </row>
    <row r="3245" spans="1:8" x14ac:dyDescent="0.3">
      <c r="A3245">
        <v>275</v>
      </c>
      <c r="B3245" s="5">
        <v>43904</v>
      </c>
      <c r="C3245" t="s">
        <v>10</v>
      </c>
      <c r="D3245">
        <v>600</v>
      </c>
      <c r="E3245">
        <v>61</v>
      </c>
      <c r="F3245" s="5">
        <v>43891</v>
      </c>
      <c r="G3245">
        <v>600</v>
      </c>
      <c r="H3245" t="s">
        <v>57</v>
      </c>
    </row>
    <row r="3246" spans="1:8" x14ac:dyDescent="0.3">
      <c r="A3246">
        <v>275</v>
      </c>
      <c r="B3246" s="5">
        <v>43909</v>
      </c>
      <c r="C3246" t="s">
        <v>12</v>
      </c>
      <c r="D3246">
        <v>869</v>
      </c>
      <c r="E3246">
        <v>-808</v>
      </c>
      <c r="F3246" s="5">
        <v>43891</v>
      </c>
      <c r="G3246">
        <v>-869</v>
      </c>
      <c r="H3246" t="s">
        <v>58</v>
      </c>
    </row>
    <row r="3247" spans="1:8" x14ac:dyDescent="0.3">
      <c r="A3247">
        <v>275</v>
      </c>
      <c r="B3247" s="5">
        <v>43915</v>
      </c>
      <c r="C3247" t="s">
        <v>11</v>
      </c>
      <c r="D3247">
        <v>473</v>
      </c>
      <c r="E3247">
        <v>-1281</v>
      </c>
      <c r="F3247" s="5">
        <v>43891</v>
      </c>
      <c r="G3247">
        <v>-473</v>
      </c>
      <c r="H3247" t="s">
        <v>58</v>
      </c>
    </row>
    <row r="3248" spans="1:8" x14ac:dyDescent="0.3">
      <c r="A3248">
        <v>275</v>
      </c>
      <c r="B3248" s="5">
        <v>43918</v>
      </c>
      <c r="C3248" t="s">
        <v>11</v>
      </c>
      <c r="D3248">
        <v>768</v>
      </c>
      <c r="E3248">
        <v>-2049</v>
      </c>
      <c r="F3248" s="5">
        <v>43891</v>
      </c>
      <c r="G3248">
        <v>-768</v>
      </c>
      <c r="H3248" t="s">
        <v>58</v>
      </c>
    </row>
    <row r="3249" spans="1:8" x14ac:dyDescent="0.3">
      <c r="A3249">
        <v>275</v>
      </c>
      <c r="B3249" s="5">
        <v>43920</v>
      </c>
      <c r="C3249" t="s">
        <v>12</v>
      </c>
      <c r="D3249">
        <v>924</v>
      </c>
      <c r="E3249">
        <v>-2973</v>
      </c>
      <c r="F3249" s="5">
        <v>43891</v>
      </c>
      <c r="G3249">
        <v>-924</v>
      </c>
      <c r="H3249" t="s">
        <v>58</v>
      </c>
    </row>
    <row r="3250" spans="1:8" x14ac:dyDescent="0.3">
      <c r="A3250">
        <v>275</v>
      </c>
      <c r="B3250" s="5">
        <v>43928</v>
      </c>
      <c r="C3250" t="s">
        <v>12</v>
      </c>
      <c r="D3250">
        <v>643</v>
      </c>
      <c r="E3250">
        <v>-3616</v>
      </c>
      <c r="F3250" s="5">
        <v>43922</v>
      </c>
      <c r="G3250">
        <v>-643</v>
      </c>
      <c r="H3250" t="s">
        <v>58</v>
      </c>
    </row>
    <row r="3251" spans="1:8" x14ac:dyDescent="0.3">
      <c r="A3251">
        <v>275</v>
      </c>
      <c r="B3251" s="5">
        <v>43930</v>
      </c>
      <c r="C3251" t="s">
        <v>12</v>
      </c>
      <c r="D3251">
        <v>220</v>
      </c>
      <c r="E3251">
        <v>-3836</v>
      </c>
      <c r="F3251" s="5">
        <v>43922</v>
      </c>
      <c r="G3251">
        <v>-220</v>
      </c>
      <c r="H3251" t="s">
        <v>58</v>
      </c>
    </row>
    <row r="3252" spans="1:8" x14ac:dyDescent="0.3">
      <c r="A3252">
        <v>275</v>
      </c>
      <c r="B3252" s="5">
        <v>43932</v>
      </c>
      <c r="C3252" t="s">
        <v>11</v>
      </c>
      <c r="D3252">
        <v>676</v>
      </c>
      <c r="E3252">
        <v>-4512</v>
      </c>
      <c r="F3252" s="5">
        <v>43922</v>
      </c>
      <c r="G3252">
        <v>-676</v>
      </c>
      <c r="H3252" t="s">
        <v>58</v>
      </c>
    </row>
    <row r="3253" spans="1:8" x14ac:dyDescent="0.3">
      <c r="A3253">
        <v>275</v>
      </c>
      <c r="B3253" s="5">
        <v>43934</v>
      </c>
      <c r="C3253" t="s">
        <v>10</v>
      </c>
      <c r="D3253">
        <v>934</v>
      </c>
      <c r="E3253">
        <v>-3578</v>
      </c>
      <c r="F3253" s="5">
        <v>43922</v>
      </c>
      <c r="G3253">
        <v>934</v>
      </c>
      <c r="H3253" t="s">
        <v>58</v>
      </c>
    </row>
    <row r="3254" spans="1:8" x14ac:dyDescent="0.3">
      <c r="A3254">
        <v>275</v>
      </c>
      <c r="B3254" s="5">
        <v>43943</v>
      </c>
      <c r="C3254" t="s">
        <v>12</v>
      </c>
      <c r="D3254">
        <v>445</v>
      </c>
      <c r="E3254">
        <v>-4023</v>
      </c>
      <c r="F3254" s="5">
        <v>43922</v>
      </c>
      <c r="G3254">
        <v>-445</v>
      </c>
      <c r="H3254" t="s">
        <v>58</v>
      </c>
    </row>
    <row r="3255" spans="1:8" x14ac:dyDescent="0.3">
      <c r="A3255">
        <v>275</v>
      </c>
      <c r="B3255" s="5">
        <v>43944</v>
      </c>
      <c r="C3255" t="s">
        <v>10</v>
      </c>
      <c r="D3255">
        <v>854</v>
      </c>
      <c r="E3255">
        <v>-3169</v>
      </c>
      <c r="F3255" s="5">
        <v>43922</v>
      </c>
      <c r="G3255">
        <v>854</v>
      </c>
      <c r="H3255" t="s">
        <v>58</v>
      </c>
    </row>
    <row r="3256" spans="1:8" x14ac:dyDescent="0.3">
      <c r="A3256">
        <v>276</v>
      </c>
      <c r="B3256" s="5">
        <v>43837</v>
      </c>
      <c r="C3256" t="s">
        <v>10</v>
      </c>
      <c r="D3256">
        <v>926</v>
      </c>
      <c r="E3256">
        <v>926</v>
      </c>
      <c r="F3256" s="5">
        <v>43831</v>
      </c>
      <c r="G3256">
        <v>926</v>
      </c>
      <c r="H3256" t="s">
        <v>57</v>
      </c>
    </row>
    <row r="3257" spans="1:8" x14ac:dyDescent="0.3">
      <c r="A3257">
        <v>276</v>
      </c>
      <c r="B3257" s="5">
        <v>43839</v>
      </c>
      <c r="C3257" t="s">
        <v>12</v>
      </c>
      <c r="D3257">
        <v>360</v>
      </c>
      <c r="E3257">
        <v>566</v>
      </c>
      <c r="F3257" s="5">
        <v>43831</v>
      </c>
      <c r="G3257">
        <v>-360</v>
      </c>
      <c r="H3257" t="s">
        <v>57</v>
      </c>
    </row>
    <row r="3258" spans="1:8" x14ac:dyDescent="0.3">
      <c r="A3258">
        <v>276</v>
      </c>
      <c r="B3258" s="5">
        <v>43840</v>
      </c>
      <c r="C3258" t="s">
        <v>11</v>
      </c>
      <c r="D3258">
        <v>52</v>
      </c>
      <c r="E3258">
        <v>514</v>
      </c>
      <c r="F3258" s="5">
        <v>43831</v>
      </c>
      <c r="G3258">
        <v>-52</v>
      </c>
      <c r="H3258" t="s">
        <v>57</v>
      </c>
    </row>
    <row r="3259" spans="1:8" x14ac:dyDescent="0.3">
      <c r="A3259">
        <v>276</v>
      </c>
      <c r="B3259" s="5">
        <v>43843</v>
      </c>
      <c r="C3259" t="s">
        <v>11</v>
      </c>
      <c r="D3259">
        <v>922</v>
      </c>
      <c r="E3259">
        <v>-408</v>
      </c>
      <c r="F3259" s="5">
        <v>43831</v>
      </c>
      <c r="G3259">
        <v>-922</v>
      </c>
      <c r="H3259" t="s">
        <v>58</v>
      </c>
    </row>
    <row r="3260" spans="1:8" x14ac:dyDescent="0.3">
      <c r="A3260">
        <v>276</v>
      </c>
      <c r="B3260" s="5">
        <v>43843</v>
      </c>
      <c r="C3260" t="s">
        <v>11</v>
      </c>
      <c r="D3260">
        <v>465</v>
      </c>
      <c r="E3260">
        <v>-873</v>
      </c>
      <c r="F3260" s="5">
        <v>43831</v>
      </c>
      <c r="G3260">
        <v>-465</v>
      </c>
      <c r="H3260" t="s">
        <v>58</v>
      </c>
    </row>
    <row r="3261" spans="1:8" x14ac:dyDescent="0.3">
      <c r="A3261">
        <v>276</v>
      </c>
      <c r="B3261" s="5">
        <v>43847</v>
      </c>
      <c r="C3261" t="s">
        <v>10</v>
      </c>
      <c r="D3261">
        <v>600</v>
      </c>
      <c r="E3261">
        <v>-273</v>
      </c>
      <c r="F3261" s="5">
        <v>43831</v>
      </c>
      <c r="G3261">
        <v>600</v>
      </c>
      <c r="H3261" t="s">
        <v>58</v>
      </c>
    </row>
    <row r="3262" spans="1:8" x14ac:dyDescent="0.3">
      <c r="A3262">
        <v>276</v>
      </c>
      <c r="B3262" s="5">
        <v>43858</v>
      </c>
      <c r="C3262" t="s">
        <v>11</v>
      </c>
      <c r="D3262">
        <v>578</v>
      </c>
      <c r="E3262">
        <v>-851</v>
      </c>
      <c r="F3262" s="5">
        <v>43831</v>
      </c>
      <c r="G3262">
        <v>-578</v>
      </c>
      <c r="H3262" t="s">
        <v>58</v>
      </c>
    </row>
    <row r="3263" spans="1:8" x14ac:dyDescent="0.3">
      <c r="A3263">
        <v>276</v>
      </c>
      <c r="B3263" s="5">
        <v>43865</v>
      </c>
      <c r="C3263" t="s">
        <v>10</v>
      </c>
      <c r="D3263">
        <v>559</v>
      </c>
      <c r="E3263">
        <v>-292</v>
      </c>
      <c r="F3263" s="5">
        <v>43862</v>
      </c>
      <c r="G3263">
        <v>559</v>
      </c>
      <c r="H3263" t="s">
        <v>58</v>
      </c>
    </row>
    <row r="3264" spans="1:8" x14ac:dyDescent="0.3">
      <c r="A3264">
        <v>276</v>
      </c>
      <c r="B3264" s="5">
        <v>43869</v>
      </c>
      <c r="C3264" t="s">
        <v>12</v>
      </c>
      <c r="D3264">
        <v>222</v>
      </c>
      <c r="E3264">
        <v>-514</v>
      </c>
      <c r="F3264" s="5">
        <v>43862</v>
      </c>
      <c r="G3264">
        <v>-222</v>
      </c>
      <c r="H3264" t="s">
        <v>58</v>
      </c>
    </row>
    <row r="3265" spans="1:8" x14ac:dyDescent="0.3">
      <c r="A3265">
        <v>276</v>
      </c>
      <c r="B3265" s="5">
        <v>43882</v>
      </c>
      <c r="C3265" t="s">
        <v>10</v>
      </c>
      <c r="D3265">
        <v>319</v>
      </c>
      <c r="E3265">
        <v>-195</v>
      </c>
      <c r="F3265" s="5">
        <v>43862</v>
      </c>
      <c r="G3265">
        <v>319</v>
      </c>
      <c r="H3265" t="s">
        <v>58</v>
      </c>
    </row>
    <row r="3266" spans="1:8" x14ac:dyDescent="0.3">
      <c r="A3266">
        <v>276</v>
      </c>
      <c r="B3266" s="5">
        <v>43886</v>
      </c>
      <c r="C3266" t="s">
        <v>12</v>
      </c>
      <c r="D3266">
        <v>601</v>
      </c>
      <c r="E3266">
        <v>-796</v>
      </c>
      <c r="F3266" s="5">
        <v>43862</v>
      </c>
      <c r="G3266">
        <v>-601</v>
      </c>
      <c r="H3266" t="s">
        <v>58</v>
      </c>
    </row>
    <row r="3267" spans="1:8" x14ac:dyDescent="0.3">
      <c r="A3267">
        <v>276</v>
      </c>
      <c r="B3267" s="5">
        <v>43891</v>
      </c>
      <c r="C3267" t="s">
        <v>10</v>
      </c>
      <c r="D3267">
        <v>189</v>
      </c>
      <c r="E3267">
        <v>-607</v>
      </c>
      <c r="F3267" s="5">
        <v>43891</v>
      </c>
      <c r="G3267">
        <v>189</v>
      </c>
      <c r="H3267" t="s">
        <v>58</v>
      </c>
    </row>
    <row r="3268" spans="1:8" x14ac:dyDescent="0.3">
      <c r="A3268">
        <v>276</v>
      </c>
      <c r="B3268" s="5">
        <v>43891</v>
      </c>
      <c r="C3268" t="s">
        <v>11</v>
      </c>
      <c r="D3268">
        <v>985</v>
      </c>
      <c r="E3268">
        <v>-1592</v>
      </c>
      <c r="F3268" s="5">
        <v>43891</v>
      </c>
      <c r="G3268">
        <v>-985</v>
      </c>
      <c r="H3268" t="s">
        <v>58</v>
      </c>
    </row>
    <row r="3269" spans="1:8" x14ac:dyDescent="0.3">
      <c r="A3269">
        <v>276</v>
      </c>
      <c r="B3269" s="5">
        <v>43898</v>
      </c>
      <c r="C3269" t="s">
        <v>10</v>
      </c>
      <c r="D3269">
        <v>624</v>
      </c>
      <c r="E3269">
        <v>-968</v>
      </c>
      <c r="F3269" s="5">
        <v>43891</v>
      </c>
      <c r="G3269">
        <v>624</v>
      </c>
      <c r="H3269" t="s">
        <v>58</v>
      </c>
    </row>
    <row r="3270" spans="1:8" x14ac:dyDescent="0.3">
      <c r="A3270">
        <v>276</v>
      </c>
      <c r="B3270" s="5">
        <v>43920</v>
      </c>
      <c r="C3270" t="s">
        <v>11</v>
      </c>
      <c r="D3270">
        <v>976</v>
      </c>
      <c r="E3270">
        <v>-1944</v>
      </c>
      <c r="F3270" s="5">
        <v>43891</v>
      </c>
      <c r="G3270">
        <v>-976</v>
      </c>
      <c r="H3270" t="s">
        <v>58</v>
      </c>
    </row>
    <row r="3271" spans="1:8" x14ac:dyDescent="0.3">
      <c r="A3271">
        <v>277</v>
      </c>
      <c r="B3271" s="5">
        <v>43857</v>
      </c>
      <c r="C3271" t="s">
        <v>10</v>
      </c>
      <c r="D3271">
        <v>615</v>
      </c>
      <c r="E3271">
        <v>615</v>
      </c>
      <c r="F3271" s="5">
        <v>43831</v>
      </c>
      <c r="G3271">
        <v>615</v>
      </c>
      <c r="H3271" t="s">
        <v>57</v>
      </c>
    </row>
    <row r="3272" spans="1:8" x14ac:dyDescent="0.3">
      <c r="A3272">
        <v>277</v>
      </c>
      <c r="B3272" s="5">
        <v>43877</v>
      </c>
      <c r="C3272" t="s">
        <v>10</v>
      </c>
      <c r="D3272">
        <v>796</v>
      </c>
      <c r="E3272">
        <v>1411</v>
      </c>
      <c r="F3272" s="5">
        <v>43862</v>
      </c>
      <c r="G3272">
        <v>796</v>
      </c>
      <c r="H3272" t="s">
        <v>57</v>
      </c>
    </row>
    <row r="3273" spans="1:8" x14ac:dyDescent="0.3">
      <c r="A3273">
        <v>277</v>
      </c>
      <c r="B3273" s="5">
        <v>43899</v>
      </c>
      <c r="C3273" t="s">
        <v>11</v>
      </c>
      <c r="D3273">
        <v>143</v>
      </c>
      <c r="E3273">
        <v>1268</v>
      </c>
      <c r="F3273" s="5">
        <v>43891</v>
      </c>
      <c r="G3273">
        <v>-143</v>
      </c>
      <c r="H3273" t="s">
        <v>57</v>
      </c>
    </row>
    <row r="3274" spans="1:8" x14ac:dyDescent="0.3">
      <c r="A3274">
        <v>277</v>
      </c>
      <c r="B3274" s="5">
        <v>43908</v>
      </c>
      <c r="C3274" t="s">
        <v>11</v>
      </c>
      <c r="D3274">
        <v>303</v>
      </c>
      <c r="E3274">
        <v>965</v>
      </c>
      <c r="F3274" s="5">
        <v>43891</v>
      </c>
      <c r="G3274">
        <v>-303</v>
      </c>
      <c r="H3274" t="s">
        <v>57</v>
      </c>
    </row>
    <row r="3275" spans="1:8" x14ac:dyDescent="0.3">
      <c r="A3275">
        <v>277</v>
      </c>
      <c r="B3275" s="5">
        <v>43915</v>
      </c>
      <c r="C3275" t="s">
        <v>10</v>
      </c>
      <c r="D3275">
        <v>900</v>
      </c>
      <c r="E3275">
        <v>1865</v>
      </c>
      <c r="F3275" s="5">
        <v>43891</v>
      </c>
      <c r="G3275">
        <v>900</v>
      </c>
      <c r="H3275" t="s">
        <v>57</v>
      </c>
    </row>
    <row r="3276" spans="1:8" x14ac:dyDescent="0.3">
      <c r="A3276">
        <v>278</v>
      </c>
      <c r="B3276" s="5">
        <v>43856</v>
      </c>
      <c r="C3276" t="s">
        <v>10</v>
      </c>
      <c r="D3276">
        <v>682</v>
      </c>
      <c r="E3276">
        <v>682</v>
      </c>
      <c r="F3276" s="5">
        <v>43831</v>
      </c>
      <c r="G3276">
        <v>682</v>
      </c>
      <c r="H3276" t="s">
        <v>57</v>
      </c>
    </row>
    <row r="3277" spans="1:8" x14ac:dyDescent="0.3">
      <c r="A3277">
        <v>278</v>
      </c>
      <c r="B3277" s="5">
        <v>43857</v>
      </c>
      <c r="C3277" t="s">
        <v>10</v>
      </c>
      <c r="D3277">
        <v>627</v>
      </c>
      <c r="E3277">
        <v>1309</v>
      </c>
      <c r="F3277" s="5">
        <v>43831</v>
      </c>
      <c r="G3277">
        <v>627</v>
      </c>
      <c r="H3277" t="s">
        <v>57</v>
      </c>
    </row>
    <row r="3278" spans="1:8" x14ac:dyDescent="0.3">
      <c r="A3278">
        <v>278</v>
      </c>
      <c r="B3278" s="5">
        <v>43878</v>
      </c>
      <c r="C3278" t="s">
        <v>10</v>
      </c>
      <c r="D3278">
        <v>878</v>
      </c>
      <c r="E3278">
        <v>2187</v>
      </c>
      <c r="F3278" s="5">
        <v>43862</v>
      </c>
      <c r="G3278">
        <v>878</v>
      </c>
      <c r="H3278" t="s">
        <v>57</v>
      </c>
    </row>
    <row r="3279" spans="1:8" x14ac:dyDescent="0.3">
      <c r="A3279">
        <v>278</v>
      </c>
      <c r="B3279" s="5">
        <v>43882</v>
      </c>
      <c r="C3279" t="s">
        <v>11</v>
      </c>
      <c r="D3279">
        <v>10</v>
      </c>
      <c r="E3279">
        <v>2177</v>
      </c>
      <c r="F3279" s="5">
        <v>43862</v>
      </c>
      <c r="G3279">
        <v>-10</v>
      </c>
      <c r="H3279" t="s">
        <v>57</v>
      </c>
    </row>
    <row r="3280" spans="1:8" x14ac:dyDescent="0.3">
      <c r="A3280">
        <v>278</v>
      </c>
      <c r="B3280" s="5">
        <v>43886</v>
      </c>
      <c r="C3280" t="s">
        <v>12</v>
      </c>
      <c r="D3280">
        <v>618</v>
      </c>
      <c r="E3280">
        <v>1559</v>
      </c>
      <c r="F3280" s="5">
        <v>43862</v>
      </c>
      <c r="G3280">
        <v>-618</v>
      </c>
      <c r="H3280" t="s">
        <v>57</v>
      </c>
    </row>
    <row r="3281" spans="1:8" x14ac:dyDescent="0.3">
      <c r="A3281">
        <v>278</v>
      </c>
      <c r="B3281" s="5">
        <v>43887</v>
      </c>
      <c r="C3281" t="s">
        <v>10</v>
      </c>
      <c r="D3281">
        <v>442</v>
      </c>
      <c r="E3281">
        <v>2001</v>
      </c>
      <c r="F3281" s="5">
        <v>43862</v>
      </c>
      <c r="G3281">
        <v>442</v>
      </c>
      <c r="H3281" t="s">
        <v>57</v>
      </c>
    </row>
    <row r="3282" spans="1:8" x14ac:dyDescent="0.3">
      <c r="A3282">
        <v>278</v>
      </c>
      <c r="B3282" s="5">
        <v>43889</v>
      </c>
      <c r="C3282" t="s">
        <v>12</v>
      </c>
      <c r="D3282">
        <v>278</v>
      </c>
      <c r="E3282">
        <v>1723</v>
      </c>
      <c r="F3282" s="5">
        <v>43862</v>
      </c>
      <c r="G3282">
        <v>-278</v>
      </c>
      <c r="H3282" t="s">
        <v>57</v>
      </c>
    </row>
    <row r="3283" spans="1:8" x14ac:dyDescent="0.3">
      <c r="A3283">
        <v>278</v>
      </c>
      <c r="B3283" s="5">
        <v>43893</v>
      </c>
      <c r="C3283" t="s">
        <v>12</v>
      </c>
      <c r="D3283">
        <v>152</v>
      </c>
      <c r="E3283">
        <v>1571</v>
      </c>
      <c r="F3283" s="5">
        <v>43891</v>
      </c>
      <c r="G3283">
        <v>-152</v>
      </c>
      <c r="H3283" t="s">
        <v>57</v>
      </c>
    </row>
    <row r="3284" spans="1:8" x14ac:dyDescent="0.3">
      <c r="A3284">
        <v>278</v>
      </c>
      <c r="B3284" s="5">
        <v>43901</v>
      </c>
      <c r="C3284" t="s">
        <v>10</v>
      </c>
      <c r="D3284">
        <v>455</v>
      </c>
      <c r="E3284">
        <v>2026</v>
      </c>
      <c r="F3284" s="5">
        <v>43891</v>
      </c>
      <c r="G3284">
        <v>455</v>
      </c>
      <c r="H3284" t="s">
        <v>57</v>
      </c>
    </row>
    <row r="3285" spans="1:8" x14ac:dyDescent="0.3">
      <c r="A3285">
        <v>278</v>
      </c>
      <c r="B3285" s="5">
        <v>43922</v>
      </c>
      <c r="C3285" t="s">
        <v>12</v>
      </c>
      <c r="D3285">
        <v>276</v>
      </c>
      <c r="E3285">
        <v>1750</v>
      </c>
      <c r="F3285" s="5">
        <v>43922</v>
      </c>
      <c r="G3285">
        <v>-276</v>
      </c>
      <c r="H3285" t="s">
        <v>57</v>
      </c>
    </row>
    <row r="3286" spans="1:8" x14ac:dyDescent="0.3">
      <c r="A3286">
        <v>278</v>
      </c>
      <c r="B3286" s="5">
        <v>43926</v>
      </c>
      <c r="C3286" t="s">
        <v>10</v>
      </c>
      <c r="D3286">
        <v>152</v>
      </c>
      <c r="E3286">
        <v>1902</v>
      </c>
      <c r="F3286" s="5">
        <v>43922</v>
      </c>
      <c r="G3286">
        <v>152</v>
      </c>
      <c r="H3286" t="s">
        <v>57</v>
      </c>
    </row>
    <row r="3287" spans="1:8" x14ac:dyDescent="0.3">
      <c r="A3287">
        <v>278</v>
      </c>
      <c r="B3287" s="5">
        <v>43932</v>
      </c>
      <c r="C3287" t="s">
        <v>10</v>
      </c>
      <c r="D3287">
        <v>396</v>
      </c>
      <c r="E3287">
        <v>2298</v>
      </c>
      <c r="F3287" s="5">
        <v>43922</v>
      </c>
      <c r="G3287">
        <v>396</v>
      </c>
      <c r="H3287" t="s">
        <v>57</v>
      </c>
    </row>
    <row r="3288" spans="1:8" x14ac:dyDescent="0.3">
      <c r="A3288">
        <v>278</v>
      </c>
      <c r="B3288" s="5">
        <v>43936</v>
      </c>
      <c r="C3288" t="s">
        <v>11</v>
      </c>
      <c r="D3288">
        <v>414</v>
      </c>
      <c r="E3288">
        <v>1884</v>
      </c>
      <c r="F3288" s="5">
        <v>43922</v>
      </c>
      <c r="G3288">
        <v>-414</v>
      </c>
      <c r="H3288" t="s">
        <v>57</v>
      </c>
    </row>
    <row r="3289" spans="1:8" x14ac:dyDescent="0.3">
      <c r="A3289">
        <v>278</v>
      </c>
      <c r="B3289" s="5">
        <v>43937</v>
      </c>
      <c r="C3289" t="s">
        <v>10</v>
      </c>
      <c r="D3289">
        <v>417</v>
      </c>
      <c r="E3289">
        <v>2301</v>
      </c>
      <c r="F3289" s="5">
        <v>43922</v>
      </c>
      <c r="G3289">
        <v>417</v>
      </c>
      <c r="H3289" t="s">
        <v>57</v>
      </c>
    </row>
    <row r="3290" spans="1:8" x14ac:dyDescent="0.3">
      <c r="A3290">
        <v>278</v>
      </c>
      <c r="B3290" s="5">
        <v>43938</v>
      </c>
      <c r="C3290" t="s">
        <v>10</v>
      </c>
      <c r="D3290">
        <v>727</v>
      </c>
      <c r="E3290">
        <v>3028</v>
      </c>
      <c r="F3290" s="5">
        <v>43922</v>
      </c>
      <c r="G3290">
        <v>727</v>
      </c>
      <c r="H3290" t="s">
        <v>57</v>
      </c>
    </row>
    <row r="3291" spans="1:8" x14ac:dyDescent="0.3">
      <c r="A3291">
        <v>278</v>
      </c>
      <c r="B3291" s="5">
        <v>43941</v>
      </c>
      <c r="C3291" t="s">
        <v>10</v>
      </c>
      <c r="D3291">
        <v>526</v>
      </c>
      <c r="E3291">
        <v>3554</v>
      </c>
      <c r="F3291" s="5">
        <v>43922</v>
      </c>
      <c r="G3291">
        <v>526</v>
      </c>
      <c r="H3291" t="s">
        <v>57</v>
      </c>
    </row>
    <row r="3292" spans="1:8" x14ac:dyDescent="0.3">
      <c r="A3292">
        <v>279</v>
      </c>
      <c r="B3292" s="5">
        <v>43843</v>
      </c>
      <c r="C3292" t="s">
        <v>10</v>
      </c>
      <c r="D3292">
        <v>98</v>
      </c>
      <c r="E3292">
        <v>98</v>
      </c>
      <c r="F3292" s="5">
        <v>43831</v>
      </c>
      <c r="G3292">
        <v>98</v>
      </c>
      <c r="H3292" t="s">
        <v>57</v>
      </c>
    </row>
    <row r="3293" spans="1:8" x14ac:dyDescent="0.3">
      <c r="A3293">
        <v>279</v>
      </c>
      <c r="B3293" s="5">
        <v>43843</v>
      </c>
      <c r="C3293" t="s">
        <v>10</v>
      </c>
      <c r="D3293">
        <v>116</v>
      </c>
      <c r="E3293">
        <v>214</v>
      </c>
      <c r="F3293" s="5">
        <v>43831</v>
      </c>
      <c r="G3293">
        <v>116</v>
      </c>
      <c r="H3293" t="s">
        <v>57</v>
      </c>
    </row>
    <row r="3294" spans="1:8" x14ac:dyDescent="0.3">
      <c r="A3294">
        <v>279</v>
      </c>
      <c r="B3294" s="5">
        <v>43845</v>
      </c>
      <c r="C3294" t="s">
        <v>10</v>
      </c>
      <c r="D3294">
        <v>837</v>
      </c>
      <c r="E3294">
        <v>1051</v>
      </c>
      <c r="F3294" s="5">
        <v>43831</v>
      </c>
      <c r="G3294">
        <v>837</v>
      </c>
      <c r="H3294" t="s">
        <v>57</v>
      </c>
    </row>
    <row r="3295" spans="1:8" x14ac:dyDescent="0.3">
      <c r="A3295">
        <v>279</v>
      </c>
      <c r="B3295" s="5">
        <v>43853</v>
      </c>
      <c r="C3295" t="s">
        <v>10</v>
      </c>
      <c r="D3295">
        <v>844</v>
      </c>
      <c r="E3295">
        <v>1895</v>
      </c>
      <c r="F3295" s="5">
        <v>43831</v>
      </c>
      <c r="G3295">
        <v>844</v>
      </c>
      <c r="H3295" t="s">
        <v>57</v>
      </c>
    </row>
    <row r="3296" spans="1:8" x14ac:dyDescent="0.3">
      <c r="A3296">
        <v>279</v>
      </c>
      <c r="B3296" s="5">
        <v>43880</v>
      </c>
      <c r="C3296" t="s">
        <v>10</v>
      </c>
      <c r="D3296">
        <v>443</v>
      </c>
      <c r="E3296">
        <v>2338</v>
      </c>
      <c r="F3296" s="5">
        <v>43862</v>
      </c>
      <c r="G3296">
        <v>443</v>
      </c>
      <c r="H3296" t="s">
        <v>57</v>
      </c>
    </row>
    <row r="3297" spans="1:8" x14ac:dyDescent="0.3">
      <c r="A3297">
        <v>279</v>
      </c>
      <c r="B3297" s="5">
        <v>43885</v>
      </c>
      <c r="C3297" t="s">
        <v>10</v>
      </c>
      <c r="D3297">
        <v>725</v>
      </c>
      <c r="E3297">
        <v>3063</v>
      </c>
      <c r="F3297" s="5">
        <v>43862</v>
      </c>
      <c r="G3297">
        <v>725</v>
      </c>
      <c r="H3297" t="s">
        <v>57</v>
      </c>
    </row>
    <row r="3298" spans="1:8" x14ac:dyDescent="0.3">
      <c r="A3298">
        <v>279</v>
      </c>
      <c r="B3298" s="5">
        <v>43885</v>
      </c>
      <c r="C3298" t="s">
        <v>10</v>
      </c>
      <c r="D3298">
        <v>578</v>
      </c>
      <c r="E3298">
        <v>3641</v>
      </c>
      <c r="F3298" s="5">
        <v>43862</v>
      </c>
      <c r="G3298">
        <v>578</v>
      </c>
      <c r="H3298" t="s">
        <v>57</v>
      </c>
    </row>
    <row r="3299" spans="1:8" x14ac:dyDescent="0.3">
      <c r="A3299">
        <v>279</v>
      </c>
      <c r="B3299" s="5">
        <v>43915</v>
      </c>
      <c r="C3299" t="s">
        <v>11</v>
      </c>
      <c r="D3299">
        <v>83</v>
      </c>
      <c r="E3299">
        <v>3558</v>
      </c>
      <c r="F3299" s="5">
        <v>43891</v>
      </c>
      <c r="G3299">
        <v>-83</v>
      </c>
      <c r="H3299" t="s">
        <v>57</v>
      </c>
    </row>
    <row r="3300" spans="1:8" x14ac:dyDescent="0.3">
      <c r="A3300">
        <v>279</v>
      </c>
      <c r="B3300" s="5">
        <v>43917</v>
      </c>
      <c r="C3300" t="s">
        <v>12</v>
      </c>
      <c r="D3300">
        <v>135</v>
      </c>
      <c r="E3300">
        <v>3423</v>
      </c>
      <c r="F3300" s="5">
        <v>43891</v>
      </c>
      <c r="G3300">
        <v>-135</v>
      </c>
      <c r="H3300" t="s">
        <v>57</v>
      </c>
    </row>
    <row r="3301" spans="1:8" x14ac:dyDescent="0.3">
      <c r="A3301">
        <v>279</v>
      </c>
      <c r="B3301" s="5">
        <v>43919</v>
      </c>
      <c r="C3301" t="s">
        <v>10</v>
      </c>
      <c r="D3301">
        <v>15</v>
      </c>
      <c r="E3301">
        <v>3438</v>
      </c>
      <c r="F3301" s="5">
        <v>43891</v>
      </c>
      <c r="G3301">
        <v>15</v>
      </c>
      <c r="H3301" t="s">
        <v>57</v>
      </c>
    </row>
    <row r="3302" spans="1:8" x14ac:dyDescent="0.3">
      <c r="A3302">
        <v>279</v>
      </c>
      <c r="B3302" s="5">
        <v>43920</v>
      </c>
      <c r="C3302" t="s">
        <v>10</v>
      </c>
      <c r="D3302">
        <v>745</v>
      </c>
      <c r="E3302">
        <v>4183</v>
      </c>
      <c r="F3302" s="5">
        <v>43891</v>
      </c>
      <c r="G3302">
        <v>745</v>
      </c>
      <c r="H3302" t="s">
        <v>57</v>
      </c>
    </row>
    <row r="3303" spans="1:8" x14ac:dyDescent="0.3">
      <c r="A3303">
        <v>279</v>
      </c>
      <c r="B3303" s="5">
        <v>43922</v>
      </c>
      <c r="C3303" t="s">
        <v>12</v>
      </c>
      <c r="D3303">
        <v>80</v>
      </c>
      <c r="E3303">
        <v>4103</v>
      </c>
      <c r="F3303" s="5">
        <v>43922</v>
      </c>
      <c r="G3303">
        <v>-80</v>
      </c>
      <c r="H3303" t="s">
        <v>57</v>
      </c>
    </row>
    <row r="3304" spans="1:8" x14ac:dyDescent="0.3">
      <c r="A3304">
        <v>280</v>
      </c>
      <c r="B3304" s="5">
        <v>43833</v>
      </c>
      <c r="C3304" t="s">
        <v>10</v>
      </c>
      <c r="D3304">
        <v>273</v>
      </c>
      <c r="E3304">
        <v>273</v>
      </c>
      <c r="F3304" s="5">
        <v>43831</v>
      </c>
      <c r="G3304">
        <v>273</v>
      </c>
      <c r="H3304" t="s">
        <v>57</v>
      </c>
    </row>
    <row r="3305" spans="1:8" x14ac:dyDescent="0.3">
      <c r="A3305">
        <v>280</v>
      </c>
      <c r="B3305" s="5">
        <v>43842</v>
      </c>
      <c r="C3305" t="s">
        <v>12</v>
      </c>
      <c r="D3305">
        <v>834</v>
      </c>
      <c r="E3305">
        <v>-561</v>
      </c>
      <c r="F3305" s="5">
        <v>43831</v>
      </c>
      <c r="G3305">
        <v>-834</v>
      </c>
      <c r="H3305" t="s">
        <v>58</v>
      </c>
    </row>
    <row r="3306" spans="1:8" x14ac:dyDescent="0.3">
      <c r="A3306">
        <v>280</v>
      </c>
      <c r="B3306" s="5">
        <v>43856</v>
      </c>
      <c r="C3306" t="s">
        <v>10</v>
      </c>
      <c r="D3306">
        <v>182</v>
      </c>
      <c r="E3306">
        <v>-379</v>
      </c>
      <c r="F3306" s="5">
        <v>43831</v>
      </c>
      <c r="G3306">
        <v>182</v>
      </c>
      <c r="H3306" t="s">
        <v>58</v>
      </c>
    </row>
    <row r="3307" spans="1:8" x14ac:dyDescent="0.3">
      <c r="A3307">
        <v>280</v>
      </c>
      <c r="B3307" s="5">
        <v>43859</v>
      </c>
      <c r="C3307" t="s">
        <v>10</v>
      </c>
      <c r="D3307">
        <v>292</v>
      </c>
      <c r="E3307">
        <v>-87</v>
      </c>
      <c r="F3307" s="5">
        <v>43831</v>
      </c>
      <c r="G3307">
        <v>292</v>
      </c>
      <c r="H3307" t="s">
        <v>58</v>
      </c>
    </row>
    <row r="3308" spans="1:8" x14ac:dyDescent="0.3">
      <c r="A3308">
        <v>280</v>
      </c>
      <c r="B3308" s="5">
        <v>43868</v>
      </c>
      <c r="C3308" t="s">
        <v>12</v>
      </c>
      <c r="D3308">
        <v>16</v>
      </c>
      <c r="E3308">
        <v>-103</v>
      </c>
      <c r="F3308" s="5">
        <v>43862</v>
      </c>
      <c r="G3308">
        <v>-16</v>
      </c>
      <c r="H3308" t="s">
        <v>58</v>
      </c>
    </row>
    <row r="3309" spans="1:8" x14ac:dyDescent="0.3">
      <c r="A3309">
        <v>280</v>
      </c>
      <c r="B3309" s="5">
        <v>43875</v>
      </c>
      <c r="C3309" t="s">
        <v>10</v>
      </c>
      <c r="D3309">
        <v>767</v>
      </c>
      <c r="E3309">
        <v>664</v>
      </c>
      <c r="F3309" s="5">
        <v>43862</v>
      </c>
      <c r="G3309">
        <v>767</v>
      </c>
      <c r="H3309" t="s">
        <v>57</v>
      </c>
    </row>
    <row r="3310" spans="1:8" x14ac:dyDescent="0.3">
      <c r="A3310">
        <v>280</v>
      </c>
      <c r="B3310" s="5">
        <v>43876</v>
      </c>
      <c r="C3310" t="s">
        <v>12</v>
      </c>
      <c r="D3310">
        <v>767</v>
      </c>
      <c r="E3310">
        <v>-103</v>
      </c>
      <c r="F3310" s="5">
        <v>43862</v>
      </c>
      <c r="G3310">
        <v>-767</v>
      </c>
      <c r="H3310" t="s">
        <v>58</v>
      </c>
    </row>
    <row r="3311" spans="1:8" x14ac:dyDescent="0.3">
      <c r="A3311">
        <v>280</v>
      </c>
      <c r="B3311" s="5">
        <v>43885</v>
      </c>
      <c r="C3311" t="s">
        <v>11</v>
      </c>
      <c r="D3311">
        <v>82</v>
      </c>
      <c r="E3311">
        <v>-185</v>
      </c>
      <c r="F3311" s="5">
        <v>43862</v>
      </c>
      <c r="G3311">
        <v>-82</v>
      </c>
      <c r="H3311" t="s">
        <v>58</v>
      </c>
    </row>
    <row r="3312" spans="1:8" x14ac:dyDescent="0.3">
      <c r="A3312">
        <v>280</v>
      </c>
      <c r="B3312" s="5">
        <v>43899</v>
      </c>
      <c r="C3312" t="s">
        <v>10</v>
      </c>
      <c r="D3312">
        <v>205</v>
      </c>
      <c r="E3312">
        <v>20</v>
      </c>
      <c r="F3312" s="5">
        <v>43891</v>
      </c>
      <c r="G3312">
        <v>205</v>
      </c>
      <c r="H3312" t="s">
        <v>57</v>
      </c>
    </row>
    <row r="3313" spans="1:8" x14ac:dyDescent="0.3">
      <c r="A3313">
        <v>280</v>
      </c>
      <c r="B3313" s="5">
        <v>43900</v>
      </c>
      <c r="C3313" t="s">
        <v>12</v>
      </c>
      <c r="D3313">
        <v>607</v>
      </c>
      <c r="E3313">
        <v>-587</v>
      </c>
      <c r="F3313" s="5">
        <v>43891</v>
      </c>
      <c r="G3313">
        <v>-607</v>
      </c>
      <c r="H3313" t="s">
        <v>58</v>
      </c>
    </row>
    <row r="3314" spans="1:8" x14ac:dyDescent="0.3">
      <c r="A3314">
        <v>280</v>
      </c>
      <c r="B3314" s="5">
        <v>43917</v>
      </c>
      <c r="C3314" t="s">
        <v>10</v>
      </c>
      <c r="D3314">
        <v>214</v>
      </c>
      <c r="E3314">
        <v>-373</v>
      </c>
      <c r="F3314" s="5">
        <v>43891</v>
      </c>
      <c r="G3314">
        <v>214</v>
      </c>
      <c r="H3314" t="s">
        <v>58</v>
      </c>
    </row>
    <row r="3315" spans="1:8" x14ac:dyDescent="0.3">
      <c r="A3315">
        <v>281</v>
      </c>
      <c r="B3315" s="5">
        <v>43836</v>
      </c>
      <c r="C3315" t="s">
        <v>10</v>
      </c>
      <c r="D3315">
        <v>616</v>
      </c>
      <c r="E3315">
        <v>616</v>
      </c>
      <c r="F3315" s="5">
        <v>43831</v>
      </c>
      <c r="G3315">
        <v>616</v>
      </c>
      <c r="H3315" t="s">
        <v>57</v>
      </c>
    </row>
    <row r="3316" spans="1:8" x14ac:dyDescent="0.3">
      <c r="A3316">
        <v>281</v>
      </c>
      <c r="B3316" s="5">
        <v>43839</v>
      </c>
      <c r="C3316" t="s">
        <v>12</v>
      </c>
      <c r="D3316">
        <v>147</v>
      </c>
      <c r="E3316">
        <v>469</v>
      </c>
      <c r="F3316" s="5">
        <v>43831</v>
      </c>
      <c r="G3316">
        <v>-147</v>
      </c>
      <c r="H3316" t="s">
        <v>57</v>
      </c>
    </row>
    <row r="3317" spans="1:8" x14ac:dyDescent="0.3">
      <c r="A3317">
        <v>281</v>
      </c>
      <c r="B3317" s="5">
        <v>43841</v>
      </c>
      <c r="C3317" t="s">
        <v>10</v>
      </c>
      <c r="D3317">
        <v>357</v>
      </c>
      <c r="E3317">
        <v>826</v>
      </c>
      <c r="F3317" s="5">
        <v>43831</v>
      </c>
      <c r="G3317">
        <v>357</v>
      </c>
      <c r="H3317" t="s">
        <v>57</v>
      </c>
    </row>
    <row r="3318" spans="1:8" x14ac:dyDescent="0.3">
      <c r="A3318">
        <v>281</v>
      </c>
      <c r="B3318" s="5">
        <v>43843</v>
      </c>
      <c r="C3318" t="s">
        <v>11</v>
      </c>
      <c r="D3318">
        <v>198</v>
      </c>
      <c r="E3318">
        <v>628</v>
      </c>
      <c r="F3318" s="5">
        <v>43831</v>
      </c>
      <c r="G3318">
        <v>-198</v>
      </c>
      <c r="H3318" t="s">
        <v>57</v>
      </c>
    </row>
    <row r="3319" spans="1:8" x14ac:dyDescent="0.3">
      <c r="A3319">
        <v>281</v>
      </c>
      <c r="B3319" s="5">
        <v>43845</v>
      </c>
      <c r="C3319" t="s">
        <v>10</v>
      </c>
      <c r="D3319">
        <v>299</v>
      </c>
      <c r="E3319">
        <v>927</v>
      </c>
      <c r="F3319" s="5">
        <v>43831</v>
      </c>
      <c r="G3319">
        <v>299</v>
      </c>
      <c r="H3319" t="s">
        <v>57</v>
      </c>
    </row>
    <row r="3320" spans="1:8" x14ac:dyDescent="0.3">
      <c r="A3320">
        <v>281</v>
      </c>
      <c r="B3320" s="5">
        <v>43848</v>
      </c>
      <c r="C3320" t="s">
        <v>11</v>
      </c>
      <c r="D3320">
        <v>229</v>
      </c>
      <c r="E3320">
        <v>698</v>
      </c>
      <c r="F3320" s="5">
        <v>43831</v>
      </c>
      <c r="G3320">
        <v>-229</v>
      </c>
      <c r="H3320" t="s">
        <v>57</v>
      </c>
    </row>
    <row r="3321" spans="1:8" x14ac:dyDescent="0.3">
      <c r="A3321">
        <v>281</v>
      </c>
      <c r="B3321" s="5">
        <v>43851</v>
      </c>
      <c r="C3321" t="s">
        <v>12</v>
      </c>
      <c r="D3321">
        <v>838</v>
      </c>
      <c r="E3321">
        <v>-140</v>
      </c>
      <c r="F3321" s="5">
        <v>43831</v>
      </c>
      <c r="G3321">
        <v>-838</v>
      </c>
      <c r="H3321" t="s">
        <v>58</v>
      </c>
    </row>
    <row r="3322" spans="1:8" x14ac:dyDescent="0.3">
      <c r="A3322">
        <v>281</v>
      </c>
      <c r="B3322" s="5">
        <v>43859</v>
      </c>
      <c r="C3322" t="s">
        <v>10</v>
      </c>
      <c r="D3322">
        <v>360</v>
      </c>
      <c r="E3322">
        <v>220</v>
      </c>
      <c r="F3322" s="5">
        <v>43831</v>
      </c>
      <c r="G3322">
        <v>360</v>
      </c>
      <c r="H3322" t="s">
        <v>57</v>
      </c>
    </row>
    <row r="3323" spans="1:8" x14ac:dyDescent="0.3">
      <c r="A3323">
        <v>281</v>
      </c>
      <c r="B3323" s="5">
        <v>43863</v>
      </c>
      <c r="C3323" t="s">
        <v>10</v>
      </c>
      <c r="D3323">
        <v>383</v>
      </c>
      <c r="E3323">
        <v>603</v>
      </c>
      <c r="F3323" s="5">
        <v>43862</v>
      </c>
      <c r="G3323">
        <v>383</v>
      </c>
      <c r="H3323" t="s">
        <v>57</v>
      </c>
    </row>
    <row r="3324" spans="1:8" x14ac:dyDescent="0.3">
      <c r="A3324">
        <v>281</v>
      </c>
      <c r="B3324" s="5">
        <v>43869</v>
      </c>
      <c r="C3324" t="s">
        <v>12</v>
      </c>
      <c r="D3324">
        <v>304</v>
      </c>
      <c r="E3324">
        <v>299</v>
      </c>
      <c r="F3324" s="5">
        <v>43862</v>
      </c>
      <c r="G3324">
        <v>-304</v>
      </c>
      <c r="H3324" t="s">
        <v>57</v>
      </c>
    </row>
    <row r="3325" spans="1:8" x14ac:dyDescent="0.3">
      <c r="A3325">
        <v>281</v>
      </c>
      <c r="B3325" s="5">
        <v>43872</v>
      </c>
      <c r="C3325" t="s">
        <v>10</v>
      </c>
      <c r="D3325">
        <v>875</v>
      </c>
      <c r="E3325">
        <v>1174</v>
      </c>
      <c r="F3325" s="5">
        <v>43862</v>
      </c>
      <c r="G3325">
        <v>875</v>
      </c>
      <c r="H3325" t="s">
        <v>57</v>
      </c>
    </row>
    <row r="3326" spans="1:8" x14ac:dyDescent="0.3">
      <c r="A3326">
        <v>281</v>
      </c>
      <c r="B3326" s="5">
        <v>43874</v>
      </c>
      <c r="C3326" t="s">
        <v>10</v>
      </c>
      <c r="D3326">
        <v>713</v>
      </c>
      <c r="E3326">
        <v>1887</v>
      </c>
      <c r="F3326" s="5">
        <v>43862</v>
      </c>
      <c r="G3326">
        <v>713</v>
      </c>
      <c r="H3326" t="s">
        <v>57</v>
      </c>
    </row>
    <row r="3327" spans="1:8" x14ac:dyDescent="0.3">
      <c r="A3327">
        <v>281</v>
      </c>
      <c r="B3327" s="5">
        <v>43888</v>
      </c>
      <c r="C3327" t="s">
        <v>11</v>
      </c>
      <c r="D3327">
        <v>832</v>
      </c>
      <c r="E3327">
        <v>1055</v>
      </c>
      <c r="F3327" s="5">
        <v>43862</v>
      </c>
      <c r="G3327">
        <v>-832</v>
      </c>
      <c r="H3327" t="s">
        <v>57</v>
      </c>
    </row>
    <row r="3328" spans="1:8" x14ac:dyDescent="0.3">
      <c r="A3328">
        <v>281</v>
      </c>
      <c r="B3328" s="5">
        <v>43894</v>
      </c>
      <c r="C3328" t="s">
        <v>12</v>
      </c>
      <c r="D3328">
        <v>102</v>
      </c>
      <c r="E3328">
        <v>953</v>
      </c>
      <c r="F3328" s="5">
        <v>43891</v>
      </c>
      <c r="G3328">
        <v>-102</v>
      </c>
      <c r="H3328" t="s">
        <v>57</v>
      </c>
    </row>
    <row r="3329" spans="1:8" x14ac:dyDescent="0.3">
      <c r="A3329">
        <v>281</v>
      </c>
      <c r="B3329" s="5">
        <v>43895</v>
      </c>
      <c r="C3329" t="s">
        <v>10</v>
      </c>
      <c r="D3329">
        <v>922</v>
      </c>
      <c r="E3329">
        <v>1875</v>
      </c>
      <c r="F3329" s="5">
        <v>43891</v>
      </c>
      <c r="G3329">
        <v>922</v>
      </c>
      <c r="H3329" t="s">
        <v>57</v>
      </c>
    </row>
    <row r="3330" spans="1:8" x14ac:dyDescent="0.3">
      <c r="A3330">
        <v>281</v>
      </c>
      <c r="B3330" s="5">
        <v>43896</v>
      </c>
      <c r="C3330" t="s">
        <v>10</v>
      </c>
      <c r="D3330">
        <v>701</v>
      </c>
      <c r="E3330">
        <v>2576</v>
      </c>
      <c r="F3330" s="5">
        <v>43891</v>
      </c>
      <c r="G3330">
        <v>701</v>
      </c>
      <c r="H3330" t="s">
        <v>57</v>
      </c>
    </row>
    <row r="3331" spans="1:8" x14ac:dyDescent="0.3">
      <c r="A3331">
        <v>281</v>
      </c>
      <c r="B3331" s="5">
        <v>43897</v>
      </c>
      <c r="C3331" t="s">
        <v>10</v>
      </c>
      <c r="D3331">
        <v>740</v>
      </c>
      <c r="E3331">
        <v>3316</v>
      </c>
      <c r="F3331" s="5">
        <v>43891</v>
      </c>
      <c r="G3331">
        <v>740</v>
      </c>
      <c r="H3331" t="s">
        <v>57</v>
      </c>
    </row>
    <row r="3332" spans="1:8" x14ac:dyDescent="0.3">
      <c r="A3332">
        <v>281</v>
      </c>
      <c r="B3332" s="5">
        <v>43898</v>
      </c>
      <c r="C3332" t="s">
        <v>11</v>
      </c>
      <c r="D3332">
        <v>210</v>
      </c>
      <c r="E3332">
        <v>3106</v>
      </c>
      <c r="F3332" s="5">
        <v>43891</v>
      </c>
      <c r="G3332">
        <v>-210</v>
      </c>
      <c r="H3332" t="s">
        <v>57</v>
      </c>
    </row>
    <row r="3333" spans="1:8" x14ac:dyDescent="0.3">
      <c r="A3333">
        <v>281</v>
      </c>
      <c r="B3333" s="5">
        <v>43910</v>
      </c>
      <c r="C3333" t="s">
        <v>12</v>
      </c>
      <c r="D3333">
        <v>929</v>
      </c>
      <c r="E3333">
        <v>2177</v>
      </c>
      <c r="F3333" s="5">
        <v>43891</v>
      </c>
      <c r="G3333">
        <v>-929</v>
      </c>
      <c r="H3333" t="s">
        <v>57</v>
      </c>
    </row>
    <row r="3334" spans="1:8" x14ac:dyDescent="0.3">
      <c r="A3334">
        <v>281</v>
      </c>
      <c r="B3334" s="5">
        <v>43914</v>
      </c>
      <c r="C3334" t="s">
        <v>12</v>
      </c>
      <c r="D3334">
        <v>865</v>
      </c>
      <c r="E3334">
        <v>1312</v>
      </c>
      <c r="F3334" s="5">
        <v>43891</v>
      </c>
      <c r="G3334">
        <v>-865</v>
      </c>
      <c r="H3334" t="s">
        <v>57</v>
      </c>
    </row>
    <row r="3335" spans="1:8" x14ac:dyDescent="0.3">
      <c r="A3335">
        <v>281</v>
      </c>
      <c r="B3335" s="5">
        <v>43915</v>
      </c>
      <c r="C3335" t="s">
        <v>10</v>
      </c>
      <c r="D3335">
        <v>880</v>
      </c>
      <c r="E3335">
        <v>2192</v>
      </c>
      <c r="F3335" s="5">
        <v>43891</v>
      </c>
      <c r="G3335">
        <v>880</v>
      </c>
      <c r="H3335" t="s">
        <v>57</v>
      </c>
    </row>
    <row r="3336" spans="1:8" x14ac:dyDescent="0.3">
      <c r="A3336">
        <v>281</v>
      </c>
      <c r="B3336" s="5">
        <v>43925</v>
      </c>
      <c r="C3336" t="s">
        <v>10</v>
      </c>
      <c r="D3336">
        <v>812</v>
      </c>
      <c r="E3336">
        <v>3004</v>
      </c>
      <c r="F3336" s="5">
        <v>43922</v>
      </c>
      <c r="G3336">
        <v>812</v>
      </c>
      <c r="H3336" t="s">
        <v>57</v>
      </c>
    </row>
    <row r="3337" spans="1:8" x14ac:dyDescent="0.3">
      <c r="A3337">
        <v>282</v>
      </c>
      <c r="B3337" s="5">
        <v>43854</v>
      </c>
      <c r="C3337" t="s">
        <v>10</v>
      </c>
      <c r="D3337">
        <v>74</v>
      </c>
      <c r="E3337">
        <v>74</v>
      </c>
      <c r="F3337" s="5">
        <v>43831</v>
      </c>
      <c r="G3337">
        <v>74</v>
      </c>
      <c r="H3337" t="s">
        <v>57</v>
      </c>
    </row>
    <row r="3338" spans="1:8" x14ac:dyDescent="0.3">
      <c r="A3338">
        <v>282</v>
      </c>
      <c r="B3338" s="5">
        <v>43879</v>
      </c>
      <c r="C3338" t="s">
        <v>11</v>
      </c>
      <c r="D3338">
        <v>787</v>
      </c>
      <c r="E3338">
        <v>-713</v>
      </c>
      <c r="F3338" s="5">
        <v>43862</v>
      </c>
      <c r="G3338">
        <v>-787</v>
      </c>
      <c r="H3338" t="s">
        <v>58</v>
      </c>
    </row>
    <row r="3339" spans="1:8" x14ac:dyDescent="0.3">
      <c r="A3339">
        <v>282</v>
      </c>
      <c r="B3339" s="5">
        <v>43915</v>
      </c>
      <c r="C3339" t="s">
        <v>10</v>
      </c>
      <c r="D3339">
        <v>548</v>
      </c>
      <c r="E3339">
        <v>-165</v>
      </c>
      <c r="F3339" s="5">
        <v>43891</v>
      </c>
      <c r="G3339">
        <v>548</v>
      </c>
      <c r="H3339" t="s">
        <v>58</v>
      </c>
    </row>
    <row r="3340" spans="1:8" x14ac:dyDescent="0.3">
      <c r="A3340">
        <v>282</v>
      </c>
      <c r="B3340" s="5">
        <v>43915</v>
      </c>
      <c r="C3340" t="s">
        <v>11</v>
      </c>
      <c r="D3340">
        <v>497</v>
      </c>
      <c r="E3340">
        <v>-662</v>
      </c>
      <c r="F3340" s="5">
        <v>43891</v>
      </c>
      <c r="G3340">
        <v>-497</v>
      </c>
      <c r="H3340" t="s">
        <v>58</v>
      </c>
    </row>
    <row r="3341" spans="1:8" x14ac:dyDescent="0.3">
      <c r="A3341">
        <v>282</v>
      </c>
      <c r="B3341" s="5">
        <v>43919</v>
      </c>
      <c r="C3341" t="s">
        <v>11</v>
      </c>
      <c r="D3341">
        <v>999</v>
      </c>
      <c r="E3341">
        <v>-1661</v>
      </c>
      <c r="F3341" s="5">
        <v>43891</v>
      </c>
      <c r="G3341">
        <v>-999</v>
      </c>
      <c r="H3341" t="s">
        <v>58</v>
      </c>
    </row>
    <row r="3342" spans="1:8" x14ac:dyDescent="0.3">
      <c r="A3342">
        <v>282</v>
      </c>
      <c r="B3342" s="5">
        <v>43923</v>
      </c>
      <c r="C3342" t="s">
        <v>10</v>
      </c>
      <c r="D3342">
        <v>370</v>
      </c>
      <c r="E3342">
        <v>-1291</v>
      </c>
      <c r="F3342" s="5">
        <v>43922</v>
      </c>
      <c r="G3342">
        <v>370</v>
      </c>
      <c r="H3342" t="s">
        <v>58</v>
      </c>
    </row>
    <row r="3343" spans="1:8" x14ac:dyDescent="0.3">
      <c r="A3343">
        <v>282</v>
      </c>
      <c r="B3343" s="5">
        <v>43930</v>
      </c>
      <c r="C3343" t="s">
        <v>10</v>
      </c>
      <c r="D3343">
        <v>387</v>
      </c>
      <c r="E3343">
        <v>-904</v>
      </c>
      <c r="F3343" s="5">
        <v>43922</v>
      </c>
      <c r="G3343">
        <v>387</v>
      </c>
      <c r="H3343" t="s">
        <v>58</v>
      </c>
    </row>
    <row r="3344" spans="1:8" x14ac:dyDescent="0.3">
      <c r="A3344">
        <v>282</v>
      </c>
      <c r="B3344" s="5">
        <v>43932</v>
      </c>
      <c r="C3344" t="s">
        <v>10</v>
      </c>
      <c r="D3344">
        <v>203</v>
      </c>
      <c r="E3344">
        <v>-701</v>
      </c>
      <c r="F3344" s="5">
        <v>43922</v>
      </c>
      <c r="G3344">
        <v>203</v>
      </c>
      <c r="H3344" t="s">
        <v>58</v>
      </c>
    </row>
    <row r="3345" spans="1:8" x14ac:dyDescent="0.3">
      <c r="A3345">
        <v>282</v>
      </c>
      <c r="B3345" s="5">
        <v>43938</v>
      </c>
      <c r="C3345" t="s">
        <v>11</v>
      </c>
      <c r="D3345">
        <v>734</v>
      </c>
      <c r="E3345">
        <v>-1435</v>
      </c>
      <c r="F3345" s="5">
        <v>43922</v>
      </c>
      <c r="G3345">
        <v>-734</v>
      </c>
      <c r="H3345" t="s">
        <v>58</v>
      </c>
    </row>
    <row r="3346" spans="1:8" x14ac:dyDescent="0.3">
      <c r="A3346">
        <v>282</v>
      </c>
      <c r="B3346" s="5">
        <v>43941</v>
      </c>
      <c r="C3346" t="s">
        <v>10</v>
      </c>
      <c r="D3346">
        <v>124</v>
      </c>
      <c r="E3346">
        <v>-1311</v>
      </c>
      <c r="F3346" s="5">
        <v>43922</v>
      </c>
      <c r="G3346">
        <v>124</v>
      </c>
      <c r="H3346" t="s">
        <v>58</v>
      </c>
    </row>
    <row r="3347" spans="1:8" x14ac:dyDescent="0.3">
      <c r="A3347">
        <v>283</v>
      </c>
      <c r="B3347" s="5">
        <v>43835</v>
      </c>
      <c r="C3347" t="s">
        <v>10</v>
      </c>
      <c r="D3347">
        <v>947</v>
      </c>
      <c r="E3347">
        <v>947</v>
      </c>
      <c r="F3347" s="5">
        <v>43831</v>
      </c>
      <c r="G3347">
        <v>947</v>
      </c>
      <c r="H3347" t="s">
        <v>57</v>
      </c>
    </row>
    <row r="3348" spans="1:8" x14ac:dyDescent="0.3">
      <c r="A3348">
        <v>283</v>
      </c>
      <c r="B3348" s="5">
        <v>43835</v>
      </c>
      <c r="C3348" t="s">
        <v>12</v>
      </c>
      <c r="D3348">
        <v>977</v>
      </c>
      <c r="E3348">
        <v>-30</v>
      </c>
      <c r="F3348" s="5">
        <v>43831</v>
      </c>
      <c r="G3348">
        <v>-977</v>
      </c>
      <c r="H3348" t="s">
        <v>58</v>
      </c>
    </row>
    <row r="3349" spans="1:8" x14ac:dyDescent="0.3">
      <c r="A3349">
        <v>283</v>
      </c>
      <c r="B3349" s="5">
        <v>43836</v>
      </c>
      <c r="C3349" t="s">
        <v>12</v>
      </c>
      <c r="D3349">
        <v>697</v>
      </c>
      <c r="E3349">
        <v>-727</v>
      </c>
      <c r="F3349" s="5">
        <v>43831</v>
      </c>
      <c r="G3349">
        <v>-697</v>
      </c>
      <c r="H3349" t="s">
        <v>58</v>
      </c>
    </row>
    <row r="3350" spans="1:8" x14ac:dyDescent="0.3">
      <c r="A3350">
        <v>283</v>
      </c>
      <c r="B3350" s="5">
        <v>43841</v>
      </c>
      <c r="C3350" t="s">
        <v>10</v>
      </c>
      <c r="D3350">
        <v>49</v>
      </c>
      <c r="E3350">
        <v>-678</v>
      </c>
      <c r="F3350" s="5">
        <v>43831</v>
      </c>
      <c r="G3350">
        <v>49</v>
      </c>
      <c r="H3350" t="s">
        <v>58</v>
      </c>
    </row>
    <row r="3351" spans="1:8" x14ac:dyDescent="0.3">
      <c r="A3351">
        <v>283</v>
      </c>
      <c r="B3351" s="5">
        <v>43841</v>
      </c>
      <c r="C3351" t="s">
        <v>12</v>
      </c>
      <c r="D3351">
        <v>151</v>
      </c>
      <c r="E3351">
        <v>-829</v>
      </c>
      <c r="F3351" s="5">
        <v>43831</v>
      </c>
      <c r="G3351">
        <v>-151</v>
      </c>
      <c r="H3351" t="s">
        <v>58</v>
      </c>
    </row>
    <row r="3352" spans="1:8" x14ac:dyDescent="0.3">
      <c r="A3352">
        <v>283</v>
      </c>
      <c r="B3352" s="5">
        <v>43846</v>
      </c>
      <c r="C3352" t="s">
        <v>11</v>
      </c>
      <c r="D3352">
        <v>619</v>
      </c>
      <c r="E3352">
        <v>-1448</v>
      </c>
      <c r="F3352" s="5">
        <v>43831</v>
      </c>
      <c r="G3352">
        <v>-619</v>
      </c>
      <c r="H3352" t="s">
        <v>58</v>
      </c>
    </row>
    <row r="3353" spans="1:8" x14ac:dyDescent="0.3">
      <c r="A3353">
        <v>283</v>
      </c>
      <c r="B3353" s="5">
        <v>43851</v>
      </c>
      <c r="C3353" t="s">
        <v>10</v>
      </c>
      <c r="D3353">
        <v>50</v>
      </c>
      <c r="E3353">
        <v>-1398</v>
      </c>
      <c r="F3353" s="5">
        <v>43831</v>
      </c>
      <c r="G3353">
        <v>50</v>
      </c>
      <c r="H3353" t="s">
        <v>58</v>
      </c>
    </row>
    <row r="3354" spans="1:8" x14ac:dyDescent="0.3">
      <c r="A3354">
        <v>283</v>
      </c>
      <c r="B3354" s="5">
        <v>43854</v>
      </c>
      <c r="C3354" t="s">
        <v>10</v>
      </c>
      <c r="D3354">
        <v>643</v>
      </c>
      <c r="E3354">
        <v>-755</v>
      </c>
      <c r="F3354" s="5">
        <v>43831</v>
      </c>
      <c r="G3354">
        <v>643</v>
      </c>
      <c r="H3354" t="s">
        <v>58</v>
      </c>
    </row>
    <row r="3355" spans="1:8" x14ac:dyDescent="0.3">
      <c r="A3355">
        <v>283</v>
      </c>
      <c r="B3355" s="5">
        <v>43861</v>
      </c>
      <c r="C3355" t="s">
        <v>12</v>
      </c>
      <c r="D3355">
        <v>446</v>
      </c>
      <c r="E3355">
        <v>-1201</v>
      </c>
      <c r="F3355" s="5">
        <v>43831</v>
      </c>
      <c r="G3355">
        <v>-446</v>
      </c>
      <c r="H3355" t="s">
        <v>58</v>
      </c>
    </row>
    <row r="3356" spans="1:8" x14ac:dyDescent="0.3">
      <c r="A3356">
        <v>283</v>
      </c>
      <c r="B3356" s="5">
        <v>43866</v>
      </c>
      <c r="C3356" t="s">
        <v>10</v>
      </c>
      <c r="D3356">
        <v>58</v>
      </c>
      <c r="E3356">
        <v>-1143</v>
      </c>
      <c r="F3356" s="5">
        <v>43862</v>
      </c>
      <c r="G3356">
        <v>58</v>
      </c>
      <c r="H3356" t="s">
        <v>58</v>
      </c>
    </row>
    <row r="3357" spans="1:8" x14ac:dyDescent="0.3">
      <c r="A3357">
        <v>283</v>
      </c>
      <c r="B3357" s="5">
        <v>43885</v>
      </c>
      <c r="C3357" t="s">
        <v>11</v>
      </c>
      <c r="D3357">
        <v>846</v>
      </c>
      <c r="E3357">
        <v>-1989</v>
      </c>
      <c r="F3357" s="5">
        <v>43862</v>
      </c>
      <c r="G3357">
        <v>-846</v>
      </c>
      <c r="H3357" t="s">
        <v>58</v>
      </c>
    </row>
    <row r="3358" spans="1:8" x14ac:dyDescent="0.3">
      <c r="A3358">
        <v>283</v>
      </c>
      <c r="B3358" s="5">
        <v>43885</v>
      </c>
      <c r="C3358" t="s">
        <v>12</v>
      </c>
      <c r="D3358">
        <v>829</v>
      </c>
      <c r="E3358">
        <v>-2818</v>
      </c>
      <c r="F3358" s="5">
        <v>43862</v>
      </c>
      <c r="G3358">
        <v>-829</v>
      </c>
      <c r="H3358" t="s">
        <v>58</v>
      </c>
    </row>
    <row r="3359" spans="1:8" x14ac:dyDescent="0.3">
      <c r="A3359">
        <v>283</v>
      </c>
      <c r="B3359" s="5">
        <v>43895</v>
      </c>
      <c r="C3359" t="s">
        <v>11</v>
      </c>
      <c r="D3359">
        <v>606</v>
      </c>
      <c r="E3359">
        <v>-3424</v>
      </c>
      <c r="F3359" s="5">
        <v>43891</v>
      </c>
      <c r="G3359">
        <v>-606</v>
      </c>
      <c r="H3359" t="s">
        <v>58</v>
      </c>
    </row>
    <row r="3360" spans="1:8" x14ac:dyDescent="0.3">
      <c r="A3360">
        <v>283</v>
      </c>
      <c r="B3360" s="5">
        <v>43897</v>
      </c>
      <c r="C3360" t="s">
        <v>12</v>
      </c>
      <c r="D3360">
        <v>662</v>
      </c>
      <c r="E3360">
        <v>-4086</v>
      </c>
      <c r="F3360" s="5">
        <v>43891</v>
      </c>
      <c r="G3360">
        <v>-662</v>
      </c>
      <c r="H3360" t="s">
        <v>58</v>
      </c>
    </row>
    <row r="3361" spans="1:8" x14ac:dyDescent="0.3">
      <c r="A3361">
        <v>283</v>
      </c>
      <c r="B3361" s="5">
        <v>43899</v>
      </c>
      <c r="C3361" t="s">
        <v>11</v>
      </c>
      <c r="D3361">
        <v>121</v>
      </c>
      <c r="E3361">
        <v>-4207</v>
      </c>
      <c r="F3361" s="5">
        <v>43891</v>
      </c>
      <c r="G3361">
        <v>-121</v>
      </c>
      <c r="H3361" t="s">
        <v>58</v>
      </c>
    </row>
    <row r="3362" spans="1:8" x14ac:dyDescent="0.3">
      <c r="A3362">
        <v>283</v>
      </c>
      <c r="B3362" s="5">
        <v>43917</v>
      </c>
      <c r="C3362" t="s">
        <v>11</v>
      </c>
      <c r="D3362">
        <v>231</v>
      </c>
      <c r="E3362">
        <v>-4438</v>
      </c>
      <c r="F3362" s="5">
        <v>43891</v>
      </c>
      <c r="G3362">
        <v>-231</v>
      </c>
      <c r="H3362" t="s">
        <v>58</v>
      </c>
    </row>
    <row r="3363" spans="1:8" x14ac:dyDescent="0.3">
      <c r="A3363">
        <v>283</v>
      </c>
      <c r="B3363" s="5">
        <v>43919</v>
      </c>
      <c r="C3363" t="s">
        <v>11</v>
      </c>
      <c r="D3363">
        <v>629</v>
      </c>
      <c r="E3363">
        <v>-5067</v>
      </c>
      <c r="F3363" s="5">
        <v>43891</v>
      </c>
      <c r="G3363">
        <v>-629</v>
      </c>
      <c r="H3363" t="s">
        <v>58</v>
      </c>
    </row>
    <row r="3364" spans="1:8" x14ac:dyDescent="0.3">
      <c r="A3364">
        <v>283</v>
      </c>
      <c r="B3364" s="5">
        <v>43921</v>
      </c>
      <c r="C3364" t="s">
        <v>11</v>
      </c>
      <c r="D3364">
        <v>654</v>
      </c>
      <c r="E3364">
        <v>-5721</v>
      </c>
      <c r="F3364" s="5">
        <v>43891</v>
      </c>
      <c r="G3364">
        <v>-654</v>
      </c>
      <c r="H3364" t="s">
        <v>58</v>
      </c>
    </row>
    <row r="3365" spans="1:8" x14ac:dyDescent="0.3">
      <c r="A3365">
        <v>283</v>
      </c>
      <c r="B3365" s="5">
        <v>43922</v>
      </c>
      <c r="C3365" t="s">
        <v>11</v>
      </c>
      <c r="D3365">
        <v>601</v>
      </c>
      <c r="E3365">
        <v>-6322</v>
      </c>
      <c r="F3365" s="5">
        <v>43922</v>
      </c>
      <c r="G3365">
        <v>-601</v>
      </c>
      <c r="H3365" t="s">
        <v>58</v>
      </c>
    </row>
    <row r="3366" spans="1:8" x14ac:dyDescent="0.3">
      <c r="A3366">
        <v>283</v>
      </c>
      <c r="B3366" s="5">
        <v>43923</v>
      </c>
      <c r="C3366" t="s">
        <v>11</v>
      </c>
      <c r="D3366">
        <v>823</v>
      </c>
      <c r="E3366">
        <v>-7145</v>
      </c>
      <c r="F3366" s="5">
        <v>43922</v>
      </c>
      <c r="G3366">
        <v>-823</v>
      </c>
      <c r="H3366" t="s">
        <v>58</v>
      </c>
    </row>
    <row r="3367" spans="1:8" x14ac:dyDescent="0.3">
      <c r="A3367">
        <v>284</v>
      </c>
      <c r="B3367" s="5">
        <v>43860</v>
      </c>
      <c r="C3367" t="s">
        <v>10</v>
      </c>
      <c r="D3367">
        <v>257</v>
      </c>
      <c r="E3367">
        <v>257</v>
      </c>
      <c r="F3367" s="5">
        <v>43831</v>
      </c>
      <c r="G3367">
        <v>257</v>
      </c>
      <c r="H3367" t="s">
        <v>57</v>
      </c>
    </row>
    <row r="3368" spans="1:8" x14ac:dyDescent="0.3">
      <c r="A3368">
        <v>284</v>
      </c>
      <c r="B3368" s="5">
        <v>43863</v>
      </c>
      <c r="C3368" t="s">
        <v>12</v>
      </c>
      <c r="D3368">
        <v>324</v>
      </c>
      <c r="E3368">
        <v>-67</v>
      </c>
      <c r="F3368" s="5">
        <v>43862</v>
      </c>
      <c r="G3368">
        <v>-324</v>
      </c>
      <c r="H3368" t="s">
        <v>58</v>
      </c>
    </row>
    <row r="3369" spans="1:8" x14ac:dyDescent="0.3">
      <c r="A3369">
        <v>284</v>
      </c>
      <c r="B3369" s="5">
        <v>43863</v>
      </c>
      <c r="C3369" t="s">
        <v>10</v>
      </c>
      <c r="D3369">
        <v>862</v>
      </c>
      <c r="E3369">
        <v>795</v>
      </c>
      <c r="F3369" s="5">
        <v>43862</v>
      </c>
      <c r="G3369">
        <v>862</v>
      </c>
      <c r="H3369" t="s">
        <v>57</v>
      </c>
    </row>
    <row r="3370" spans="1:8" x14ac:dyDescent="0.3">
      <c r="A3370">
        <v>284</v>
      </c>
      <c r="B3370" s="5">
        <v>43866</v>
      </c>
      <c r="C3370" t="s">
        <v>11</v>
      </c>
      <c r="D3370">
        <v>687</v>
      </c>
      <c r="E3370">
        <v>108</v>
      </c>
      <c r="F3370" s="5">
        <v>43862</v>
      </c>
      <c r="G3370">
        <v>-687</v>
      </c>
      <c r="H3370" t="s">
        <v>57</v>
      </c>
    </row>
    <row r="3371" spans="1:8" x14ac:dyDescent="0.3">
      <c r="A3371">
        <v>284</v>
      </c>
      <c r="B3371" s="5">
        <v>43872</v>
      </c>
      <c r="C3371" t="s">
        <v>12</v>
      </c>
      <c r="D3371">
        <v>574</v>
      </c>
      <c r="E3371">
        <v>-466</v>
      </c>
      <c r="F3371" s="5">
        <v>43862</v>
      </c>
      <c r="G3371">
        <v>-574</v>
      </c>
      <c r="H3371" t="s">
        <v>58</v>
      </c>
    </row>
    <row r="3372" spans="1:8" x14ac:dyDescent="0.3">
      <c r="A3372">
        <v>284</v>
      </c>
      <c r="B3372" s="5">
        <v>43872</v>
      </c>
      <c r="C3372" t="s">
        <v>11</v>
      </c>
      <c r="D3372">
        <v>836</v>
      </c>
      <c r="E3372">
        <v>-1302</v>
      </c>
      <c r="F3372" s="5">
        <v>43862</v>
      </c>
      <c r="G3372">
        <v>-836</v>
      </c>
      <c r="H3372" t="s">
        <v>58</v>
      </c>
    </row>
    <row r="3373" spans="1:8" x14ac:dyDescent="0.3">
      <c r="A3373">
        <v>284</v>
      </c>
      <c r="B3373" s="5">
        <v>43872</v>
      </c>
      <c r="C3373" t="s">
        <v>11</v>
      </c>
      <c r="D3373">
        <v>210</v>
      </c>
      <c r="E3373">
        <v>-1512</v>
      </c>
      <c r="F3373" s="5">
        <v>43862</v>
      </c>
      <c r="G3373">
        <v>-210</v>
      </c>
      <c r="H3373" t="s">
        <v>58</v>
      </c>
    </row>
    <row r="3374" spans="1:8" x14ac:dyDescent="0.3">
      <c r="A3374">
        <v>284</v>
      </c>
      <c r="B3374" s="5">
        <v>43875</v>
      </c>
      <c r="C3374" t="s">
        <v>11</v>
      </c>
      <c r="D3374">
        <v>586</v>
      </c>
      <c r="E3374">
        <v>-2098</v>
      </c>
      <c r="F3374" s="5">
        <v>43862</v>
      </c>
      <c r="G3374">
        <v>-586</v>
      </c>
      <c r="H3374" t="s">
        <v>58</v>
      </c>
    </row>
    <row r="3375" spans="1:8" x14ac:dyDescent="0.3">
      <c r="A3375">
        <v>284</v>
      </c>
      <c r="B3375" s="5">
        <v>43879</v>
      </c>
      <c r="C3375" t="s">
        <v>12</v>
      </c>
      <c r="D3375">
        <v>500</v>
      </c>
      <c r="E3375">
        <v>-2598</v>
      </c>
      <c r="F3375" s="5">
        <v>43862</v>
      </c>
      <c r="G3375">
        <v>-500</v>
      </c>
      <c r="H3375" t="s">
        <v>58</v>
      </c>
    </row>
    <row r="3376" spans="1:8" x14ac:dyDescent="0.3">
      <c r="A3376">
        <v>284</v>
      </c>
      <c r="B3376" s="5">
        <v>43883</v>
      </c>
      <c r="C3376" t="s">
        <v>10</v>
      </c>
      <c r="D3376">
        <v>290</v>
      </c>
      <c r="E3376">
        <v>-2308</v>
      </c>
      <c r="F3376" s="5">
        <v>43862</v>
      </c>
      <c r="G3376">
        <v>290</v>
      </c>
      <c r="H3376" t="s">
        <v>58</v>
      </c>
    </row>
    <row r="3377" spans="1:8" x14ac:dyDescent="0.3">
      <c r="A3377">
        <v>284</v>
      </c>
      <c r="B3377" s="5">
        <v>43885</v>
      </c>
      <c r="C3377" t="s">
        <v>11</v>
      </c>
      <c r="D3377">
        <v>294</v>
      </c>
      <c r="E3377">
        <v>-2602</v>
      </c>
      <c r="F3377" s="5">
        <v>43862</v>
      </c>
      <c r="G3377">
        <v>-294</v>
      </c>
      <c r="H3377" t="s">
        <v>58</v>
      </c>
    </row>
    <row r="3378" spans="1:8" x14ac:dyDescent="0.3">
      <c r="A3378">
        <v>284</v>
      </c>
      <c r="B3378" s="5">
        <v>43894</v>
      </c>
      <c r="C3378" t="s">
        <v>11</v>
      </c>
      <c r="D3378">
        <v>852</v>
      </c>
      <c r="E3378">
        <v>-3454</v>
      </c>
      <c r="F3378" s="5">
        <v>43891</v>
      </c>
      <c r="G3378">
        <v>-852</v>
      </c>
      <c r="H3378" t="s">
        <v>58</v>
      </c>
    </row>
    <row r="3379" spans="1:8" x14ac:dyDescent="0.3">
      <c r="A3379">
        <v>284</v>
      </c>
      <c r="B3379" s="5">
        <v>43895</v>
      </c>
      <c r="C3379" t="s">
        <v>10</v>
      </c>
      <c r="D3379">
        <v>306</v>
      </c>
      <c r="E3379">
        <v>-3148</v>
      </c>
      <c r="F3379" s="5">
        <v>43891</v>
      </c>
      <c r="G3379">
        <v>306</v>
      </c>
      <c r="H3379" t="s">
        <v>58</v>
      </c>
    </row>
    <row r="3380" spans="1:8" x14ac:dyDescent="0.3">
      <c r="A3380">
        <v>284</v>
      </c>
      <c r="B3380" s="5">
        <v>43896</v>
      </c>
      <c r="C3380" t="s">
        <v>11</v>
      </c>
      <c r="D3380">
        <v>407</v>
      </c>
      <c r="E3380">
        <v>-3555</v>
      </c>
      <c r="F3380" s="5">
        <v>43891</v>
      </c>
      <c r="G3380">
        <v>-407</v>
      </c>
      <c r="H3380" t="s">
        <v>58</v>
      </c>
    </row>
    <row r="3381" spans="1:8" x14ac:dyDescent="0.3">
      <c r="A3381">
        <v>284</v>
      </c>
      <c r="B3381" s="5">
        <v>43896</v>
      </c>
      <c r="C3381" t="s">
        <v>11</v>
      </c>
      <c r="D3381">
        <v>16</v>
      </c>
      <c r="E3381">
        <v>-3571</v>
      </c>
      <c r="F3381" s="5">
        <v>43891</v>
      </c>
      <c r="G3381">
        <v>-16</v>
      </c>
      <c r="H3381" t="s">
        <v>58</v>
      </c>
    </row>
    <row r="3382" spans="1:8" x14ac:dyDescent="0.3">
      <c r="A3382">
        <v>284</v>
      </c>
      <c r="B3382" s="5">
        <v>43897</v>
      </c>
      <c r="C3382" t="s">
        <v>12</v>
      </c>
      <c r="D3382">
        <v>646</v>
      </c>
      <c r="E3382">
        <v>-4217</v>
      </c>
      <c r="F3382" s="5">
        <v>43891</v>
      </c>
      <c r="G3382">
        <v>-646</v>
      </c>
      <c r="H3382" t="s">
        <v>58</v>
      </c>
    </row>
    <row r="3383" spans="1:8" x14ac:dyDescent="0.3">
      <c r="A3383">
        <v>284</v>
      </c>
      <c r="B3383" s="5">
        <v>43900</v>
      </c>
      <c r="C3383" t="s">
        <v>10</v>
      </c>
      <c r="D3383">
        <v>679</v>
      </c>
      <c r="E3383">
        <v>-3538</v>
      </c>
      <c r="F3383" s="5">
        <v>43891</v>
      </c>
      <c r="G3383">
        <v>679</v>
      </c>
      <c r="H3383" t="s">
        <v>58</v>
      </c>
    </row>
    <row r="3384" spans="1:8" x14ac:dyDescent="0.3">
      <c r="A3384">
        <v>284</v>
      </c>
      <c r="B3384" s="5">
        <v>43917</v>
      </c>
      <c r="C3384" t="s">
        <v>10</v>
      </c>
      <c r="D3384">
        <v>712</v>
      </c>
      <c r="E3384">
        <v>-2826</v>
      </c>
      <c r="F3384" s="5">
        <v>43891</v>
      </c>
      <c r="G3384">
        <v>712</v>
      </c>
      <c r="H3384" t="s">
        <v>58</v>
      </c>
    </row>
    <row r="3385" spans="1:8" x14ac:dyDescent="0.3">
      <c r="A3385">
        <v>284</v>
      </c>
      <c r="B3385" s="5">
        <v>43922</v>
      </c>
      <c r="C3385" t="s">
        <v>11</v>
      </c>
      <c r="D3385">
        <v>903</v>
      </c>
      <c r="E3385">
        <v>-3729</v>
      </c>
      <c r="F3385" s="5">
        <v>43922</v>
      </c>
      <c r="G3385">
        <v>-903</v>
      </c>
      <c r="H3385" t="s">
        <v>58</v>
      </c>
    </row>
    <row r="3386" spans="1:8" x14ac:dyDescent="0.3">
      <c r="A3386">
        <v>284</v>
      </c>
      <c r="B3386" s="5">
        <v>43928</v>
      </c>
      <c r="C3386" t="s">
        <v>12</v>
      </c>
      <c r="D3386">
        <v>741</v>
      </c>
      <c r="E3386">
        <v>-4470</v>
      </c>
      <c r="F3386" s="5">
        <v>43922</v>
      </c>
      <c r="G3386">
        <v>-741</v>
      </c>
      <c r="H3386" t="s">
        <v>58</v>
      </c>
    </row>
    <row r="3387" spans="1:8" x14ac:dyDescent="0.3">
      <c r="A3387">
        <v>284</v>
      </c>
      <c r="B3387" s="5">
        <v>43931</v>
      </c>
      <c r="C3387" t="s">
        <v>10</v>
      </c>
      <c r="D3387">
        <v>356</v>
      </c>
      <c r="E3387">
        <v>-4114</v>
      </c>
      <c r="F3387" s="5">
        <v>43922</v>
      </c>
      <c r="G3387">
        <v>356</v>
      </c>
      <c r="H3387" t="s">
        <v>58</v>
      </c>
    </row>
    <row r="3388" spans="1:8" x14ac:dyDescent="0.3">
      <c r="A3388">
        <v>284</v>
      </c>
      <c r="B3388" s="5">
        <v>43944</v>
      </c>
      <c r="C3388" t="s">
        <v>10</v>
      </c>
      <c r="D3388">
        <v>735</v>
      </c>
      <c r="E3388">
        <v>-3379</v>
      </c>
      <c r="F3388" s="5">
        <v>43922</v>
      </c>
      <c r="G3388">
        <v>735</v>
      </c>
      <c r="H3388" t="s">
        <v>58</v>
      </c>
    </row>
    <row r="3389" spans="1:8" x14ac:dyDescent="0.3">
      <c r="A3389">
        <v>285</v>
      </c>
      <c r="B3389" s="5">
        <v>43852</v>
      </c>
      <c r="C3389" t="s">
        <v>10</v>
      </c>
      <c r="D3389">
        <v>360</v>
      </c>
      <c r="E3389">
        <v>360</v>
      </c>
      <c r="F3389" s="5">
        <v>43831</v>
      </c>
      <c r="G3389">
        <v>360</v>
      </c>
      <c r="H3389" t="s">
        <v>57</v>
      </c>
    </row>
    <row r="3390" spans="1:8" x14ac:dyDescent="0.3">
      <c r="A3390">
        <v>285</v>
      </c>
      <c r="B3390" s="5">
        <v>43872</v>
      </c>
      <c r="C3390" t="s">
        <v>10</v>
      </c>
      <c r="D3390">
        <v>998</v>
      </c>
      <c r="E3390">
        <v>1358</v>
      </c>
      <c r="F3390" s="5">
        <v>43862</v>
      </c>
      <c r="G3390">
        <v>998</v>
      </c>
      <c r="H3390" t="s">
        <v>57</v>
      </c>
    </row>
    <row r="3391" spans="1:8" x14ac:dyDescent="0.3">
      <c r="A3391">
        <v>285</v>
      </c>
      <c r="B3391" s="5">
        <v>43898</v>
      </c>
      <c r="C3391" t="s">
        <v>10</v>
      </c>
      <c r="D3391">
        <v>607</v>
      </c>
      <c r="E3391">
        <v>1965</v>
      </c>
      <c r="F3391" s="5">
        <v>43891</v>
      </c>
      <c r="G3391">
        <v>607</v>
      </c>
      <c r="H3391" t="s">
        <v>57</v>
      </c>
    </row>
    <row r="3392" spans="1:8" x14ac:dyDescent="0.3">
      <c r="A3392">
        <v>286</v>
      </c>
      <c r="B3392" s="5">
        <v>43832</v>
      </c>
      <c r="C3392" t="s">
        <v>10</v>
      </c>
      <c r="D3392">
        <v>177</v>
      </c>
      <c r="E3392">
        <v>177</v>
      </c>
      <c r="F3392" s="5">
        <v>43831</v>
      </c>
      <c r="G3392">
        <v>177</v>
      </c>
      <c r="H3392" t="s">
        <v>57</v>
      </c>
    </row>
    <row r="3393" spans="1:8" x14ac:dyDescent="0.3">
      <c r="A3393">
        <v>286</v>
      </c>
      <c r="B3393" s="5">
        <v>43868</v>
      </c>
      <c r="C3393" t="s">
        <v>11</v>
      </c>
      <c r="D3393">
        <v>6</v>
      </c>
      <c r="E3393">
        <v>171</v>
      </c>
      <c r="F3393" s="5">
        <v>43862</v>
      </c>
      <c r="G3393">
        <v>-6</v>
      </c>
      <c r="H3393" t="s">
        <v>57</v>
      </c>
    </row>
    <row r="3394" spans="1:8" x14ac:dyDescent="0.3">
      <c r="A3394">
        <v>287</v>
      </c>
      <c r="B3394" s="5">
        <v>43852</v>
      </c>
      <c r="C3394" t="s">
        <v>10</v>
      </c>
      <c r="D3394">
        <v>658</v>
      </c>
      <c r="E3394">
        <v>658</v>
      </c>
      <c r="F3394" s="5">
        <v>43831</v>
      </c>
      <c r="G3394">
        <v>658</v>
      </c>
      <c r="H3394" t="s">
        <v>57</v>
      </c>
    </row>
    <row r="3395" spans="1:8" x14ac:dyDescent="0.3">
      <c r="A3395">
        <v>287</v>
      </c>
      <c r="B3395" s="5">
        <v>43862</v>
      </c>
      <c r="C3395" t="s">
        <v>10</v>
      </c>
      <c r="D3395">
        <v>966</v>
      </c>
      <c r="E3395">
        <v>1624</v>
      </c>
      <c r="F3395" s="5">
        <v>43862</v>
      </c>
      <c r="G3395">
        <v>966</v>
      </c>
      <c r="H3395" t="s">
        <v>57</v>
      </c>
    </row>
    <row r="3396" spans="1:8" x14ac:dyDescent="0.3">
      <c r="A3396">
        <v>287</v>
      </c>
      <c r="B3396" s="5">
        <v>43866</v>
      </c>
      <c r="C3396" t="s">
        <v>11</v>
      </c>
      <c r="D3396">
        <v>227</v>
      </c>
      <c r="E3396">
        <v>1397</v>
      </c>
      <c r="F3396" s="5">
        <v>43862</v>
      </c>
      <c r="G3396">
        <v>-227</v>
      </c>
      <c r="H3396" t="s">
        <v>57</v>
      </c>
    </row>
    <row r="3397" spans="1:8" x14ac:dyDescent="0.3">
      <c r="A3397">
        <v>287</v>
      </c>
      <c r="B3397" s="5">
        <v>43887</v>
      </c>
      <c r="C3397" t="s">
        <v>11</v>
      </c>
      <c r="D3397">
        <v>568</v>
      </c>
      <c r="E3397">
        <v>829</v>
      </c>
      <c r="F3397" s="5">
        <v>43862</v>
      </c>
      <c r="G3397">
        <v>-568</v>
      </c>
      <c r="H3397" t="s">
        <v>57</v>
      </c>
    </row>
    <row r="3398" spans="1:8" x14ac:dyDescent="0.3">
      <c r="A3398">
        <v>287</v>
      </c>
      <c r="B3398" s="5">
        <v>43896</v>
      </c>
      <c r="C3398" t="s">
        <v>10</v>
      </c>
      <c r="D3398">
        <v>38</v>
      </c>
      <c r="E3398">
        <v>867</v>
      </c>
      <c r="F3398" s="5">
        <v>43891</v>
      </c>
      <c r="G3398">
        <v>38</v>
      </c>
      <c r="H3398" t="s">
        <v>57</v>
      </c>
    </row>
    <row r="3399" spans="1:8" x14ac:dyDescent="0.3">
      <c r="A3399">
        <v>287</v>
      </c>
      <c r="B3399" s="5">
        <v>43903</v>
      </c>
      <c r="C3399" t="s">
        <v>10</v>
      </c>
      <c r="D3399">
        <v>971</v>
      </c>
      <c r="E3399">
        <v>1838</v>
      </c>
      <c r="F3399" s="5">
        <v>43891</v>
      </c>
      <c r="G3399">
        <v>971</v>
      </c>
      <c r="H3399" t="s">
        <v>57</v>
      </c>
    </row>
    <row r="3400" spans="1:8" x14ac:dyDescent="0.3">
      <c r="A3400">
        <v>287</v>
      </c>
      <c r="B3400" s="5">
        <v>43904</v>
      </c>
      <c r="C3400" t="s">
        <v>10</v>
      </c>
      <c r="D3400">
        <v>518</v>
      </c>
      <c r="E3400">
        <v>2356</v>
      </c>
      <c r="F3400" s="5">
        <v>43891</v>
      </c>
      <c r="G3400">
        <v>518</v>
      </c>
      <c r="H3400" t="s">
        <v>57</v>
      </c>
    </row>
    <row r="3401" spans="1:8" x14ac:dyDescent="0.3">
      <c r="A3401">
        <v>287</v>
      </c>
      <c r="B3401" s="5">
        <v>43906</v>
      </c>
      <c r="C3401" t="s">
        <v>12</v>
      </c>
      <c r="D3401">
        <v>932</v>
      </c>
      <c r="E3401">
        <v>1424</v>
      </c>
      <c r="F3401" s="5">
        <v>43891</v>
      </c>
      <c r="G3401">
        <v>-932</v>
      </c>
      <c r="H3401" t="s">
        <v>57</v>
      </c>
    </row>
    <row r="3402" spans="1:8" x14ac:dyDescent="0.3">
      <c r="A3402">
        <v>287</v>
      </c>
      <c r="B3402" s="5">
        <v>43918</v>
      </c>
      <c r="C3402" t="s">
        <v>11</v>
      </c>
      <c r="D3402">
        <v>538</v>
      </c>
      <c r="E3402">
        <v>886</v>
      </c>
      <c r="F3402" s="5">
        <v>43891</v>
      </c>
      <c r="G3402">
        <v>-538</v>
      </c>
      <c r="H3402" t="s">
        <v>57</v>
      </c>
    </row>
    <row r="3403" spans="1:8" x14ac:dyDescent="0.3">
      <c r="A3403">
        <v>287</v>
      </c>
      <c r="B3403" s="5">
        <v>43930</v>
      </c>
      <c r="C3403" t="s">
        <v>11</v>
      </c>
      <c r="D3403">
        <v>816</v>
      </c>
      <c r="E3403">
        <v>70</v>
      </c>
      <c r="F3403" s="5">
        <v>43922</v>
      </c>
      <c r="G3403">
        <v>-816</v>
      </c>
      <c r="H3403" t="s">
        <v>57</v>
      </c>
    </row>
    <row r="3404" spans="1:8" x14ac:dyDescent="0.3">
      <c r="A3404">
        <v>287</v>
      </c>
      <c r="B3404" s="5">
        <v>43932</v>
      </c>
      <c r="C3404" t="s">
        <v>12</v>
      </c>
      <c r="D3404">
        <v>476</v>
      </c>
      <c r="E3404">
        <v>-406</v>
      </c>
      <c r="F3404" s="5">
        <v>43922</v>
      </c>
      <c r="G3404">
        <v>-476</v>
      </c>
      <c r="H3404" t="s">
        <v>58</v>
      </c>
    </row>
    <row r="3405" spans="1:8" x14ac:dyDescent="0.3">
      <c r="A3405">
        <v>288</v>
      </c>
      <c r="B3405" s="5">
        <v>43843</v>
      </c>
      <c r="C3405" t="s">
        <v>10</v>
      </c>
      <c r="D3405">
        <v>758</v>
      </c>
      <c r="E3405">
        <v>758</v>
      </c>
      <c r="F3405" s="5">
        <v>43831</v>
      </c>
      <c r="G3405">
        <v>758</v>
      </c>
      <c r="H3405" t="s">
        <v>57</v>
      </c>
    </row>
    <row r="3406" spans="1:8" x14ac:dyDescent="0.3">
      <c r="A3406">
        <v>288</v>
      </c>
      <c r="B3406" s="5">
        <v>43843</v>
      </c>
      <c r="C3406" t="s">
        <v>10</v>
      </c>
      <c r="D3406">
        <v>586</v>
      </c>
      <c r="E3406">
        <v>1344</v>
      </c>
      <c r="F3406" s="5">
        <v>43831</v>
      </c>
      <c r="G3406">
        <v>586</v>
      </c>
      <c r="H3406" t="s">
        <v>57</v>
      </c>
    </row>
    <row r="3407" spans="1:8" x14ac:dyDescent="0.3">
      <c r="A3407">
        <v>288</v>
      </c>
      <c r="B3407" s="5">
        <v>43849</v>
      </c>
      <c r="C3407" t="s">
        <v>11</v>
      </c>
      <c r="D3407">
        <v>571</v>
      </c>
      <c r="E3407">
        <v>773</v>
      </c>
      <c r="F3407" s="5">
        <v>43831</v>
      </c>
      <c r="G3407">
        <v>-571</v>
      </c>
      <c r="H3407" t="s">
        <v>57</v>
      </c>
    </row>
    <row r="3408" spans="1:8" x14ac:dyDescent="0.3">
      <c r="A3408">
        <v>288</v>
      </c>
      <c r="B3408" s="5">
        <v>43850</v>
      </c>
      <c r="C3408" t="s">
        <v>10</v>
      </c>
      <c r="D3408">
        <v>5</v>
      </c>
      <c r="E3408">
        <v>778</v>
      </c>
      <c r="F3408" s="5">
        <v>43831</v>
      </c>
      <c r="G3408">
        <v>5</v>
      </c>
      <c r="H3408" t="s">
        <v>57</v>
      </c>
    </row>
    <row r="3409" spans="1:8" x14ac:dyDescent="0.3">
      <c r="A3409">
        <v>288</v>
      </c>
      <c r="B3409" s="5">
        <v>43863</v>
      </c>
      <c r="C3409" t="s">
        <v>11</v>
      </c>
      <c r="D3409">
        <v>346</v>
      </c>
      <c r="E3409">
        <v>432</v>
      </c>
      <c r="F3409" s="5">
        <v>43862</v>
      </c>
      <c r="G3409">
        <v>-346</v>
      </c>
      <c r="H3409" t="s">
        <v>57</v>
      </c>
    </row>
    <row r="3410" spans="1:8" x14ac:dyDescent="0.3">
      <c r="A3410">
        <v>288</v>
      </c>
      <c r="B3410" s="5">
        <v>43875</v>
      </c>
      <c r="C3410" t="s">
        <v>10</v>
      </c>
      <c r="D3410">
        <v>87</v>
      </c>
      <c r="E3410">
        <v>519</v>
      </c>
      <c r="F3410" s="5">
        <v>43862</v>
      </c>
      <c r="G3410">
        <v>87</v>
      </c>
      <c r="H3410" t="s">
        <v>57</v>
      </c>
    </row>
    <row r="3411" spans="1:8" x14ac:dyDescent="0.3">
      <c r="A3411">
        <v>288</v>
      </c>
      <c r="B3411" s="5">
        <v>43883</v>
      </c>
      <c r="C3411" t="s">
        <v>11</v>
      </c>
      <c r="D3411">
        <v>677</v>
      </c>
      <c r="E3411">
        <v>-158</v>
      </c>
      <c r="F3411" s="5">
        <v>43862</v>
      </c>
      <c r="G3411">
        <v>-677</v>
      </c>
      <c r="H3411" t="s">
        <v>58</v>
      </c>
    </row>
    <row r="3412" spans="1:8" x14ac:dyDescent="0.3">
      <c r="A3412">
        <v>288</v>
      </c>
      <c r="B3412" s="5">
        <v>43890</v>
      </c>
      <c r="C3412" t="s">
        <v>11</v>
      </c>
      <c r="D3412">
        <v>709</v>
      </c>
      <c r="E3412">
        <v>-867</v>
      </c>
      <c r="F3412" s="5">
        <v>43862</v>
      </c>
      <c r="G3412">
        <v>-709</v>
      </c>
      <c r="H3412" t="s">
        <v>58</v>
      </c>
    </row>
    <row r="3413" spans="1:8" x14ac:dyDescent="0.3">
      <c r="A3413">
        <v>288</v>
      </c>
      <c r="B3413" s="5">
        <v>43916</v>
      </c>
      <c r="C3413" t="s">
        <v>10</v>
      </c>
      <c r="D3413">
        <v>352</v>
      </c>
      <c r="E3413">
        <v>-515</v>
      </c>
      <c r="F3413" s="5">
        <v>43891</v>
      </c>
      <c r="G3413">
        <v>352</v>
      </c>
      <c r="H3413" t="s">
        <v>58</v>
      </c>
    </row>
    <row r="3414" spans="1:8" x14ac:dyDescent="0.3">
      <c r="A3414">
        <v>289</v>
      </c>
      <c r="B3414" s="5">
        <v>43858</v>
      </c>
      <c r="C3414" t="s">
        <v>10</v>
      </c>
      <c r="D3414">
        <v>838</v>
      </c>
      <c r="E3414">
        <v>838</v>
      </c>
      <c r="F3414" s="5">
        <v>43831</v>
      </c>
      <c r="G3414">
        <v>838</v>
      </c>
      <c r="H3414" t="s">
        <v>57</v>
      </c>
    </row>
    <row r="3415" spans="1:8" x14ac:dyDescent="0.3">
      <c r="A3415">
        <v>289</v>
      </c>
      <c r="B3415" s="5">
        <v>43863</v>
      </c>
      <c r="C3415" t="s">
        <v>10</v>
      </c>
      <c r="D3415">
        <v>688</v>
      </c>
      <c r="E3415">
        <v>1526</v>
      </c>
      <c r="F3415" s="5">
        <v>43862</v>
      </c>
      <c r="G3415">
        <v>688</v>
      </c>
      <c r="H3415" t="s">
        <v>57</v>
      </c>
    </row>
    <row r="3416" spans="1:8" x14ac:dyDescent="0.3">
      <c r="A3416">
        <v>289</v>
      </c>
      <c r="B3416" s="5">
        <v>43872</v>
      </c>
      <c r="C3416" t="s">
        <v>12</v>
      </c>
      <c r="D3416">
        <v>382</v>
      </c>
      <c r="E3416">
        <v>1144</v>
      </c>
      <c r="F3416" s="5">
        <v>43862</v>
      </c>
      <c r="G3416">
        <v>-382</v>
      </c>
      <c r="H3416" t="s">
        <v>57</v>
      </c>
    </row>
    <row r="3417" spans="1:8" x14ac:dyDescent="0.3">
      <c r="A3417">
        <v>289</v>
      </c>
      <c r="B3417" s="5">
        <v>43875</v>
      </c>
      <c r="C3417" t="s">
        <v>11</v>
      </c>
      <c r="D3417">
        <v>939</v>
      </c>
      <c r="E3417">
        <v>205</v>
      </c>
      <c r="F3417" s="5">
        <v>43862</v>
      </c>
      <c r="G3417">
        <v>-939</v>
      </c>
      <c r="H3417" t="s">
        <v>57</v>
      </c>
    </row>
    <row r="3418" spans="1:8" x14ac:dyDescent="0.3">
      <c r="A3418">
        <v>289</v>
      </c>
      <c r="B3418" s="5">
        <v>43885</v>
      </c>
      <c r="C3418" t="s">
        <v>11</v>
      </c>
      <c r="D3418">
        <v>412</v>
      </c>
      <c r="E3418">
        <v>-207</v>
      </c>
      <c r="F3418" s="5">
        <v>43862</v>
      </c>
      <c r="G3418">
        <v>-412</v>
      </c>
      <c r="H3418" t="s">
        <v>58</v>
      </c>
    </row>
    <row r="3419" spans="1:8" x14ac:dyDescent="0.3">
      <c r="A3419">
        <v>289</v>
      </c>
      <c r="B3419" s="5">
        <v>43893</v>
      </c>
      <c r="C3419" t="s">
        <v>11</v>
      </c>
      <c r="D3419">
        <v>64</v>
      </c>
      <c r="E3419">
        <v>-271</v>
      </c>
      <c r="F3419" s="5">
        <v>43891</v>
      </c>
      <c r="G3419">
        <v>-64</v>
      </c>
      <c r="H3419" t="s">
        <v>58</v>
      </c>
    </row>
    <row r="3420" spans="1:8" x14ac:dyDescent="0.3">
      <c r="A3420">
        <v>289</v>
      </c>
      <c r="B3420" s="5">
        <v>43897</v>
      </c>
      <c r="C3420" t="s">
        <v>10</v>
      </c>
      <c r="D3420">
        <v>860</v>
      </c>
      <c r="E3420">
        <v>589</v>
      </c>
      <c r="F3420" s="5">
        <v>43891</v>
      </c>
      <c r="G3420">
        <v>860</v>
      </c>
      <c r="H3420" t="s">
        <v>57</v>
      </c>
    </row>
    <row r="3421" spans="1:8" x14ac:dyDescent="0.3">
      <c r="A3421">
        <v>289</v>
      </c>
      <c r="B3421" s="5">
        <v>43910</v>
      </c>
      <c r="C3421" t="s">
        <v>11</v>
      </c>
      <c r="D3421">
        <v>868</v>
      </c>
      <c r="E3421">
        <v>-279</v>
      </c>
      <c r="F3421" s="5">
        <v>43891</v>
      </c>
      <c r="G3421">
        <v>-868</v>
      </c>
      <c r="H3421" t="s">
        <v>58</v>
      </c>
    </row>
    <row r="3422" spans="1:8" x14ac:dyDescent="0.3">
      <c r="A3422">
        <v>289</v>
      </c>
      <c r="B3422" s="5">
        <v>43916</v>
      </c>
      <c r="C3422" t="s">
        <v>10</v>
      </c>
      <c r="D3422">
        <v>255</v>
      </c>
      <c r="E3422">
        <v>-24</v>
      </c>
      <c r="F3422" s="5">
        <v>43891</v>
      </c>
      <c r="G3422">
        <v>255</v>
      </c>
      <c r="H3422" t="s">
        <v>58</v>
      </c>
    </row>
    <row r="3423" spans="1:8" x14ac:dyDescent="0.3">
      <c r="A3423">
        <v>289</v>
      </c>
      <c r="B3423" s="5">
        <v>43921</v>
      </c>
      <c r="C3423" t="s">
        <v>12</v>
      </c>
      <c r="D3423">
        <v>910</v>
      </c>
      <c r="E3423">
        <v>-934</v>
      </c>
      <c r="F3423" s="5">
        <v>43891</v>
      </c>
      <c r="G3423">
        <v>-910</v>
      </c>
      <c r="H3423" t="s">
        <v>58</v>
      </c>
    </row>
    <row r="3424" spans="1:8" x14ac:dyDescent="0.3">
      <c r="A3424">
        <v>289</v>
      </c>
      <c r="B3424" s="5">
        <v>43936</v>
      </c>
      <c r="C3424" t="s">
        <v>12</v>
      </c>
      <c r="D3424">
        <v>453</v>
      </c>
      <c r="E3424">
        <v>-1387</v>
      </c>
      <c r="F3424" s="5">
        <v>43922</v>
      </c>
      <c r="G3424">
        <v>-453</v>
      </c>
      <c r="H3424" t="s">
        <v>58</v>
      </c>
    </row>
    <row r="3425" spans="1:8" x14ac:dyDescent="0.3">
      <c r="A3425">
        <v>289</v>
      </c>
      <c r="B3425" s="5">
        <v>43937</v>
      </c>
      <c r="C3425" t="s">
        <v>10</v>
      </c>
      <c r="D3425">
        <v>436</v>
      </c>
      <c r="E3425">
        <v>-951</v>
      </c>
      <c r="F3425" s="5">
        <v>43922</v>
      </c>
      <c r="G3425">
        <v>436</v>
      </c>
      <c r="H3425" t="s">
        <v>58</v>
      </c>
    </row>
    <row r="3426" spans="1:8" x14ac:dyDescent="0.3">
      <c r="A3426">
        <v>289</v>
      </c>
      <c r="B3426" s="5">
        <v>43945</v>
      </c>
      <c r="C3426" t="s">
        <v>12</v>
      </c>
      <c r="D3426">
        <v>511</v>
      </c>
      <c r="E3426">
        <v>-1462</v>
      </c>
      <c r="F3426" s="5">
        <v>43922</v>
      </c>
      <c r="G3426">
        <v>-511</v>
      </c>
      <c r="H3426" t="s">
        <v>58</v>
      </c>
    </row>
    <row r="3427" spans="1:8" x14ac:dyDescent="0.3">
      <c r="A3427">
        <v>289</v>
      </c>
      <c r="B3427" s="5">
        <v>43947</v>
      </c>
      <c r="C3427" t="s">
        <v>10</v>
      </c>
      <c r="D3427">
        <v>403</v>
      </c>
      <c r="E3427">
        <v>-1059</v>
      </c>
      <c r="F3427" s="5">
        <v>43922</v>
      </c>
      <c r="G3427">
        <v>403</v>
      </c>
      <c r="H3427" t="s">
        <v>58</v>
      </c>
    </row>
    <row r="3428" spans="1:8" x14ac:dyDescent="0.3">
      <c r="A3428">
        <v>290</v>
      </c>
      <c r="B3428" s="5">
        <v>43845</v>
      </c>
      <c r="C3428" t="s">
        <v>10</v>
      </c>
      <c r="D3428">
        <v>788</v>
      </c>
      <c r="E3428">
        <v>788</v>
      </c>
      <c r="F3428" s="5">
        <v>43831</v>
      </c>
      <c r="G3428">
        <v>788</v>
      </c>
      <c r="H3428" t="s">
        <v>57</v>
      </c>
    </row>
    <row r="3429" spans="1:8" x14ac:dyDescent="0.3">
      <c r="A3429">
        <v>290</v>
      </c>
      <c r="B3429" s="5">
        <v>43850</v>
      </c>
      <c r="C3429" t="s">
        <v>11</v>
      </c>
      <c r="D3429">
        <v>737</v>
      </c>
      <c r="E3429">
        <v>51</v>
      </c>
      <c r="F3429" s="5">
        <v>43831</v>
      </c>
      <c r="G3429">
        <v>-737</v>
      </c>
      <c r="H3429" t="s">
        <v>57</v>
      </c>
    </row>
    <row r="3430" spans="1:8" x14ac:dyDescent="0.3">
      <c r="A3430">
        <v>290</v>
      </c>
      <c r="B3430" s="5">
        <v>43851</v>
      </c>
      <c r="C3430" t="s">
        <v>10</v>
      </c>
      <c r="D3430">
        <v>734</v>
      </c>
      <c r="E3430">
        <v>785</v>
      </c>
      <c r="F3430" s="5">
        <v>43831</v>
      </c>
      <c r="G3430">
        <v>734</v>
      </c>
      <c r="H3430" t="s">
        <v>57</v>
      </c>
    </row>
    <row r="3431" spans="1:8" x14ac:dyDescent="0.3">
      <c r="A3431">
        <v>290</v>
      </c>
      <c r="B3431" s="5">
        <v>43862</v>
      </c>
      <c r="C3431" t="s">
        <v>10</v>
      </c>
      <c r="D3431">
        <v>858</v>
      </c>
      <c r="E3431">
        <v>1643</v>
      </c>
      <c r="F3431" s="5">
        <v>43862</v>
      </c>
      <c r="G3431">
        <v>858</v>
      </c>
      <c r="H3431" t="s">
        <v>57</v>
      </c>
    </row>
    <row r="3432" spans="1:8" x14ac:dyDescent="0.3">
      <c r="A3432">
        <v>290</v>
      </c>
      <c r="B3432" s="5">
        <v>43870</v>
      </c>
      <c r="C3432" t="s">
        <v>12</v>
      </c>
      <c r="D3432">
        <v>531</v>
      </c>
      <c r="E3432">
        <v>1112</v>
      </c>
      <c r="F3432" s="5">
        <v>43862</v>
      </c>
      <c r="G3432">
        <v>-531</v>
      </c>
      <c r="H3432" t="s">
        <v>57</v>
      </c>
    </row>
    <row r="3433" spans="1:8" x14ac:dyDescent="0.3">
      <c r="A3433">
        <v>290</v>
      </c>
      <c r="B3433" s="5">
        <v>43873</v>
      </c>
      <c r="C3433" t="s">
        <v>11</v>
      </c>
      <c r="D3433">
        <v>174</v>
      </c>
      <c r="E3433">
        <v>938</v>
      </c>
      <c r="F3433" s="5">
        <v>43862</v>
      </c>
      <c r="G3433">
        <v>-174</v>
      </c>
      <c r="H3433" t="s">
        <v>57</v>
      </c>
    </row>
    <row r="3434" spans="1:8" x14ac:dyDescent="0.3">
      <c r="A3434">
        <v>290</v>
      </c>
      <c r="B3434" s="5">
        <v>43876</v>
      </c>
      <c r="C3434" t="s">
        <v>10</v>
      </c>
      <c r="D3434">
        <v>698</v>
      </c>
      <c r="E3434">
        <v>1636</v>
      </c>
      <c r="F3434" s="5">
        <v>43862</v>
      </c>
      <c r="G3434">
        <v>698</v>
      </c>
      <c r="H3434" t="s">
        <v>57</v>
      </c>
    </row>
    <row r="3435" spans="1:8" x14ac:dyDescent="0.3">
      <c r="A3435">
        <v>290</v>
      </c>
      <c r="B3435" s="5">
        <v>43881</v>
      </c>
      <c r="C3435" t="s">
        <v>12</v>
      </c>
      <c r="D3435">
        <v>195</v>
      </c>
      <c r="E3435">
        <v>1441</v>
      </c>
      <c r="F3435" s="5">
        <v>43862</v>
      </c>
      <c r="G3435">
        <v>-195</v>
      </c>
      <c r="H3435" t="s">
        <v>57</v>
      </c>
    </row>
    <row r="3436" spans="1:8" x14ac:dyDescent="0.3">
      <c r="A3436">
        <v>290</v>
      </c>
      <c r="B3436" s="5">
        <v>43887</v>
      </c>
      <c r="C3436" t="s">
        <v>12</v>
      </c>
      <c r="D3436">
        <v>302</v>
      </c>
      <c r="E3436">
        <v>1139</v>
      </c>
      <c r="F3436" s="5">
        <v>43862</v>
      </c>
      <c r="G3436">
        <v>-302</v>
      </c>
      <c r="H3436" t="s">
        <v>57</v>
      </c>
    </row>
    <row r="3437" spans="1:8" x14ac:dyDescent="0.3">
      <c r="A3437">
        <v>290</v>
      </c>
      <c r="B3437" s="5">
        <v>43910</v>
      </c>
      <c r="C3437" t="s">
        <v>10</v>
      </c>
      <c r="D3437">
        <v>922</v>
      </c>
      <c r="E3437">
        <v>2061</v>
      </c>
      <c r="F3437" s="5">
        <v>43891</v>
      </c>
      <c r="G3437">
        <v>922</v>
      </c>
      <c r="H3437" t="s">
        <v>57</v>
      </c>
    </row>
    <row r="3438" spans="1:8" x14ac:dyDescent="0.3">
      <c r="A3438">
        <v>290</v>
      </c>
      <c r="B3438" s="5">
        <v>43926</v>
      </c>
      <c r="C3438" t="s">
        <v>11</v>
      </c>
      <c r="D3438">
        <v>871</v>
      </c>
      <c r="E3438">
        <v>1190</v>
      </c>
      <c r="F3438" s="5">
        <v>43922</v>
      </c>
      <c r="G3438">
        <v>-871</v>
      </c>
      <c r="H3438" t="s">
        <v>57</v>
      </c>
    </row>
    <row r="3439" spans="1:8" x14ac:dyDescent="0.3">
      <c r="A3439">
        <v>290</v>
      </c>
      <c r="B3439" s="5">
        <v>43926</v>
      </c>
      <c r="C3439" t="s">
        <v>11</v>
      </c>
      <c r="D3439">
        <v>583</v>
      </c>
      <c r="E3439">
        <v>607</v>
      </c>
      <c r="F3439" s="5">
        <v>43922</v>
      </c>
      <c r="G3439">
        <v>-583</v>
      </c>
      <c r="H3439" t="s">
        <v>57</v>
      </c>
    </row>
    <row r="3440" spans="1:8" x14ac:dyDescent="0.3">
      <c r="A3440">
        <v>290</v>
      </c>
      <c r="B3440" s="5">
        <v>43930</v>
      </c>
      <c r="C3440" t="s">
        <v>11</v>
      </c>
      <c r="D3440">
        <v>586</v>
      </c>
      <c r="E3440">
        <v>21</v>
      </c>
      <c r="F3440" s="5">
        <v>43922</v>
      </c>
      <c r="G3440">
        <v>-586</v>
      </c>
      <c r="H3440" t="s">
        <v>57</v>
      </c>
    </row>
    <row r="3441" spans="1:8" x14ac:dyDescent="0.3">
      <c r="A3441">
        <v>291</v>
      </c>
      <c r="B3441" s="5">
        <v>43850</v>
      </c>
      <c r="C3441" t="s">
        <v>10</v>
      </c>
      <c r="D3441">
        <v>930</v>
      </c>
      <c r="E3441">
        <v>930</v>
      </c>
      <c r="F3441" s="5">
        <v>43831</v>
      </c>
      <c r="G3441">
        <v>930</v>
      </c>
      <c r="H3441" t="s">
        <v>57</v>
      </c>
    </row>
    <row r="3442" spans="1:8" x14ac:dyDescent="0.3">
      <c r="A3442">
        <v>291</v>
      </c>
      <c r="B3442" s="5">
        <v>43922</v>
      </c>
      <c r="C3442" t="s">
        <v>10</v>
      </c>
      <c r="D3442">
        <v>8</v>
      </c>
      <c r="E3442">
        <v>938</v>
      </c>
      <c r="F3442" s="5">
        <v>43922</v>
      </c>
      <c r="G3442">
        <v>8</v>
      </c>
      <c r="H3442" t="s">
        <v>57</v>
      </c>
    </row>
    <row r="3443" spans="1:8" x14ac:dyDescent="0.3">
      <c r="A3443">
        <v>291</v>
      </c>
      <c r="B3443" s="5">
        <v>43931</v>
      </c>
      <c r="C3443" t="s">
        <v>11</v>
      </c>
      <c r="D3443">
        <v>697</v>
      </c>
      <c r="E3443">
        <v>241</v>
      </c>
      <c r="F3443" s="5">
        <v>43922</v>
      </c>
      <c r="G3443">
        <v>-697</v>
      </c>
      <c r="H3443" t="s">
        <v>57</v>
      </c>
    </row>
    <row r="3444" spans="1:8" x14ac:dyDescent="0.3">
      <c r="A3444">
        <v>291</v>
      </c>
      <c r="B3444" s="5">
        <v>43935</v>
      </c>
      <c r="C3444" t="s">
        <v>10</v>
      </c>
      <c r="D3444">
        <v>290</v>
      </c>
      <c r="E3444">
        <v>531</v>
      </c>
      <c r="F3444" s="5">
        <v>43922</v>
      </c>
      <c r="G3444">
        <v>290</v>
      </c>
      <c r="H3444" t="s">
        <v>57</v>
      </c>
    </row>
    <row r="3445" spans="1:8" x14ac:dyDescent="0.3">
      <c r="A3445">
        <v>292</v>
      </c>
      <c r="B3445" s="5">
        <v>43840</v>
      </c>
      <c r="C3445" t="s">
        <v>10</v>
      </c>
      <c r="D3445">
        <v>136</v>
      </c>
      <c r="E3445">
        <v>136</v>
      </c>
      <c r="F3445" s="5">
        <v>43831</v>
      </c>
      <c r="G3445">
        <v>136</v>
      </c>
      <c r="H3445" t="s">
        <v>57</v>
      </c>
    </row>
    <row r="3446" spans="1:8" x14ac:dyDescent="0.3">
      <c r="A3446">
        <v>292</v>
      </c>
      <c r="B3446" s="5">
        <v>43843</v>
      </c>
      <c r="C3446" t="s">
        <v>12</v>
      </c>
      <c r="D3446">
        <v>289</v>
      </c>
      <c r="E3446">
        <v>-153</v>
      </c>
      <c r="F3446" s="5">
        <v>43831</v>
      </c>
      <c r="G3446">
        <v>-289</v>
      </c>
      <c r="H3446" t="s">
        <v>58</v>
      </c>
    </row>
    <row r="3447" spans="1:8" x14ac:dyDescent="0.3">
      <c r="A3447">
        <v>292</v>
      </c>
      <c r="B3447" s="5">
        <v>43845</v>
      </c>
      <c r="C3447" t="s">
        <v>12</v>
      </c>
      <c r="D3447">
        <v>909</v>
      </c>
      <c r="E3447">
        <v>-1062</v>
      </c>
      <c r="F3447" s="5">
        <v>43831</v>
      </c>
      <c r="G3447">
        <v>-909</v>
      </c>
      <c r="H3447" t="s">
        <v>58</v>
      </c>
    </row>
    <row r="3448" spans="1:8" x14ac:dyDescent="0.3">
      <c r="A3448">
        <v>292</v>
      </c>
      <c r="B3448" s="5">
        <v>43849</v>
      </c>
      <c r="C3448" t="s">
        <v>11</v>
      </c>
      <c r="D3448">
        <v>44</v>
      </c>
      <c r="E3448">
        <v>-1106</v>
      </c>
      <c r="F3448" s="5">
        <v>43831</v>
      </c>
      <c r="G3448">
        <v>-44</v>
      </c>
      <c r="H3448" t="s">
        <v>58</v>
      </c>
    </row>
    <row r="3449" spans="1:8" x14ac:dyDescent="0.3">
      <c r="A3449">
        <v>292</v>
      </c>
      <c r="B3449" s="5">
        <v>43849</v>
      </c>
      <c r="C3449" t="s">
        <v>12</v>
      </c>
      <c r="D3449">
        <v>973</v>
      </c>
      <c r="E3449">
        <v>-2079</v>
      </c>
      <c r="F3449" s="5">
        <v>43831</v>
      </c>
      <c r="G3449">
        <v>-973</v>
      </c>
      <c r="H3449" t="s">
        <v>58</v>
      </c>
    </row>
    <row r="3450" spans="1:8" x14ac:dyDescent="0.3">
      <c r="A3450">
        <v>292</v>
      </c>
      <c r="B3450" s="5">
        <v>43856</v>
      </c>
      <c r="C3450" t="s">
        <v>11</v>
      </c>
      <c r="D3450">
        <v>760</v>
      </c>
      <c r="E3450">
        <v>-2839</v>
      </c>
      <c r="F3450" s="5">
        <v>43831</v>
      </c>
      <c r="G3450">
        <v>-760</v>
      </c>
      <c r="H3450" t="s">
        <v>58</v>
      </c>
    </row>
    <row r="3451" spans="1:8" x14ac:dyDescent="0.3">
      <c r="A3451">
        <v>292</v>
      </c>
      <c r="B3451" s="5">
        <v>43858</v>
      </c>
      <c r="C3451" t="s">
        <v>12</v>
      </c>
      <c r="D3451">
        <v>218</v>
      </c>
      <c r="E3451">
        <v>-3057</v>
      </c>
      <c r="F3451" s="5">
        <v>43831</v>
      </c>
      <c r="G3451">
        <v>-218</v>
      </c>
      <c r="H3451" t="s">
        <v>58</v>
      </c>
    </row>
    <row r="3452" spans="1:8" x14ac:dyDescent="0.3">
      <c r="A3452">
        <v>292</v>
      </c>
      <c r="B3452" s="5">
        <v>43860</v>
      </c>
      <c r="C3452" t="s">
        <v>11</v>
      </c>
      <c r="D3452">
        <v>401</v>
      </c>
      <c r="E3452">
        <v>-3458</v>
      </c>
      <c r="F3452" s="5">
        <v>43831</v>
      </c>
      <c r="G3452">
        <v>-401</v>
      </c>
      <c r="H3452" t="s">
        <v>58</v>
      </c>
    </row>
    <row r="3453" spans="1:8" x14ac:dyDescent="0.3">
      <c r="A3453">
        <v>292</v>
      </c>
      <c r="B3453" s="5">
        <v>43874</v>
      </c>
      <c r="C3453" t="s">
        <v>12</v>
      </c>
      <c r="D3453">
        <v>999</v>
      </c>
      <c r="E3453">
        <v>-4457</v>
      </c>
      <c r="F3453" s="5">
        <v>43862</v>
      </c>
      <c r="G3453">
        <v>-999</v>
      </c>
      <c r="H3453" t="s">
        <v>58</v>
      </c>
    </row>
    <row r="3454" spans="1:8" x14ac:dyDescent="0.3">
      <c r="A3454">
        <v>292</v>
      </c>
      <c r="B3454" s="5">
        <v>43884</v>
      </c>
      <c r="C3454" t="s">
        <v>11</v>
      </c>
      <c r="D3454">
        <v>46</v>
      </c>
      <c r="E3454">
        <v>-4503</v>
      </c>
      <c r="F3454" s="5">
        <v>43862</v>
      </c>
      <c r="G3454">
        <v>-46</v>
      </c>
      <c r="H3454" t="s">
        <v>58</v>
      </c>
    </row>
    <row r="3455" spans="1:8" x14ac:dyDescent="0.3">
      <c r="A3455">
        <v>292</v>
      </c>
      <c r="B3455" s="5">
        <v>43888</v>
      </c>
      <c r="C3455" t="s">
        <v>12</v>
      </c>
      <c r="D3455">
        <v>143</v>
      </c>
      <c r="E3455">
        <v>-4646</v>
      </c>
      <c r="F3455" s="5">
        <v>43862</v>
      </c>
      <c r="G3455">
        <v>-143</v>
      </c>
      <c r="H3455" t="s">
        <v>58</v>
      </c>
    </row>
    <row r="3456" spans="1:8" x14ac:dyDescent="0.3">
      <c r="A3456">
        <v>292</v>
      </c>
      <c r="B3456" s="5">
        <v>43892</v>
      </c>
      <c r="C3456" t="s">
        <v>12</v>
      </c>
      <c r="D3456">
        <v>270</v>
      </c>
      <c r="E3456">
        <v>-4916</v>
      </c>
      <c r="F3456" s="5">
        <v>43891</v>
      </c>
      <c r="G3456">
        <v>-270</v>
      </c>
      <c r="H3456" t="s">
        <v>58</v>
      </c>
    </row>
    <row r="3457" spans="1:8" x14ac:dyDescent="0.3">
      <c r="A3457">
        <v>292</v>
      </c>
      <c r="B3457" s="5">
        <v>43897</v>
      </c>
      <c r="C3457" t="s">
        <v>10</v>
      </c>
      <c r="D3457">
        <v>343</v>
      </c>
      <c r="E3457">
        <v>-4573</v>
      </c>
      <c r="F3457" s="5">
        <v>43891</v>
      </c>
      <c r="G3457">
        <v>343</v>
      </c>
      <c r="H3457" t="s">
        <v>58</v>
      </c>
    </row>
    <row r="3458" spans="1:8" x14ac:dyDescent="0.3">
      <c r="A3458">
        <v>292</v>
      </c>
      <c r="B3458" s="5">
        <v>43904</v>
      </c>
      <c r="C3458" t="s">
        <v>10</v>
      </c>
      <c r="D3458">
        <v>503</v>
      </c>
      <c r="E3458">
        <v>-4070</v>
      </c>
      <c r="F3458" s="5">
        <v>43891</v>
      </c>
      <c r="G3458">
        <v>503</v>
      </c>
      <c r="H3458" t="s">
        <v>58</v>
      </c>
    </row>
    <row r="3459" spans="1:8" x14ac:dyDescent="0.3">
      <c r="A3459">
        <v>292</v>
      </c>
      <c r="B3459" s="5">
        <v>43913</v>
      </c>
      <c r="C3459" t="s">
        <v>12</v>
      </c>
      <c r="D3459">
        <v>690</v>
      </c>
      <c r="E3459">
        <v>-4760</v>
      </c>
      <c r="F3459" s="5">
        <v>43891</v>
      </c>
      <c r="G3459">
        <v>-690</v>
      </c>
      <c r="H3459" t="s">
        <v>58</v>
      </c>
    </row>
    <row r="3460" spans="1:8" x14ac:dyDescent="0.3">
      <c r="A3460">
        <v>293</v>
      </c>
      <c r="B3460" s="5">
        <v>43845</v>
      </c>
      <c r="C3460" t="s">
        <v>10</v>
      </c>
      <c r="D3460">
        <v>541</v>
      </c>
      <c r="E3460">
        <v>541</v>
      </c>
      <c r="F3460" s="5">
        <v>43831</v>
      </c>
      <c r="G3460">
        <v>541</v>
      </c>
      <c r="H3460" t="s">
        <v>57</v>
      </c>
    </row>
    <row r="3461" spans="1:8" x14ac:dyDescent="0.3">
      <c r="A3461">
        <v>293</v>
      </c>
      <c r="B3461" s="5">
        <v>43859</v>
      </c>
      <c r="C3461" t="s">
        <v>12</v>
      </c>
      <c r="D3461">
        <v>27</v>
      </c>
      <c r="E3461">
        <v>514</v>
      </c>
      <c r="F3461" s="5">
        <v>43831</v>
      </c>
      <c r="G3461">
        <v>-27</v>
      </c>
      <c r="H3461" t="s">
        <v>57</v>
      </c>
    </row>
    <row r="3462" spans="1:8" x14ac:dyDescent="0.3">
      <c r="A3462">
        <v>293</v>
      </c>
      <c r="B3462" s="5">
        <v>43860</v>
      </c>
      <c r="C3462" t="s">
        <v>11</v>
      </c>
      <c r="D3462">
        <v>993</v>
      </c>
      <c r="E3462">
        <v>-479</v>
      </c>
      <c r="F3462" s="5">
        <v>43831</v>
      </c>
      <c r="G3462">
        <v>-993</v>
      </c>
      <c r="H3462" t="s">
        <v>58</v>
      </c>
    </row>
    <row r="3463" spans="1:8" x14ac:dyDescent="0.3">
      <c r="A3463">
        <v>293</v>
      </c>
      <c r="B3463" s="5">
        <v>43861</v>
      </c>
      <c r="C3463" t="s">
        <v>10</v>
      </c>
      <c r="D3463">
        <v>96</v>
      </c>
      <c r="E3463">
        <v>-383</v>
      </c>
      <c r="F3463" s="5">
        <v>43831</v>
      </c>
      <c r="G3463">
        <v>96</v>
      </c>
      <c r="H3463" t="s">
        <v>58</v>
      </c>
    </row>
    <row r="3464" spans="1:8" x14ac:dyDescent="0.3">
      <c r="A3464">
        <v>293</v>
      </c>
      <c r="B3464" s="5">
        <v>43865</v>
      </c>
      <c r="C3464" t="s">
        <v>10</v>
      </c>
      <c r="D3464">
        <v>48</v>
      </c>
      <c r="E3464">
        <v>-335</v>
      </c>
      <c r="F3464" s="5">
        <v>43862</v>
      </c>
      <c r="G3464">
        <v>48</v>
      </c>
      <c r="H3464" t="s">
        <v>58</v>
      </c>
    </row>
    <row r="3465" spans="1:8" x14ac:dyDescent="0.3">
      <c r="A3465">
        <v>293</v>
      </c>
      <c r="B3465" s="5">
        <v>43865</v>
      </c>
      <c r="C3465" t="s">
        <v>12</v>
      </c>
      <c r="D3465">
        <v>966</v>
      </c>
      <c r="E3465">
        <v>-1301</v>
      </c>
      <c r="F3465" s="5">
        <v>43862</v>
      </c>
      <c r="G3465">
        <v>-966</v>
      </c>
      <c r="H3465" t="s">
        <v>58</v>
      </c>
    </row>
    <row r="3466" spans="1:8" x14ac:dyDescent="0.3">
      <c r="A3466">
        <v>293</v>
      </c>
      <c r="B3466" s="5">
        <v>43874</v>
      </c>
      <c r="C3466" t="s">
        <v>12</v>
      </c>
      <c r="D3466">
        <v>464</v>
      </c>
      <c r="E3466">
        <v>-1765</v>
      </c>
      <c r="F3466" s="5">
        <v>43862</v>
      </c>
      <c r="G3466">
        <v>-464</v>
      </c>
      <c r="H3466" t="s">
        <v>58</v>
      </c>
    </row>
    <row r="3467" spans="1:8" x14ac:dyDescent="0.3">
      <c r="A3467">
        <v>293</v>
      </c>
      <c r="B3467" s="5">
        <v>43877</v>
      </c>
      <c r="C3467" t="s">
        <v>12</v>
      </c>
      <c r="D3467">
        <v>804</v>
      </c>
      <c r="E3467">
        <v>-2569</v>
      </c>
      <c r="F3467" s="5">
        <v>43862</v>
      </c>
      <c r="G3467">
        <v>-804</v>
      </c>
      <c r="H3467" t="s">
        <v>58</v>
      </c>
    </row>
    <row r="3468" spans="1:8" x14ac:dyDescent="0.3">
      <c r="A3468">
        <v>293</v>
      </c>
      <c r="B3468" s="5">
        <v>43885</v>
      </c>
      <c r="C3468" t="s">
        <v>10</v>
      </c>
      <c r="D3468">
        <v>756</v>
      </c>
      <c r="E3468">
        <v>-1813</v>
      </c>
      <c r="F3468" s="5">
        <v>43862</v>
      </c>
      <c r="G3468">
        <v>756</v>
      </c>
      <c r="H3468" t="s">
        <v>58</v>
      </c>
    </row>
    <row r="3469" spans="1:8" x14ac:dyDescent="0.3">
      <c r="A3469">
        <v>293</v>
      </c>
      <c r="B3469" s="5">
        <v>43890</v>
      </c>
      <c r="C3469" t="s">
        <v>10</v>
      </c>
      <c r="D3469">
        <v>361</v>
      </c>
      <c r="E3469">
        <v>-1452</v>
      </c>
      <c r="F3469" s="5">
        <v>43862</v>
      </c>
      <c r="G3469">
        <v>361</v>
      </c>
      <c r="H3469" t="s">
        <v>58</v>
      </c>
    </row>
    <row r="3470" spans="1:8" x14ac:dyDescent="0.3">
      <c r="A3470">
        <v>293</v>
      </c>
      <c r="B3470" s="5">
        <v>43893</v>
      </c>
      <c r="C3470" t="s">
        <v>10</v>
      </c>
      <c r="D3470">
        <v>270</v>
      </c>
      <c r="E3470">
        <v>-1182</v>
      </c>
      <c r="F3470" s="5">
        <v>43891</v>
      </c>
      <c r="G3470">
        <v>270</v>
      </c>
      <c r="H3470" t="s">
        <v>58</v>
      </c>
    </row>
    <row r="3471" spans="1:8" x14ac:dyDescent="0.3">
      <c r="A3471">
        <v>293</v>
      </c>
      <c r="B3471" s="5">
        <v>43918</v>
      </c>
      <c r="C3471" t="s">
        <v>12</v>
      </c>
      <c r="D3471">
        <v>588</v>
      </c>
      <c r="E3471">
        <v>-1770</v>
      </c>
      <c r="F3471" s="5">
        <v>43891</v>
      </c>
      <c r="G3471">
        <v>-588</v>
      </c>
      <c r="H3471" t="s">
        <v>58</v>
      </c>
    </row>
    <row r="3472" spans="1:8" x14ac:dyDescent="0.3">
      <c r="A3472">
        <v>293</v>
      </c>
      <c r="B3472" s="5">
        <v>43930</v>
      </c>
      <c r="C3472" t="s">
        <v>11</v>
      </c>
      <c r="D3472">
        <v>730</v>
      </c>
      <c r="E3472">
        <v>-2500</v>
      </c>
      <c r="F3472" s="5">
        <v>43922</v>
      </c>
      <c r="G3472">
        <v>-730</v>
      </c>
      <c r="H3472" t="s">
        <v>58</v>
      </c>
    </row>
    <row r="3473" spans="1:8" x14ac:dyDescent="0.3">
      <c r="A3473">
        <v>294</v>
      </c>
      <c r="B3473" s="5">
        <v>43842</v>
      </c>
      <c r="C3473" t="s">
        <v>10</v>
      </c>
      <c r="D3473">
        <v>307</v>
      </c>
      <c r="E3473">
        <v>307</v>
      </c>
      <c r="F3473" s="5">
        <v>43831</v>
      </c>
      <c r="G3473">
        <v>307</v>
      </c>
      <c r="H3473" t="s">
        <v>57</v>
      </c>
    </row>
    <row r="3474" spans="1:8" x14ac:dyDescent="0.3">
      <c r="A3474">
        <v>294</v>
      </c>
      <c r="B3474" s="5">
        <v>43872</v>
      </c>
      <c r="C3474" t="s">
        <v>12</v>
      </c>
      <c r="D3474">
        <v>79</v>
      </c>
      <c r="E3474">
        <v>228</v>
      </c>
      <c r="F3474" s="5">
        <v>43862</v>
      </c>
      <c r="G3474">
        <v>-79</v>
      </c>
      <c r="H3474" t="s">
        <v>57</v>
      </c>
    </row>
    <row r="3475" spans="1:8" x14ac:dyDescent="0.3">
      <c r="A3475">
        <v>294</v>
      </c>
      <c r="B3475" s="5">
        <v>43875</v>
      </c>
      <c r="C3475" t="s">
        <v>12</v>
      </c>
      <c r="D3475">
        <v>411</v>
      </c>
      <c r="E3475">
        <v>-183</v>
      </c>
      <c r="F3475" s="5">
        <v>43862</v>
      </c>
      <c r="G3475">
        <v>-411</v>
      </c>
      <c r="H3475" t="s">
        <v>58</v>
      </c>
    </row>
    <row r="3476" spans="1:8" x14ac:dyDescent="0.3">
      <c r="A3476">
        <v>294</v>
      </c>
      <c r="B3476" s="5">
        <v>43878</v>
      </c>
      <c r="C3476" t="s">
        <v>10</v>
      </c>
      <c r="D3476">
        <v>854</v>
      </c>
      <c r="E3476">
        <v>671</v>
      </c>
      <c r="F3476" s="5">
        <v>43862</v>
      </c>
      <c r="G3476">
        <v>854</v>
      </c>
      <c r="H3476" t="s">
        <v>57</v>
      </c>
    </row>
    <row r="3477" spans="1:8" x14ac:dyDescent="0.3">
      <c r="A3477">
        <v>294</v>
      </c>
      <c r="B3477" s="5">
        <v>43879</v>
      </c>
      <c r="C3477" t="s">
        <v>10</v>
      </c>
      <c r="D3477">
        <v>886</v>
      </c>
      <c r="E3477">
        <v>1557</v>
      </c>
      <c r="F3477" s="5">
        <v>43862</v>
      </c>
      <c r="G3477">
        <v>886</v>
      </c>
      <c r="H3477" t="s">
        <v>57</v>
      </c>
    </row>
    <row r="3478" spans="1:8" x14ac:dyDescent="0.3">
      <c r="A3478">
        <v>294</v>
      </c>
      <c r="B3478" s="5">
        <v>43912</v>
      </c>
      <c r="C3478" t="s">
        <v>12</v>
      </c>
      <c r="D3478">
        <v>850</v>
      </c>
      <c r="E3478">
        <v>707</v>
      </c>
      <c r="F3478" s="5">
        <v>43891</v>
      </c>
      <c r="G3478">
        <v>-850</v>
      </c>
      <c r="H3478" t="s">
        <v>57</v>
      </c>
    </row>
    <row r="3479" spans="1:8" x14ac:dyDescent="0.3">
      <c r="A3479">
        <v>295</v>
      </c>
      <c r="B3479" s="5">
        <v>43856</v>
      </c>
      <c r="C3479" t="s">
        <v>10</v>
      </c>
      <c r="D3479">
        <v>636</v>
      </c>
      <c r="E3479">
        <v>636</v>
      </c>
      <c r="F3479" s="5">
        <v>43831</v>
      </c>
      <c r="G3479">
        <v>636</v>
      </c>
      <c r="H3479" t="s">
        <v>57</v>
      </c>
    </row>
    <row r="3480" spans="1:8" x14ac:dyDescent="0.3">
      <c r="A3480">
        <v>295</v>
      </c>
      <c r="B3480" s="5">
        <v>43864</v>
      </c>
      <c r="C3480" t="s">
        <v>10</v>
      </c>
      <c r="D3480">
        <v>708</v>
      </c>
      <c r="E3480">
        <v>1344</v>
      </c>
      <c r="F3480" s="5">
        <v>43862</v>
      </c>
      <c r="G3480">
        <v>708</v>
      </c>
      <c r="H3480" t="s">
        <v>57</v>
      </c>
    </row>
    <row r="3481" spans="1:8" x14ac:dyDescent="0.3">
      <c r="A3481">
        <v>295</v>
      </c>
      <c r="B3481" s="5">
        <v>43876</v>
      </c>
      <c r="C3481" t="s">
        <v>11</v>
      </c>
      <c r="D3481">
        <v>848</v>
      </c>
      <c r="E3481">
        <v>496</v>
      </c>
      <c r="F3481" s="5">
        <v>43862</v>
      </c>
      <c r="G3481">
        <v>-848</v>
      </c>
      <c r="H3481" t="s">
        <v>57</v>
      </c>
    </row>
    <row r="3482" spans="1:8" x14ac:dyDescent="0.3">
      <c r="A3482">
        <v>295</v>
      </c>
      <c r="B3482" s="5">
        <v>43896</v>
      </c>
      <c r="C3482" t="s">
        <v>10</v>
      </c>
      <c r="D3482">
        <v>987</v>
      </c>
      <c r="E3482">
        <v>1483</v>
      </c>
      <c r="F3482" s="5">
        <v>43891</v>
      </c>
      <c r="G3482">
        <v>987</v>
      </c>
      <c r="H3482" t="s">
        <v>57</v>
      </c>
    </row>
    <row r="3483" spans="1:8" x14ac:dyDescent="0.3">
      <c r="A3483">
        <v>295</v>
      </c>
      <c r="B3483" s="5">
        <v>43911</v>
      </c>
      <c r="C3483" t="s">
        <v>11</v>
      </c>
      <c r="D3483">
        <v>53</v>
      </c>
      <c r="E3483">
        <v>1430</v>
      </c>
      <c r="F3483" s="5">
        <v>43891</v>
      </c>
      <c r="G3483">
        <v>-53</v>
      </c>
      <c r="H3483" t="s">
        <v>57</v>
      </c>
    </row>
    <row r="3484" spans="1:8" x14ac:dyDescent="0.3">
      <c r="A3484">
        <v>295</v>
      </c>
      <c r="B3484" s="5">
        <v>43924</v>
      </c>
      <c r="C3484" t="s">
        <v>11</v>
      </c>
      <c r="D3484">
        <v>475</v>
      </c>
      <c r="E3484">
        <v>955</v>
      </c>
      <c r="F3484" s="5">
        <v>43922</v>
      </c>
      <c r="G3484">
        <v>-475</v>
      </c>
      <c r="H3484" t="s">
        <v>57</v>
      </c>
    </row>
    <row r="3485" spans="1:8" x14ac:dyDescent="0.3">
      <c r="A3485">
        <v>295</v>
      </c>
      <c r="B3485" s="5">
        <v>43936</v>
      </c>
      <c r="C3485" t="s">
        <v>11</v>
      </c>
      <c r="D3485">
        <v>474</v>
      </c>
      <c r="E3485">
        <v>481</v>
      </c>
      <c r="F3485" s="5">
        <v>43922</v>
      </c>
      <c r="G3485">
        <v>-474</v>
      </c>
      <c r="H3485" t="s">
        <v>57</v>
      </c>
    </row>
    <row r="3486" spans="1:8" x14ac:dyDescent="0.3">
      <c r="A3486">
        <v>295</v>
      </c>
      <c r="B3486" s="5">
        <v>43939</v>
      </c>
      <c r="C3486" t="s">
        <v>11</v>
      </c>
      <c r="D3486">
        <v>658</v>
      </c>
      <c r="E3486">
        <v>-177</v>
      </c>
      <c r="F3486" s="5">
        <v>43922</v>
      </c>
      <c r="G3486">
        <v>-658</v>
      </c>
      <c r="H3486" t="s">
        <v>58</v>
      </c>
    </row>
    <row r="3487" spans="1:8" x14ac:dyDescent="0.3">
      <c r="A3487">
        <v>296</v>
      </c>
      <c r="B3487" s="5">
        <v>43843</v>
      </c>
      <c r="C3487" t="s">
        <v>10</v>
      </c>
      <c r="D3487">
        <v>846</v>
      </c>
      <c r="E3487">
        <v>846</v>
      </c>
      <c r="F3487" s="5">
        <v>43831</v>
      </c>
      <c r="G3487">
        <v>846</v>
      </c>
      <c r="H3487" t="s">
        <v>57</v>
      </c>
    </row>
    <row r="3488" spans="1:8" x14ac:dyDescent="0.3">
      <c r="A3488">
        <v>296</v>
      </c>
      <c r="B3488" s="5">
        <v>43857</v>
      </c>
      <c r="C3488" t="s">
        <v>12</v>
      </c>
      <c r="D3488">
        <v>655</v>
      </c>
      <c r="E3488">
        <v>191</v>
      </c>
      <c r="F3488" s="5">
        <v>43831</v>
      </c>
      <c r="G3488">
        <v>-655</v>
      </c>
      <c r="H3488" t="s">
        <v>57</v>
      </c>
    </row>
    <row r="3489" spans="1:8" x14ac:dyDescent="0.3">
      <c r="A3489">
        <v>296</v>
      </c>
      <c r="B3489" s="5">
        <v>43862</v>
      </c>
      <c r="C3489" t="s">
        <v>10</v>
      </c>
      <c r="D3489">
        <v>983</v>
      </c>
      <c r="E3489">
        <v>1174</v>
      </c>
      <c r="F3489" s="5">
        <v>43862</v>
      </c>
      <c r="G3489">
        <v>983</v>
      </c>
      <c r="H3489" t="s">
        <v>57</v>
      </c>
    </row>
    <row r="3490" spans="1:8" x14ac:dyDescent="0.3">
      <c r="A3490">
        <v>296</v>
      </c>
      <c r="B3490" s="5">
        <v>43872</v>
      </c>
      <c r="C3490" t="s">
        <v>11</v>
      </c>
      <c r="D3490">
        <v>110</v>
      </c>
      <c r="E3490">
        <v>1064</v>
      </c>
      <c r="F3490" s="5">
        <v>43862</v>
      </c>
      <c r="G3490">
        <v>-110</v>
      </c>
      <c r="H3490" t="s">
        <v>57</v>
      </c>
    </row>
    <row r="3491" spans="1:8" x14ac:dyDescent="0.3">
      <c r="A3491">
        <v>296</v>
      </c>
      <c r="B3491" s="5">
        <v>43878</v>
      </c>
      <c r="C3491" t="s">
        <v>12</v>
      </c>
      <c r="D3491">
        <v>774</v>
      </c>
      <c r="E3491">
        <v>290</v>
      </c>
      <c r="F3491" s="5">
        <v>43862</v>
      </c>
      <c r="G3491">
        <v>-774</v>
      </c>
      <c r="H3491" t="s">
        <v>57</v>
      </c>
    </row>
    <row r="3492" spans="1:8" x14ac:dyDescent="0.3">
      <c r="A3492">
        <v>296</v>
      </c>
      <c r="B3492" s="5">
        <v>43883</v>
      </c>
      <c r="C3492" t="s">
        <v>10</v>
      </c>
      <c r="D3492">
        <v>733</v>
      </c>
      <c r="E3492">
        <v>1023</v>
      </c>
      <c r="F3492" s="5">
        <v>43862</v>
      </c>
      <c r="G3492">
        <v>733</v>
      </c>
      <c r="H3492" t="s">
        <v>57</v>
      </c>
    </row>
    <row r="3493" spans="1:8" x14ac:dyDescent="0.3">
      <c r="A3493">
        <v>296</v>
      </c>
      <c r="B3493" s="5">
        <v>43884</v>
      </c>
      <c r="C3493" t="s">
        <v>12</v>
      </c>
      <c r="D3493">
        <v>212</v>
      </c>
      <c r="E3493">
        <v>811</v>
      </c>
      <c r="F3493" s="5">
        <v>43862</v>
      </c>
      <c r="G3493">
        <v>-212</v>
      </c>
      <c r="H3493" t="s">
        <v>57</v>
      </c>
    </row>
    <row r="3494" spans="1:8" x14ac:dyDescent="0.3">
      <c r="A3494">
        <v>296</v>
      </c>
      <c r="B3494" s="5">
        <v>43890</v>
      </c>
      <c r="C3494" t="s">
        <v>10</v>
      </c>
      <c r="D3494">
        <v>341</v>
      </c>
      <c r="E3494">
        <v>1152</v>
      </c>
      <c r="F3494" s="5">
        <v>43862</v>
      </c>
      <c r="G3494">
        <v>341</v>
      </c>
      <c r="H3494" t="s">
        <v>57</v>
      </c>
    </row>
    <row r="3495" spans="1:8" x14ac:dyDescent="0.3">
      <c r="A3495">
        <v>296</v>
      </c>
      <c r="B3495" s="5">
        <v>43901</v>
      </c>
      <c r="C3495" t="s">
        <v>10</v>
      </c>
      <c r="D3495">
        <v>317</v>
      </c>
      <c r="E3495">
        <v>1469</v>
      </c>
      <c r="F3495" s="5">
        <v>43891</v>
      </c>
      <c r="G3495">
        <v>317</v>
      </c>
      <c r="H3495" t="s">
        <v>57</v>
      </c>
    </row>
    <row r="3496" spans="1:8" x14ac:dyDescent="0.3">
      <c r="A3496">
        <v>296</v>
      </c>
      <c r="B3496" s="5">
        <v>43906</v>
      </c>
      <c r="C3496" t="s">
        <v>12</v>
      </c>
      <c r="D3496">
        <v>160</v>
      </c>
      <c r="E3496">
        <v>1309</v>
      </c>
      <c r="F3496" s="5">
        <v>43891</v>
      </c>
      <c r="G3496">
        <v>-160</v>
      </c>
      <c r="H3496" t="s">
        <v>57</v>
      </c>
    </row>
    <row r="3497" spans="1:8" x14ac:dyDescent="0.3">
      <c r="A3497">
        <v>296</v>
      </c>
      <c r="B3497" s="5">
        <v>43926</v>
      </c>
      <c r="C3497" t="s">
        <v>10</v>
      </c>
      <c r="D3497">
        <v>911</v>
      </c>
      <c r="E3497">
        <v>2220</v>
      </c>
      <c r="F3497" s="5">
        <v>43922</v>
      </c>
      <c r="G3497">
        <v>911</v>
      </c>
      <c r="H3497" t="s">
        <v>57</v>
      </c>
    </row>
    <row r="3498" spans="1:8" x14ac:dyDescent="0.3">
      <c r="A3498">
        <v>297</v>
      </c>
      <c r="B3498" s="5">
        <v>43855</v>
      </c>
      <c r="C3498" t="s">
        <v>10</v>
      </c>
      <c r="D3498">
        <v>469</v>
      </c>
      <c r="E3498">
        <v>469</v>
      </c>
      <c r="F3498" s="5">
        <v>43831</v>
      </c>
      <c r="G3498">
        <v>469</v>
      </c>
      <c r="H3498" t="s">
        <v>57</v>
      </c>
    </row>
    <row r="3499" spans="1:8" x14ac:dyDescent="0.3">
      <c r="A3499">
        <v>297</v>
      </c>
      <c r="B3499" s="5">
        <v>43856</v>
      </c>
      <c r="C3499" t="s">
        <v>10</v>
      </c>
      <c r="D3499">
        <v>973</v>
      </c>
      <c r="E3499">
        <v>1442</v>
      </c>
      <c r="F3499" s="5">
        <v>43831</v>
      </c>
      <c r="G3499">
        <v>973</v>
      </c>
      <c r="H3499" t="s">
        <v>57</v>
      </c>
    </row>
    <row r="3500" spans="1:8" x14ac:dyDescent="0.3">
      <c r="A3500">
        <v>297</v>
      </c>
      <c r="B3500" s="5">
        <v>43859</v>
      </c>
      <c r="C3500" t="s">
        <v>11</v>
      </c>
      <c r="D3500">
        <v>53</v>
      </c>
      <c r="E3500">
        <v>1389</v>
      </c>
      <c r="F3500" s="5">
        <v>43831</v>
      </c>
      <c r="G3500">
        <v>-53</v>
      </c>
      <c r="H3500" t="s">
        <v>57</v>
      </c>
    </row>
    <row r="3501" spans="1:8" x14ac:dyDescent="0.3">
      <c r="A3501">
        <v>297</v>
      </c>
      <c r="B3501" s="5">
        <v>43860</v>
      </c>
      <c r="C3501" t="s">
        <v>10</v>
      </c>
      <c r="D3501">
        <v>47</v>
      </c>
      <c r="E3501">
        <v>1436</v>
      </c>
      <c r="F3501" s="5">
        <v>43831</v>
      </c>
      <c r="G3501">
        <v>47</v>
      </c>
      <c r="H3501" t="s">
        <v>57</v>
      </c>
    </row>
    <row r="3502" spans="1:8" x14ac:dyDescent="0.3">
      <c r="A3502">
        <v>297</v>
      </c>
      <c r="B3502" s="5">
        <v>43860</v>
      </c>
      <c r="C3502" t="s">
        <v>12</v>
      </c>
      <c r="D3502">
        <v>886</v>
      </c>
      <c r="E3502">
        <v>550</v>
      </c>
      <c r="F3502" s="5">
        <v>43831</v>
      </c>
      <c r="G3502">
        <v>-886</v>
      </c>
      <c r="H3502" t="s">
        <v>57</v>
      </c>
    </row>
    <row r="3503" spans="1:8" x14ac:dyDescent="0.3">
      <c r="A3503">
        <v>297</v>
      </c>
      <c r="B3503" s="5">
        <v>43863</v>
      </c>
      <c r="C3503" t="s">
        <v>10</v>
      </c>
      <c r="D3503">
        <v>809</v>
      </c>
      <c r="E3503">
        <v>1359</v>
      </c>
      <c r="F3503" s="5">
        <v>43862</v>
      </c>
      <c r="G3503">
        <v>809</v>
      </c>
      <c r="H3503" t="s">
        <v>57</v>
      </c>
    </row>
    <row r="3504" spans="1:8" x14ac:dyDescent="0.3">
      <c r="A3504">
        <v>297</v>
      </c>
      <c r="B3504" s="5">
        <v>43878</v>
      </c>
      <c r="C3504" t="s">
        <v>12</v>
      </c>
      <c r="D3504">
        <v>151</v>
      </c>
      <c r="E3504">
        <v>1208</v>
      </c>
      <c r="F3504" s="5">
        <v>43862</v>
      </c>
      <c r="G3504">
        <v>-151</v>
      </c>
      <c r="H3504" t="s">
        <v>57</v>
      </c>
    </row>
    <row r="3505" spans="1:8" x14ac:dyDescent="0.3">
      <c r="A3505">
        <v>297</v>
      </c>
      <c r="B3505" s="5">
        <v>43879</v>
      </c>
      <c r="C3505" t="s">
        <v>12</v>
      </c>
      <c r="D3505">
        <v>382</v>
      </c>
      <c r="E3505">
        <v>826</v>
      </c>
      <c r="F3505" s="5">
        <v>43862</v>
      </c>
      <c r="G3505">
        <v>-382</v>
      </c>
      <c r="H3505" t="s">
        <v>57</v>
      </c>
    </row>
    <row r="3506" spans="1:8" x14ac:dyDescent="0.3">
      <c r="A3506">
        <v>297</v>
      </c>
      <c r="B3506" s="5">
        <v>43881</v>
      </c>
      <c r="C3506" t="s">
        <v>11</v>
      </c>
      <c r="D3506">
        <v>741</v>
      </c>
      <c r="E3506">
        <v>85</v>
      </c>
      <c r="F3506" s="5">
        <v>43862</v>
      </c>
      <c r="G3506">
        <v>-741</v>
      </c>
      <c r="H3506" t="s">
        <v>57</v>
      </c>
    </row>
    <row r="3507" spans="1:8" x14ac:dyDescent="0.3">
      <c r="A3507">
        <v>297</v>
      </c>
      <c r="B3507" s="5">
        <v>43882</v>
      </c>
      <c r="C3507" t="s">
        <v>10</v>
      </c>
      <c r="D3507">
        <v>613</v>
      </c>
      <c r="E3507">
        <v>698</v>
      </c>
      <c r="F3507" s="5">
        <v>43862</v>
      </c>
      <c r="G3507">
        <v>613</v>
      </c>
      <c r="H3507" t="s">
        <v>57</v>
      </c>
    </row>
    <row r="3508" spans="1:8" x14ac:dyDescent="0.3">
      <c r="A3508">
        <v>297</v>
      </c>
      <c r="B3508" s="5">
        <v>43889</v>
      </c>
      <c r="C3508" t="s">
        <v>12</v>
      </c>
      <c r="D3508">
        <v>113</v>
      </c>
      <c r="E3508">
        <v>585</v>
      </c>
      <c r="F3508" s="5">
        <v>43862</v>
      </c>
      <c r="G3508">
        <v>-113</v>
      </c>
      <c r="H3508" t="s">
        <v>57</v>
      </c>
    </row>
    <row r="3509" spans="1:8" x14ac:dyDescent="0.3">
      <c r="A3509">
        <v>297</v>
      </c>
      <c r="B3509" s="5">
        <v>43897</v>
      </c>
      <c r="C3509" t="s">
        <v>10</v>
      </c>
      <c r="D3509">
        <v>822</v>
      </c>
      <c r="E3509">
        <v>1407</v>
      </c>
      <c r="F3509" s="5">
        <v>43891</v>
      </c>
      <c r="G3509">
        <v>822</v>
      </c>
      <c r="H3509" t="s">
        <v>57</v>
      </c>
    </row>
    <row r="3510" spans="1:8" x14ac:dyDescent="0.3">
      <c r="A3510">
        <v>297</v>
      </c>
      <c r="B3510" s="5">
        <v>43904</v>
      </c>
      <c r="C3510" t="s">
        <v>11</v>
      </c>
      <c r="D3510">
        <v>149</v>
      </c>
      <c r="E3510">
        <v>1258</v>
      </c>
      <c r="F3510" s="5">
        <v>43891</v>
      </c>
      <c r="G3510">
        <v>-149</v>
      </c>
      <c r="H3510" t="s">
        <v>57</v>
      </c>
    </row>
    <row r="3511" spans="1:8" x14ac:dyDescent="0.3">
      <c r="A3511">
        <v>297</v>
      </c>
      <c r="B3511" s="5">
        <v>43910</v>
      </c>
      <c r="C3511" t="s">
        <v>11</v>
      </c>
      <c r="D3511">
        <v>391</v>
      </c>
      <c r="E3511">
        <v>867</v>
      </c>
      <c r="F3511" s="5">
        <v>43891</v>
      </c>
      <c r="G3511">
        <v>-391</v>
      </c>
      <c r="H3511" t="s">
        <v>57</v>
      </c>
    </row>
    <row r="3512" spans="1:8" x14ac:dyDescent="0.3">
      <c r="A3512">
        <v>297</v>
      </c>
      <c r="B3512" s="5">
        <v>43912</v>
      </c>
      <c r="C3512" t="s">
        <v>11</v>
      </c>
      <c r="D3512">
        <v>377</v>
      </c>
      <c r="E3512">
        <v>490</v>
      </c>
      <c r="F3512" s="5">
        <v>43891</v>
      </c>
      <c r="G3512">
        <v>-377</v>
      </c>
      <c r="H3512" t="s">
        <v>57</v>
      </c>
    </row>
    <row r="3513" spans="1:8" x14ac:dyDescent="0.3">
      <c r="A3513">
        <v>297</v>
      </c>
      <c r="B3513" s="5">
        <v>43920</v>
      </c>
      <c r="C3513" t="s">
        <v>10</v>
      </c>
      <c r="D3513">
        <v>514</v>
      </c>
      <c r="E3513">
        <v>1004</v>
      </c>
      <c r="F3513" s="5">
        <v>43891</v>
      </c>
      <c r="G3513">
        <v>514</v>
      </c>
      <c r="H3513" t="s">
        <v>57</v>
      </c>
    </row>
    <row r="3514" spans="1:8" x14ac:dyDescent="0.3">
      <c r="A3514">
        <v>297</v>
      </c>
      <c r="B3514" s="5">
        <v>43938</v>
      </c>
      <c r="C3514" t="s">
        <v>10</v>
      </c>
      <c r="D3514">
        <v>278</v>
      </c>
      <c r="E3514">
        <v>1282</v>
      </c>
      <c r="F3514" s="5">
        <v>43922</v>
      </c>
      <c r="G3514">
        <v>278</v>
      </c>
      <c r="H3514" t="s">
        <v>57</v>
      </c>
    </row>
    <row r="3515" spans="1:8" x14ac:dyDescent="0.3">
      <c r="A3515">
        <v>298</v>
      </c>
      <c r="B3515" s="5">
        <v>43846</v>
      </c>
      <c r="C3515" t="s">
        <v>10</v>
      </c>
      <c r="D3515">
        <v>36</v>
      </c>
      <c r="E3515">
        <v>36</v>
      </c>
      <c r="F3515" s="5">
        <v>43831</v>
      </c>
      <c r="G3515">
        <v>36</v>
      </c>
      <c r="H3515" t="s">
        <v>57</v>
      </c>
    </row>
    <row r="3516" spans="1:8" x14ac:dyDescent="0.3">
      <c r="A3516">
        <v>298</v>
      </c>
      <c r="B3516" s="5">
        <v>43851</v>
      </c>
      <c r="C3516" t="s">
        <v>12</v>
      </c>
      <c r="D3516">
        <v>572</v>
      </c>
      <c r="E3516">
        <v>-536</v>
      </c>
      <c r="F3516" s="5">
        <v>43831</v>
      </c>
      <c r="G3516">
        <v>-572</v>
      </c>
      <c r="H3516" t="s">
        <v>58</v>
      </c>
    </row>
    <row r="3517" spans="1:8" x14ac:dyDescent="0.3">
      <c r="A3517">
        <v>298</v>
      </c>
      <c r="B3517" s="5">
        <v>43853</v>
      </c>
      <c r="C3517" t="s">
        <v>11</v>
      </c>
      <c r="D3517">
        <v>74</v>
      </c>
      <c r="E3517">
        <v>-610</v>
      </c>
      <c r="F3517" s="5">
        <v>43831</v>
      </c>
      <c r="G3517">
        <v>-74</v>
      </c>
      <c r="H3517" t="s">
        <v>58</v>
      </c>
    </row>
    <row r="3518" spans="1:8" x14ac:dyDescent="0.3">
      <c r="A3518">
        <v>298</v>
      </c>
      <c r="B3518" s="5">
        <v>43853</v>
      </c>
      <c r="C3518" t="s">
        <v>10</v>
      </c>
      <c r="D3518">
        <v>335</v>
      </c>
      <c r="E3518">
        <v>-275</v>
      </c>
      <c r="F3518" s="5">
        <v>43831</v>
      </c>
      <c r="G3518">
        <v>335</v>
      </c>
      <c r="H3518" t="s">
        <v>58</v>
      </c>
    </row>
    <row r="3519" spans="1:8" x14ac:dyDescent="0.3">
      <c r="A3519">
        <v>298</v>
      </c>
      <c r="B3519" s="5">
        <v>43855</v>
      </c>
      <c r="C3519" t="s">
        <v>10</v>
      </c>
      <c r="D3519">
        <v>938</v>
      </c>
      <c r="E3519">
        <v>663</v>
      </c>
      <c r="F3519" s="5">
        <v>43831</v>
      </c>
      <c r="G3519">
        <v>938</v>
      </c>
      <c r="H3519" t="s">
        <v>57</v>
      </c>
    </row>
    <row r="3520" spans="1:8" x14ac:dyDescent="0.3">
      <c r="A3520">
        <v>298</v>
      </c>
      <c r="B3520" s="5">
        <v>43856</v>
      </c>
      <c r="C3520" t="s">
        <v>11</v>
      </c>
      <c r="D3520">
        <v>385</v>
      </c>
      <c r="E3520">
        <v>278</v>
      </c>
      <c r="F3520" s="5">
        <v>43831</v>
      </c>
      <c r="G3520">
        <v>-385</v>
      </c>
      <c r="H3520" t="s">
        <v>57</v>
      </c>
    </row>
    <row r="3521" spans="1:8" x14ac:dyDescent="0.3">
      <c r="A3521">
        <v>298</v>
      </c>
      <c r="B3521" s="5">
        <v>43864</v>
      </c>
      <c r="C3521" t="s">
        <v>10</v>
      </c>
      <c r="D3521">
        <v>286</v>
      </c>
      <c r="E3521">
        <v>564</v>
      </c>
      <c r="F3521" s="5">
        <v>43862</v>
      </c>
      <c r="G3521">
        <v>286</v>
      </c>
      <c r="H3521" t="s">
        <v>57</v>
      </c>
    </row>
    <row r="3522" spans="1:8" x14ac:dyDescent="0.3">
      <c r="A3522">
        <v>298</v>
      </c>
      <c r="B3522" s="5">
        <v>43864</v>
      </c>
      <c r="C3522" t="s">
        <v>11</v>
      </c>
      <c r="D3522">
        <v>897</v>
      </c>
      <c r="E3522">
        <v>-333</v>
      </c>
      <c r="F3522" s="5">
        <v>43862</v>
      </c>
      <c r="G3522">
        <v>-897</v>
      </c>
      <c r="H3522" t="s">
        <v>58</v>
      </c>
    </row>
    <row r="3523" spans="1:8" x14ac:dyDescent="0.3">
      <c r="A3523">
        <v>298</v>
      </c>
      <c r="B3523" s="5">
        <v>43870</v>
      </c>
      <c r="C3523" t="s">
        <v>10</v>
      </c>
      <c r="D3523">
        <v>39</v>
      </c>
      <c r="E3523">
        <v>-294</v>
      </c>
      <c r="F3523" s="5">
        <v>43862</v>
      </c>
      <c r="G3523">
        <v>39</v>
      </c>
      <c r="H3523" t="s">
        <v>58</v>
      </c>
    </row>
    <row r="3524" spans="1:8" x14ac:dyDescent="0.3">
      <c r="A3524">
        <v>298</v>
      </c>
      <c r="B3524" s="5">
        <v>43875</v>
      </c>
      <c r="C3524" t="s">
        <v>10</v>
      </c>
      <c r="D3524">
        <v>465</v>
      </c>
      <c r="E3524">
        <v>171</v>
      </c>
      <c r="F3524" s="5">
        <v>43862</v>
      </c>
      <c r="G3524">
        <v>465</v>
      </c>
      <c r="H3524" t="s">
        <v>57</v>
      </c>
    </row>
    <row r="3525" spans="1:8" x14ac:dyDescent="0.3">
      <c r="A3525">
        <v>298</v>
      </c>
      <c r="B3525" s="5">
        <v>43884</v>
      </c>
      <c r="C3525" t="s">
        <v>12</v>
      </c>
      <c r="D3525">
        <v>910</v>
      </c>
      <c r="E3525">
        <v>-739</v>
      </c>
      <c r="F3525" s="5">
        <v>43862</v>
      </c>
      <c r="G3525">
        <v>-910</v>
      </c>
      <c r="H3525" t="s">
        <v>58</v>
      </c>
    </row>
    <row r="3526" spans="1:8" x14ac:dyDescent="0.3">
      <c r="A3526">
        <v>298</v>
      </c>
      <c r="B3526" s="5">
        <v>43884</v>
      </c>
      <c r="C3526" t="s">
        <v>10</v>
      </c>
      <c r="D3526">
        <v>407</v>
      </c>
      <c r="E3526">
        <v>-332</v>
      </c>
      <c r="F3526" s="5">
        <v>43862</v>
      </c>
      <c r="G3526">
        <v>407</v>
      </c>
      <c r="H3526" t="s">
        <v>58</v>
      </c>
    </row>
    <row r="3527" spans="1:8" x14ac:dyDescent="0.3">
      <c r="A3527">
        <v>298</v>
      </c>
      <c r="B3527" s="5">
        <v>43886</v>
      </c>
      <c r="C3527" t="s">
        <v>12</v>
      </c>
      <c r="D3527">
        <v>669</v>
      </c>
      <c r="E3527">
        <v>-1001</v>
      </c>
      <c r="F3527" s="5">
        <v>43862</v>
      </c>
      <c r="G3527">
        <v>-669</v>
      </c>
      <c r="H3527" t="s">
        <v>58</v>
      </c>
    </row>
    <row r="3528" spans="1:8" x14ac:dyDescent="0.3">
      <c r="A3528">
        <v>298</v>
      </c>
      <c r="B3528" s="5">
        <v>43887</v>
      </c>
      <c r="C3528" t="s">
        <v>10</v>
      </c>
      <c r="D3528">
        <v>421</v>
      </c>
      <c r="E3528">
        <v>-580</v>
      </c>
      <c r="F3528" s="5">
        <v>43862</v>
      </c>
      <c r="G3528">
        <v>421</v>
      </c>
      <c r="H3528" t="s">
        <v>58</v>
      </c>
    </row>
    <row r="3529" spans="1:8" x14ac:dyDescent="0.3">
      <c r="A3529">
        <v>298</v>
      </c>
      <c r="B3529" s="5">
        <v>43891</v>
      </c>
      <c r="C3529" t="s">
        <v>10</v>
      </c>
      <c r="D3529">
        <v>425</v>
      </c>
      <c r="E3529">
        <v>-155</v>
      </c>
      <c r="F3529" s="5">
        <v>43891</v>
      </c>
      <c r="G3529">
        <v>425</v>
      </c>
      <c r="H3529" t="s">
        <v>58</v>
      </c>
    </row>
    <row r="3530" spans="1:8" x14ac:dyDescent="0.3">
      <c r="A3530">
        <v>298</v>
      </c>
      <c r="B3530" s="5">
        <v>43894</v>
      </c>
      <c r="C3530" t="s">
        <v>10</v>
      </c>
      <c r="D3530">
        <v>822</v>
      </c>
      <c r="E3530">
        <v>667</v>
      </c>
      <c r="F3530" s="5">
        <v>43891</v>
      </c>
      <c r="G3530">
        <v>822</v>
      </c>
      <c r="H3530" t="s">
        <v>57</v>
      </c>
    </row>
    <row r="3531" spans="1:8" x14ac:dyDescent="0.3">
      <c r="A3531">
        <v>298</v>
      </c>
      <c r="B3531" s="5">
        <v>43898</v>
      </c>
      <c r="C3531" t="s">
        <v>11</v>
      </c>
      <c r="D3531">
        <v>10</v>
      </c>
      <c r="E3531">
        <v>657</v>
      </c>
      <c r="F3531" s="5">
        <v>43891</v>
      </c>
      <c r="G3531">
        <v>-10</v>
      </c>
      <c r="H3531" t="s">
        <v>57</v>
      </c>
    </row>
    <row r="3532" spans="1:8" x14ac:dyDescent="0.3">
      <c r="A3532">
        <v>298</v>
      </c>
      <c r="B3532" s="5">
        <v>43900</v>
      </c>
      <c r="C3532" t="s">
        <v>10</v>
      </c>
      <c r="D3532">
        <v>110</v>
      </c>
      <c r="E3532">
        <v>767</v>
      </c>
      <c r="F3532" s="5">
        <v>43891</v>
      </c>
      <c r="G3532">
        <v>110</v>
      </c>
      <c r="H3532" t="s">
        <v>57</v>
      </c>
    </row>
    <row r="3533" spans="1:8" x14ac:dyDescent="0.3">
      <c r="A3533">
        <v>298</v>
      </c>
      <c r="B3533" s="5">
        <v>43931</v>
      </c>
      <c r="C3533" t="s">
        <v>10</v>
      </c>
      <c r="D3533">
        <v>722</v>
      </c>
      <c r="E3533">
        <v>1489</v>
      </c>
      <c r="F3533" s="5">
        <v>43922</v>
      </c>
      <c r="G3533">
        <v>722</v>
      </c>
      <c r="H3533" t="s">
        <v>57</v>
      </c>
    </row>
    <row r="3534" spans="1:8" x14ac:dyDescent="0.3">
      <c r="A3534">
        <v>299</v>
      </c>
      <c r="B3534" s="5">
        <v>43843</v>
      </c>
      <c r="C3534" t="s">
        <v>10</v>
      </c>
      <c r="D3534">
        <v>881</v>
      </c>
      <c r="E3534">
        <v>881</v>
      </c>
      <c r="F3534" s="5">
        <v>43831</v>
      </c>
      <c r="G3534">
        <v>881</v>
      </c>
      <c r="H3534" t="s">
        <v>57</v>
      </c>
    </row>
    <row r="3535" spans="1:8" x14ac:dyDescent="0.3">
      <c r="A3535">
        <v>299</v>
      </c>
      <c r="B3535" s="5">
        <v>43847</v>
      </c>
      <c r="C3535" t="s">
        <v>10</v>
      </c>
      <c r="D3535">
        <v>209</v>
      </c>
      <c r="E3535">
        <v>1090</v>
      </c>
      <c r="F3535" s="5">
        <v>43831</v>
      </c>
      <c r="G3535">
        <v>209</v>
      </c>
      <c r="H3535" t="s">
        <v>57</v>
      </c>
    </row>
    <row r="3536" spans="1:8" x14ac:dyDescent="0.3">
      <c r="A3536">
        <v>299</v>
      </c>
      <c r="B3536" s="5">
        <v>43851</v>
      </c>
      <c r="C3536" t="s">
        <v>12</v>
      </c>
      <c r="D3536">
        <v>639</v>
      </c>
      <c r="E3536">
        <v>451</v>
      </c>
      <c r="F3536" s="5">
        <v>43831</v>
      </c>
      <c r="G3536">
        <v>-639</v>
      </c>
      <c r="H3536" t="s">
        <v>57</v>
      </c>
    </row>
    <row r="3537" spans="1:8" x14ac:dyDescent="0.3">
      <c r="A3537">
        <v>299</v>
      </c>
      <c r="B3537" s="5">
        <v>43852</v>
      </c>
      <c r="C3537" t="s">
        <v>10</v>
      </c>
      <c r="D3537">
        <v>319</v>
      </c>
      <c r="E3537">
        <v>770</v>
      </c>
      <c r="F3537" s="5">
        <v>43831</v>
      </c>
      <c r="G3537">
        <v>319</v>
      </c>
      <c r="H3537" t="s">
        <v>57</v>
      </c>
    </row>
    <row r="3538" spans="1:8" x14ac:dyDescent="0.3">
      <c r="A3538">
        <v>299</v>
      </c>
      <c r="B3538" s="5">
        <v>43856</v>
      </c>
      <c r="C3538" t="s">
        <v>10</v>
      </c>
      <c r="D3538">
        <v>191</v>
      </c>
      <c r="E3538">
        <v>961</v>
      </c>
      <c r="F3538" s="5">
        <v>43831</v>
      </c>
      <c r="G3538">
        <v>191</v>
      </c>
      <c r="H3538" t="s">
        <v>57</v>
      </c>
    </row>
    <row r="3539" spans="1:8" x14ac:dyDescent="0.3">
      <c r="A3539">
        <v>299</v>
      </c>
      <c r="B3539" s="5">
        <v>43867</v>
      </c>
      <c r="C3539" t="s">
        <v>10</v>
      </c>
      <c r="D3539">
        <v>654</v>
      </c>
      <c r="E3539">
        <v>1615</v>
      </c>
      <c r="F3539" s="5">
        <v>43862</v>
      </c>
      <c r="G3539">
        <v>654</v>
      </c>
      <c r="H3539" t="s">
        <v>57</v>
      </c>
    </row>
    <row r="3540" spans="1:8" x14ac:dyDescent="0.3">
      <c r="A3540">
        <v>299</v>
      </c>
      <c r="B3540" s="5">
        <v>43874</v>
      </c>
      <c r="C3540" t="s">
        <v>10</v>
      </c>
      <c r="D3540">
        <v>65</v>
      </c>
      <c r="E3540">
        <v>1680</v>
      </c>
      <c r="F3540" s="5">
        <v>43862</v>
      </c>
      <c r="G3540">
        <v>65</v>
      </c>
      <c r="H3540" t="s">
        <v>57</v>
      </c>
    </row>
    <row r="3541" spans="1:8" x14ac:dyDescent="0.3">
      <c r="A3541">
        <v>299</v>
      </c>
      <c r="B3541" s="5">
        <v>43876</v>
      </c>
      <c r="C3541" t="s">
        <v>10</v>
      </c>
      <c r="D3541">
        <v>447</v>
      </c>
      <c r="E3541">
        <v>2127</v>
      </c>
      <c r="F3541" s="5">
        <v>43862</v>
      </c>
      <c r="G3541">
        <v>447</v>
      </c>
      <c r="H3541" t="s">
        <v>57</v>
      </c>
    </row>
    <row r="3542" spans="1:8" x14ac:dyDescent="0.3">
      <c r="A3542">
        <v>299</v>
      </c>
      <c r="B3542" s="5">
        <v>43879</v>
      </c>
      <c r="C3542" t="s">
        <v>11</v>
      </c>
      <c r="D3542">
        <v>881</v>
      </c>
      <c r="E3542">
        <v>1246</v>
      </c>
      <c r="F3542" s="5">
        <v>43862</v>
      </c>
      <c r="G3542">
        <v>-881</v>
      </c>
      <c r="H3542" t="s">
        <v>57</v>
      </c>
    </row>
    <row r="3543" spans="1:8" x14ac:dyDescent="0.3">
      <c r="A3543">
        <v>299</v>
      </c>
      <c r="B3543" s="5">
        <v>43892</v>
      </c>
      <c r="C3543" t="s">
        <v>12</v>
      </c>
      <c r="D3543">
        <v>523</v>
      </c>
      <c r="E3543">
        <v>723</v>
      </c>
      <c r="F3543" s="5">
        <v>43891</v>
      </c>
      <c r="G3543">
        <v>-523</v>
      </c>
      <c r="H3543" t="s">
        <v>57</v>
      </c>
    </row>
    <row r="3544" spans="1:8" x14ac:dyDescent="0.3">
      <c r="A3544">
        <v>299</v>
      </c>
      <c r="B3544" s="5">
        <v>43904</v>
      </c>
      <c r="C3544" t="s">
        <v>11</v>
      </c>
      <c r="D3544">
        <v>891</v>
      </c>
      <c r="E3544">
        <v>-168</v>
      </c>
      <c r="F3544" s="5">
        <v>43891</v>
      </c>
      <c r="G3544">
        <v>-891</v>
      </c>
      <c r="H3544" t="s">
        <v>58</v>
      </c>
    </row>
    <row r="3545" spans="1:8" x14ac:dyDescent="0.3">
      <c r="A3545">
        <v>299</v>
      </c>
      <c r="B3545" s="5">
        <v>43906</v>
      </c>
      <c r="C3545" t="s">
        <v>11</v>
      </c>
      <c r="D3545">
        <v>309</v>
      </c>
      <c r="E3545">
        <v>-477</v>
      </c>
      <c r="F3545" s="5">
        <v>43891</v>
      </c>
      <c r="G3545">
        <v>-309</v>
      </c>
      <c r="H3545" t="s">
        <v>58</v>
      </c>
    </row>
    <row r="3546" spans="1:8" x14ac:dyDescent="0.3">
      <c r="A3546">
        <v>299</v>
      </c>
      <c r="B3546" s="5">
        <v>43908</v>
      </c>
      <c r="C3546" t="s">
        <v>10</v>
      </c>
      <c r="D3546">
        <v>678</v>
      </c>
      <c r="E3546">
        <v>201</v>
      </c>
      <c r="F3546" s="5">
        <v>43891</v>
      </c>
      <c r="G3546">
        <v>678</v>
      </c>
      <c r="H3546" t="s">
        <v>57</v>
      </c>
    </row>
    <row r="3547" spans="1:8" x14ac:dyDescent="0.3">
      <c r="A3547">
        <v>299</v>
      </c>
      <c r="B3547" s="5">
        <v>43908</v>
      </c>
      <c r="C3547" t="s">
        <v>11</v>
      </c>
      <c r="D3547">
        <v>709</v>
      </c>
      <c r="E3547">
        <v>-508</v>
      </c>
      <c r="F3547" s="5">
        <v>43891</v>
      </c>
      <c r="G3547">
        <v>-709</v>
      </c>
      <c r="H3547" t="s">
        <v>58</v>
      </c>
    </row>
    <row r="3548" spans="1:8" x14ac:dyDescent="0.3">
      <c r="A3548">
        <v>299</v>
      </c>
      <c r="B3548" s="5">
        <v>43911</v>
      </c>
      <c r="C3548" t="s">
        <v>10</v>
      </c>
      <c r="D3548">
        <v>578</v>
      </c>
      <c r="E3548">
        <v>70</v>
      </c>
      <c r="F3548" s="5">
        <v>43891</v>
      </c>
      <c r="G3548">
        <v>578</v>
      </c>
      <c r="H3548" t="s">
        <v>57</v>
      </c>
    </row>
    <row r="3549" spans="1:8" x14ac:dyDescent="0.3">
      <c r="A3549">
        <v>300</v>
      </c>
      <c r="B3549" s="5">
        <v>43851</v>
      </c>
      <c r="C3549" t="s">
        <v>10</v>
      </c>
      <c r="D3549">
        <v>672</v>
      </c>
      <c r="E3549">
        <v>672</v>
      </c>
      <c r="F3549" s="5">
        <v>43831</v>
      </c>
      <c r="G3549">
        <v>672</v>
      </c>
      <c r="H3549" t="s">
        <v>57</v>
      </c>
    </row>
    <row r="3550" spans="1:8" x14ac:dyDescent="0.3">
      <c r="A3550">
        <v>300</v>
      </c>
      <c r="B3550" s="5">
        <v>43865</v>
      </c>
      <c r="C3550" t="s">
        <v>12</v>
      </c>
      <c r="D3550">
        <v>372</v>
      </c>
      <c r="E3550">
        <v>300</v>
      </c>
      <c r="F3550" s="5">
        <v>43862</v>
      </c>
      <c r="G3550">
        <v>-372</v>
      </c>
      <c r="H3550" t="s">
        <v>57</v>
      </c>
    </row>
    <row r="3551" spans="1:8" x14ac:dyDescent="0.3">
      <c r="A3551">
        <v>300</v>
      </c>
      <c r="B3551" s="5">
        <v>43870</v>
      </c>
      <c r="C3551" t="s">
        <v>10</v>
      </c>
      <c r="D3551">
        <v>20</v>
      </c>
      <c r="E3551">
        <v>320</v>
      </c>
      <c r="F3551" s="5">
        <v>43862</v>
      </c>
      <c r="G3551">
        <v>20</v>
      </c>
      <c r="H3551" t="s">
        <v>57</v>
      </c>
    </row>
    <row r="3552" spans="1:8" x14ac:dyDescent="0.3">
      <c r="A3552">
        <v>300</v>
      </c>
      <c r="B3552" s="5">
        <v>43873</v>
      </c>
      <c r="C3552" t="s">
        <v>12</v>
      </c>
      <c r="D3552">
        <v>651</v>
      </c>
      <c r="E3552">
        <v>-331</v>
      </c>
      <c r="F3552" s="5">
        <v>43862</v>
      </c>
      <c r="G3552">
        <v>-651</v>
      </c>
      <c r="H3552" t="s">
        <v>58</v>
      </c>
    </row>
    <row r="3553" spans="1:8" x14ac:dyDescent="0.3">
      <c r="A3553">
        <v>300</v>
      </c>
      <c r="B3553" s="5">
        <v>43874</v>
      </c>
      <c r="C3553" t="s">
        <v>11</v>
      </c>
      <c r="D3553">
        <v>78</v>
      </c>
      <c r="E3553">
        <v>-409</v>
      </c>
      <c r="F3553" s="5">
        <v>43862</v>
      </c>
      <c r="G3553">
        <v>-78</v>
      </c>
      <c r="H3553" t="s">
        <v>58</v>
      </c>
    </row>
    <row r="3554" spans="1:8" x14ac:dyDescent="0.3">
      <c r="A3554">
        <v>300</v>
      </c>
      <c r="B3554" s="5">
        <v>43878</v>
      </c>
      <c r="C3554" t="s">
        <v>12</v>
      </c>
      <c r="D3554">
        <v>540</v>
      </c>
      <c r="E3554">
        <v>-949</v>
      </c>
      <c r="F3554" s="5">
        <v>43862</v>
      </c>
      <c r="G3554">
        <v>-540</v>
      </c>
      <c r="H3554" t="s">
        <v>58</v>
      </c>
    </row>
    <row r="3555" spans="1:8" x14ac:dyDescent="0.3">
      <c r="A3555">
        <v>300</v>
      </c>
      <c r="B3555" s="5">
        <v>43891</v>
      </c>
      <c r="C3555" t="s">
        <v>10</v>
      </c>
      <c r="D3555">
        <v>186</v>
      </c>
      <c r="E3555">
        <v>-763</v>
      </c>
      <c r="F3555" s="5">
        <v>43891</v>
      </c>
      <c r="G3555">
        <v>186</v>
      </c>
      <c r="H3555" t="s">
        <v>58</v>
      </c>
    </row>
    <row r="3556" spans="1:8" x14ac:dyDescent="0.3">
      <c r="A3556">
        <v>300</v>
      </c>
      <c r="B3556" s="5">
        <v>43892</v>
      </c>
      <c r="C3556" t="s">
        <v>11</v>
      </c>
      <c r="D3556">
        <v>916</v>
      </c>
      <c r="E3556">
        <v>-1679</v>
      </c>
      <c r="F3556" s="5">
        <v>43891</v>
      </c>
      <c r="G3556">
        <v>-916</v>
      </c>
      <c r="H3556" t="s">
        <v>58</v>
      </c>
    </row>
    <row r="3557" spans="1:8" x14ac:dyDescent="0.3">
      <c r="A3557">
        <v>300</v>
      </c>
      <c r="B3557" s="5">
        <v>43900</v>
      </c>
      <c r="C3557" t="s">
        <v>11</v>
      </c>
      <c r="D3557">
        <v>24</v>
      </c>
      <c r="E3557">
        <v>-1703</v>
      </c>
      <c r="F3557" s="5">
        <v>43891</v>
      </c>
      <c r="G3557">
        <v>-24</v>
      </c>
      <c r="H3557" t="s">
        <v>58</v>
      </c>
    </row>
    <row r="3558" spans="1:8" x14ac:dyDescent="0.3">
      <c r="A3558">
        <v>300</v>
      </c>
      <c r="B3558" s="5">
        <v>43901</v>
      </c>
      <c r="C3558" t="s">
        <v>12</v>
      </c>
      <c r="D3558">
        <v>139</v>
      </c>
      <c r="E3558">
        <v>-1842</v>
      </c>
      <c r="F3558" s="5">
        <v>43891</v>
      </c>
      <c r="G3558">
        <v>-139</v>
      </c>
      <c r="H3558" t="s">
        <v>58</v>
      </c>
    </row>
    <row r="3559" spans="1:8" x14ac:dyDescent="0.3">
      <c r="A3559">
        <v>300</v>
      </c>
      <c r="B3559" s="5">
        <v>43903</v>
      </c>
      <c r="C3559" t="s">
        <v>10</v>
      </c>
      <c r="D3559">
        <v>87</v>
      </c>
      <c r="E3559">
        <v>-1755</v>
      </c>
      <c r="F3559" s="5">
        <v>43891</v>
      </c>
      <c r="G3559">
        <v>87</v>
      </c>
      <c r="H3559" t="s">
        <v>58</v>
      </c>
    </row>
    <row r="3560" spans="1:8" x14ac:dyDescent="0.3">
      <c r="A3560">
        <v>300</v>
      </c>
      <c r="B3560" s="5">
        <v>43912</v>
      </c>
      <c r="C3560" t="s">
        <v>11</v>
      </c>
      <c r="D3560">
        <v>299</v>
      </c>
      <c r="E3560">
        <v>-2054</v>
      </c>
      <c r="F3560" s="5">
        <v>43891</v>
      </c>
      <c r="G3560">
        <v>-299</v>
      </c>
      <c r="H3560" t="s">
        <v>58</v>
      </c>
    </row>
    <row r="3561" spans="1:8" x14ac:dyDescent="0.3">
      <c r="A3561">
        <v>300</v>
      </c>
      <c r="B3561" s="5">
        <v>43915</v>
      </c>
      <c r="C3561" t="s">
        <v>10</v>
      </c>
      <c r="D3561">
        <v>389</v>
      </c>
      <c r="E3561">
        <v>-1665</v>
      </c>
      <c r="F3561" s="5">
        <v>43891</v>
      </c>
      <c r="G3561">
        <v>389</v>
      </c>
      <c r="H3561" t="s">
        <v>58</v>
      </c>
    </row>
    <row r="3562" spans="1:8" x14ac:dyDescent="0.3">
      <c r="A3562">
        <v>300</v>
      </c>
      <c r="B3562" s="5">
        <v>43917</v>
      </c>
      <c r="C3562" t="s">
        <v>12</v>
      </c>
      <c r="D3562">
        <v>811</v>
      </c>
      <c r="E3562">
        <v>-2476</v>
      </c>
      <c r="F3562" s="5">
        <v>43891</v>
      </c>
      <c r="G3562">
        <v>-811</v>
      </c>
      <c r="H3562" t="s">
        <v>58</v>
      </c>
    </row>
    <row r="3563" spans="1:8" x14ac:dyDescent="0.3">
      <c r="A3563">
        <v>300</v>
      </c>
      <c r="B3563" s="5">
        <v>43917</v>
      </c>
      <c r="C3563" t="s">
        <v>12</v>
      </c>
      <c r="D3563">
        <v>800</v>
      </c>
      <c r="E3563">
        <v>-3276</v>
      </c>
      <c r="F3563" s="5">
        <v>43891</v>
      </c>
      <c r="G3563">
        <v>-800</v>
      </c>
      <c r="H3563" t="s">
        <v>58</v>
      </c>
    </row>
    <row r="3564" spans="1:8" x14ac:dyDescent="0.3">
      <c r="A3564">
        <v>300</v>
      </c>
      <c r="B3564" s="5">
        <v>43920</v>
      </c>
      <c r="C3564" t="s">
        <v>10</v>
      </c>
      <c r="D3564">
        <v>215</v>
      </c>
      <c r="E3564">
        <v>-3061</v>
      </c>
      <c r="F3564" s="5">
        <v>43891</v>
      </c>
      <c r="G3564">
        <v>215</v>
      </c>
      <c r="H3564" t="s">
        <v>58</v>
      </c>
    </row>
    <row r="3565" spans="1:8" x14ac:dyDescent="0.3">
      <c r="A3565">
        <v>300</v>
      </c>
      <c r="B3565" s="5">
        <v>43921</v>
      </c>
      <c r="C3565" t="s">
        <v>10</v>
      </c>
      <c r="D3565">
        <v>687</v>
      </c>
      <c r="E3565">
        <v>-2374</v>
      </c>
      <c r="F3565" s="5">
        <v>43891</v>
      </c>
      <c r="G3565">
        <v>687</v>
      </c>
      <c r="H3565" t="s">
        <v>58</v>
      </c>
    </row>
    <row r="3566" spans="1:8" x14ac:dyDescent="0.3">
      <c r="A3566">
        <v>300</v>
      </c>
      <c r="B3566" s="5">
        <v>43936</v>
      </c>
      <c r="C3566" t="s">
        <v>12</v>
      </c>
      <c r="D3566">
        <v>75</v>
      </c>
      <c r="E3566">
        <v>-2449</v>
      </c>
      <c r="F3566" s="5">
        <v>43922</v>
      </c>
      <c r="G3566">
        <v>-75</v>
      </c>
      <c r="H3566" t="s">
        <v>58</v>
      </c>
    </row>
    <row r="3567" spans="1:8" x14ac:dyDescent="0.3">
      <c r="A3567">
        <v>300</v>
      </c>
      <c r="B3567" s="5">
        <v>43938</v>
      </c>
      <c r="C3567" t="s">
        <v>11</v>
      </c>
      <c r="D3567">
        <v>730</v>
      </c>
      <c r="E3567">
        <v>-3179</v>
      </c>
      <c r="F3567" s="5">
        <v>43922</v>
      </c>
      <c r="G3567">
        <v>-730</v>
      </c>
      <c r="H3567" t="s">
        <v>58</v>
      </c>
    </row>
    <row r="3568" spans="1:8" x14ac:dyDescent="0.3">
      <c r="A3568">
        <v>301</v>
      </c>
      <c r="B3568" s="5">
        <v>43850</v>
      </c>
      <c r="C3568" t="s">
        <v>10</v>
      </c>
      <c r="D3568">
        <v>32</v>
      </c>
      <c r="E3568">
        <v>32</v>
      </c>
      <c r="F3568" s="5">
        <v>43831</v>
      </c>
      <c r="G3568">
        <v>32</v>
      </c>
      <c r="H3568" t="s">
        <v>57</v>
      </c>
    </row>
    <row r="3569" spans="1:8" x14ac:dyDescent="0.3">
      <c r="A3569">
        <v>301</v>
      </c>
      <c r="B3569" s="5">
        <v>43851</v>
      </c>
      <c r="C3569" t="s">
        <v>10</v>
      </c>
      <c r="D3569">
        <v>613</v>
      </c>
      <c r="E3569">
        <v>645</v>
      </c>
      <c r="F3569" s="5">
        <v>43831</v>
      </c>
      <c r="G3569">
        <v>613</v>
      </c>
      <c r="H3569" t="s">
        <v>57</v>
      </c>
    </row>
    <row r="3570" spans="1:8" x14ac:dyDescent="0.3">
      <c r="A3570">
        <v>301</v>
      </c>
      <c r="B3570" s="5">
        <v>43854</v>
      </c>
      <c r="C3570" t="s">
        <v>12</v>
      </c>
      <c r="D3570">
        <v>726</v>
      </c>
      <c r="E3570">
        <v>-81</v>
      </c>
      <c r="F3570" s="5">
        <v>43831</v>
      </c>
      <c r="G3570">
        <v>-726</v>
      </c>
      <c r="H3570" t="s">
        <v>58</v>
      </c>
    </row>
    <row r="3571" spans="1:8" x14ac:dyDescent="0.3">
      <c r="A3571">
        <v>301</v>
      </c>
      <c r="B3571" s="5">
        <v>43859</v>
      </c>
      <c r="C3571" t="s">
        <v>11</v>
      </c>
      <c r="D3571">
        <v>825</v>
      </c>
      <c r="E3571">
        <v>-906</v>
      </c>
      <c r="F3571" s="5">
        <v>43831</v>
      </c>
      <c r="G3571">
        <v>-825</v>
      </c>
      <c r="H3571" t="s">
        <v>58</v>
      </c>
    </row>
    <row r="3572" spans="1:8" x14ac:dyDescent="0.3">
      <c r="A3572">
        <v>301</v>
      </c>
      <c r="B3572" s="5">
        <v>43867</v>
      </c>
      <c r="C3572" t="s">
        <v>11</v>
      </c>
      <c r="D3572">
        <v>990</v>
      </c>
      <c r="E3572">
        <v>-1896</v>
      </c>
      <c r="F3572" s="5">
        <v>43862</v>
      </c>
      <c r="G3572">
        <v>-990</v>
      </c>
      <c r="H3572" t="s">
        <v>58</v>
      </c>
    </row>
    <row r="3573" spans="1:8" x14ac:dyDescent="0.3">
      <c r="A3573">
        <v>301</v>
      </c>
      <c r="B3573" s="5">
        <v>43872</v>
      </c>
      <c r="C3573" t="s">
        <v>12</v>
      </c>
      <c r="D3573">
        <v>745</v>
      </c>
      <c r="E3573">
        <v>-2641</v>
      </c>
      <c r="F3573" s="5">
        <v>43862</v>
      </c>
      <c r="G3573">
        <v>-745</v>
      </c>
      <c r="H3573" t="s">
        <v>58</v>
      </c>
    </row>
    <row r="3574" spans="1:8" x14ac:dyDescent="0.3">
      <c r="A3574">
        <v>301</v>
      </c>
      <c r="B3574" s="5">
        <v>43874</v>
      </c>
      <c r="C3574" t="s">
        <v>10</v>
      </c>
      <c r="D3574">
        <v>723</v>
      </c>
      <c r="E3574">
        <v>-1918</v>
      </c>
      <c r="F3574" s="5">
        <v>43862</v>
      </c>
      <c r="G3574">
        <v>723</v>
      </c>
      <c r="H3574" t="s">
        <v>58</v>
      </c>
    </row>
    <row r="3575" spans="1:8" x14ac:dyDescent="0.3">
      <c r="A3575">
        <v>301</v>
      </c>
      <c r="B3575" s="5">
        <v>43879</v>
      </c>
      <c r="C3575" t="s">
        <v>10</v>
      </c>
      <c r="D3575">
        <v>634</v>
      </c>
      <c r="E3575">
        <v>-1284</v>
      </c>
      <c r="F3575" s="5">
        <v>43862</v>
      </c>
      <c r="G3575">
        <v>634</v>
      </c>
      <c r="H3575" t="s">
        <v>58</v>
      </c>
    </row>
    <row r="3576" spans="1:8" x14ac:dyDescent="0.3">
      <c r="A3576">
        <v>301</v>
      </c>
      <c r="B3576" s="5">
        <v>43889</v>
      </c>
      <c r="C3576" t="s">
        <v>11</v>
      </c>
      <c r="D3576">
        <v>241</v>
      </c>
      <c r="E3576">
        <v>-1525</v>
      </c>
      <c r="F3576" s="5">
        <v>43862</v>
      </c>
      <c r="G3576">
        <v>-241</v>
      </c>
      <c r="H3576" t="s">
        <v>58</v>
      </c>
    </row>
    <row r="3577" spans="1:8" x14ac:dyDescent="0.3">
      <c r="A3577">
        <v>301</v>
      </c>
      <c r="B3577" s="5">
        <v>43889</v>
      </c>
      <c r="C3577" t="s">
        <v>11</v>
      </c>
      <c r="D3577">
        <v>452</v>
      </c>
      <c r="E3577">
        <v>-1977</v>
      </c>
      <c r="F3577" s="5">
        <v>43862</v>
      </c>
      <c r="G3577">
        <v>-452</v>
      </c>
      <c r="H3577" t="s">
        <v>58</v>
      </c>
    </row>
    <row r="3578" spans="1:8" x14ac:dyDescent="0.3">
      <c r="A3578">
        <v>301</v>
      </c>
      <c r="B3578" s="5">
        <v>43891</v>
      </c>
      <c r="C3578" t="s">
        <v>11</v>
      </c>
      <c r="D3578">
        <v>470</v>
      </c>
      <c r="E3578">
        <v>-2447</v>
      </c>
      <c r="F3578" s="5">
        <v>43891</v>
      </c>
      <c r="G3578">
        <v>-470</v>
      </c>
      <c r="H3578" t="s">
        <v>58</v>
      </c>
    </row>
    <row r="3579" spans="1:8" x14ac:dyDescent="0.3">
      <c r="A3579">
        <v>301</v>
      </c>
      <c r="B3579" s="5">
        <v>43903</v>
      </c>
      <c r="C3579" t="s">
        <v>10</v>
      </c>
      <c r="D3579">
        <v>152</v>
      </c>
      <c r="E3579">
        <v>-2295</v>
      </c>
      <c r="F3579" s="5">
        <v>43891</v>
      </c>
      <c r="G3579">
        <v>152</v>
      </c>
      <c r="H3579" t="s">
        <v>58</v>
      </c>
    </row>
    <row r="3580" spans="1:8" x14ac:dyDescent="0.3">
      <c r="A3580">
        <v>301</v>
      </c>
      <c r="B3580" s="5">
        <v>43905</v>
      </c>
      <c r="C3580" t="s">
        <v>10</v>
      </c>
      <c r="D3580">
        <v>67</v>
      </c>
      <c r="E3580">
        <v>-2228</v>
      </c>
      <c r="F3580" s="5">
        <v>43891</v>
      </c>
      <c r="G3580">
        <v>67</v>
      </c>
      <c r="H3580" t="s">
        <v>58</v>
      </c>
    </row>
    <row r="3581" spans="1:8" x14ac:dyDescent="0.3">
      <c r="A3581">
        <v>301</v>
      </c>
      <c r="B3581" s="5">
        <v>43906</v>
      </c>
      <c r="C3581" t="s">
        <v>11</v>
      </c>
      <c r="D3581">
        <v>26</v>
      </c>
      <c r="E3581">
        <v>-2254</v>
      </c>
      <c r="F3581" s="5">
        <v>43891</v>
      </c>
      <c r="G3581">
        <v>-26</v>
      </c>
      <c r="H3581" t="s">
        <v>58</v>
      </c>
    </row>
    <row r="3582" spans="1:8" x14ac:dyDescent="0.3">
      <c r="A3582">
        <v>301</v>
      </c>
      <c r="B3582" s="5">
        <v>43907</v>
      </c>
      <c r="C3582" t="s">
        <v>10</v>
      </c>
      <c r="D3582">
        <v>868</v>
      </c>
      <c r="E3582">
        <v>-1386</v>
      </c>
      <c r="F3582" s="5">
        <v>43891</v>
      </c>
      <c r="G3582">
        <v>868</v>
      </c>
      <c r="H3582" t="s">
        <v>58</v>
      </c>
    </row>
    <row r="3583" spans="1:8" x14ac:dyDescent="0.3">
      <c r="A3583">
        <v>301</v>
      </c>
      <c r="B3583" s="5">
        <v>43908</v>
      </c>
      <c r="C3583" t="s">
        <v>12</v>
      </c>
      <c r="D3583">
        <v>561</v>
      </c>
      <c r="E3583">
        <v>-1947</v>
      </c>
      <c r="F3583" s="5">
        <v>43891</v>
      </c>
      <c r="G3583">
        <v>-561</v>
      </c>
      <c r="H3583" t="s">
        <v>58</v>
      </c>
    </row>
    <row r="3584" spans="1:8" x14ac:dyDescent="0.3">
      <c r="A3584">
        <v>301</v>
      </c>
      <c r="B3584" s="5">
        <v>43908</v>
      </c>
      <c r="C3584" t="s">
        <v>11</v>
      </c>
      <c r="D3584">
        <v>153</v>
      </c>
      <c r="E3584">
        <v>-2100</v>
      </c>
      <c r="F3584" s="5">
        <v>43891</v>
      </c>
      <c r="G3584">
        <v>-153</v>
      </c>
      <c r="H3584" t="s">
        <v>58</v>
      </c>
    </row>
    <row r="3585" spans="1:8" x14ac:dyDescent="0.3">
      <c r="A3585">
        <v>301</v>
      </c>
      <c r="B3585" s="5">
        <v>43911</v>
      </c>
      <c r="C3585" t="s">
        <v>11</v>
      </c>
      <c r="D3585">
        <v>950</v>
      </c>
      <c r="E3585">
        <v>-3050</v>
      </c>
      <c r="F3585" s="5">
        <v>43891</v>
      </c>
      <c r="G3585">
        <v>-950</v>
      </c>
      <c r="H3585" t="s">
        <v>58</v>
      </c>
    </row>
    <row r="3586" spans="1:8" x14ac:dyDescent="0.3">
      <c r="A3586">
        <v>301</v>
      </c>
      <c r="B3586" s="5">
        <v>43913</v>
      </c>
      <c r="C3586" t="s">
        <v>10</v>
      </c>
      <c r="D3586">
        <v>14</v>
      </c>
      <c r="E3586">
        <v>-3036</v>
      </c>
      <c r="F3586" s="5">
        <v>43891</v>
      </c>
      <c r="G3586">
        <v>14</v>
      </c>
      <c r="H3586" t="s">
        <v>58</v>
      </c>
    </row>
    <row r="3587" spans="1:8" x14ac:dyDescent="0.3">
      <c r="A3587">
        <v>301</v>
      </c>
      <c r="B3587" s="5">
        <v>43917</v>
      </c>
      <c r="C3587" t="s">
        <v>11</v>
      </c>
      <c r="D3587">
        <v>181</v>
      </c>
      <c r="E3587">
        <v>-3217</v>
      </c>
      <c r="F3587" s="5">
        <v>43891</v>
      </c>
      <c r="G3587">
        <v>-181</v>
      </c>
      <c r="H3587" t="s">
        <v>58</v>
      </c>
    </row>
    <row r="3588" spans="1:8" x14ac:dyDescent="0.3">
      <c r="A3588">
        <v>301</v>
      </c>
      <c r="B3588" s="5">
        <v>43918</v>
      </c>
      <c r="C3588" t="s">
        <v>11</v>
      </c>
      <c r="D3588">
        <v>419</v>
      </c>
      <c r="E3588">
        <v>-3636</v>
      </c>
      <c r="F3588" s="5">
        <v>43891</v>
      </c>
      <c r="G3588">
        <v>-419</v>
      </c>
      <c r="H3588" t="s">
        <v>58</v>
      </c>
    </row>
    <row r="3589" spans="1:8" x14ac:dyDescent="0.3">
      <c r="A3589">
        <v>301</v>
      </c>
      <c r="B3589" s="5">
        <v>43939</v>
      </c>
      <c r="C3589" t="s">
        <v>10</v>
      </c>
      <c r="D3589">
        <v>107</v>
      </c>
      <c r="E3589">
        <v>-3529</v>
      </c>
      <c r="F3589" s="5">
        <v>43922</v>
      </c>
      <c r="G3589">
        <v>107</v>
      </c>
      <c r="H3589" t="s">
        <v>58</v>
      </c>
    </row>
    <row r="3590" spans="1:8" x14ac:dyDescent="0.3">
      <c r="A3590">
        <v>302</v>
      </c>
      <c r="B3590" s="5">
        <v>43857</v>
      </c>
      <c r="C3590" t="s">
        <v>12</v>
      </c>
      <c r="D3590">
        <v>862</v>
      </c>
      <c r="E3590">
        <v>-862</v>
      </c>
      <c r="F3590" s="5">
        <v>43831</v>
      </c>
      <c r="G3590">
        <v>-862</v>
      </c>
      <c r="H3590" t="s">
        <v>58</v>
      </c>
    </row>
    <row r="3591" spans="1:8" x14ac:dyDescent="0.3">
      <c r="A3591">
        <v>302</v>
      </c>
      <c r="B3591" s="5">
        <v>43857</v>
      </c>
      <c r="C3591" t="s">
        <v>10</v>
      </c>
      <c r="D3591">
        <v>143</v>
      </c>
      <c r="E3591">
        <v>-719</v>
      </c>
      <c r="F3591" s="5">
        <v>43831</v>
      </c>
      <c r="G3591">
        <v>143</v>
      </c>
      <c r="H3591" t="s">
        <v>58</v>
      </c>
    </row>
    <row r="3592" spans="1:8" x14ac:dyDescent="0.3">
      <c r="A3592">
        <v>302</v>
      </c>
      <c r="B3592" s="5">
        <v>43857</v>
      </c>
      <c r="C3592" t="s">
        <v>11</v>
      </c>
      <c r="D3592">
        <v>381</v>
      </c>
      <c r="E3592">
        <v>-1100</v>
      </c>
      <c r="F3592" s="5">
        <v>43831</v>
      </c>
      <c r="G3592">
        <v>-381</v>
      </c>
      <c r="H3592" t="s">
        <v>58</v>
      </c>
    </row>
    <row r="3593" spans="1:8" x14ac:dyDescent="0.3">
      <c r="A3593">
        <v>302</v>
      </c>
      <c r="B3593" s="5">
        <v>43859</v>
      </c>
      <c r="C3593" t="s">
        <v>11</v>
      </c>
      <c r="D3593">
        <v>399</v>
      </c>
      <c r="E3593">
        <v>-1499</v>
      </c>
      <c r="F3593" s="5">
        <v>43831</v>
      </c>
      <c r="G3593">
        <v>-399</v>
      </c>
      <c r="H3593" t="s">
        <v>58</v>
      </c>
    </row>
    <row r="3594" spans="1:8" x14ac:dyDescent="0.3">
      <c r="A3594">
        <v>302</v>
      </c>
      <c r="B3594" s="5">
        <v>43864</v>
      </c>
      <c r="C3594" t="s">
        <v>12</v>
      </c>
      <c r="D3594">
        <v>838</v>
      </c>
      <c r="E3594">
        <v>-2337</v>
      </c>
      <c r="F3594" s="5">
        <v>43862</v>
      </c>
      <c r="G3594">
        <v>-838</v>
      </c>
      <c r="H3594" t="s">
        <v>58</v>
      </c>
    </row>
    <row r="3595" spans="1:8" x14ac:dyDescent="0.3">
      <c r="A3595">
        <v>302</v>
      </c>
      <c r="B3595" s="5">
        <v>43875</v>
      </c>
      <c r="C3595" t="s">
        <v>11</v>
      </c>
      <c r="D3595">
        <v>268</v>
      </c>
      <c r="E3595">
        <v>-2605</v>
      </c>
      <c r="F3595" s="5">
        <v>43862</v>
      </c>
      <c r="G3595">
        <v>-268</v>
      </c>
      <c r="H3595" t="s">
        <v>58</v>
      </c>
    </row>
    <row r="3596" spans="1:8" x14ac:dyDescent="0.3">
      <c r="A3596">
        <v>302</v>
      </c>
      <c r="B3596" s="5">
        <v>43886</v>
      </c>
      <c r="C3596" t="s">
        <v>10</v>
      </c>
      <c r="D3596">
        <v>528</v>
      </c>
      <c r="E3596">
        <v>-2077</v>
      </c>
      <c r="F3596" s="5">
        <v>43862</v>
      </c>
      <c r="G3596">
        <v>528</v>
      </c>
      <c r="H3596" t="s">
        <v>58</v>
      </c>
    </row>
    <row r="3597" spans="1:8" x14ac:dyDescent="0.3">
      <c r="A3597">
        <v>302</v>
      </c>
      <c r="B3597" s="5">
        <v>43891</v>
      </c>
      <c r="C3597" t="s">
        <v>12</v>
      </c>
      <c r="D3597">
        <v>860</v>
      </c>
      <c r="E3597">
        <v>-2937</v>
      </c>
      <c r="F3597" s="5">
        <v>43891</v>
      </c>
      <c r="G3597">
        <v>-860</v>
      </c>
      <c r="H3597" t="s">
        <v>58</v>
      </c>
    </row>
    <row r="3598" spans="1:8" x14ac:dyDescent="0.3">
      <c r="A3598">
        <v>302</v>
      </c>
      <c r="B3598" s="5">
        <v>43897</v>
      </c>
      <c r="C3598" t="s">
        <v>10</v>
      </c>
      <c r="D3598">
        <v>652</v>
      </c>
      <c r="E3598">
        <v>-2285</v>
      </c>
      <c r="F3598" s="5">
        <v>43891</v>
      </c>
      <c r="G3598">
        <v>652</v>
      </c>
      <c r="H3598" t="s">
        <v>58</v>
      </c>
    </row>
    <row r="3599" spans="1:8" x14ac:dyDescent="0.3">
      <c r="A3599">
        <v>302</v>
      </c>
      <c r="B3599" s="5">
        <v>43899</v>
      </c>
      <c r="C3599" t="s">
        <v>11</v>
      </c>
      <c r="D3599">
        <v>465</v>
      </c>
      <c r="E3599">
        <v>-2750</v>
      </c>
      <c r="F3599" s="5">
        <v>43891</v>
      </c>
      <c r="G3599">
        <v>-465</v>
      </c>
      <c r="H3599" t="s">
        <v>58</v>
      </c>
    </row>
    <row r="3600" spans="1:8" x14ac:dyDescent="0.3">
      <c r="A3600">
        <v>302</v>
      </c>
      <c r="B3600" s="5">
        <v>43920</v>
      </c>
      <c r="C3600" t="s">
        <v>10</v>
      </c>
      <c r="D3600">
        <v>340</v>
      </c>
      <c r="E3600">
        <v>-2410</v>
      </c>
      <c r="F3600" s="5">
        <v>43891</v>
      </c>
      <c r="G3600">
        <v>340</v>
      </c>
      <c r="H3600" t="s">
        <v>58</v>
      </c>
    </row>
    <row r="3601" spans="1:8" x14ac:dyDescent="0.3">
      <c r="A3601">
        <v>302</v>
      </c>
      <c r="B3601" s="5">
        <v>43941</v>
      </c>
      <c r="C3601" t="s">
        <v>10</v>
      </c>
      <c r="D3601">
        <v>615</v>
      </c>
      <c r="E3601">
        <v>-1795</v>
      </c>
      <c r="F3601" s="5">
        <v>43922</v>
      </c>
      <c r="G3601">
        <v>615</v>
      </c>
      <c r="H3601" t="s">
        <v>58</v>
      </c>
    </row>
    <row r="3602" spans="1:8" x14ac:dyDescent="0.3">
      <c r="A3602">
        <v>303</v>
      </c>
      <c r="B3602" s="5">
        <v>43848</v>
      </c>
      <c r="C3602" t="s">
        <v>10</v>
      </c>
      <c r="D3602">
        <v>433</v>
      </c>
      <c r="E3602">
        <v>433</v>
      </c>
      <c r="F3602" s="5">
        <v>43831</v>
      </c>
      <c r="G3602">
        <v>433</v>
      </c>
      <c r="H3602" t="s">
        <v>57</v>
      </c>
    </row>
    <row r="3603" spans="1:8" x14ac:dyDescent="0.3">
      <c r="A3603">
        <v>303</v>
      </c>
      <c r="B3603" s="5">
        <v>43861</v>
      </c>
      <c r="C3603" t="s">
        <v>12</v>
      </c>
      <c r="D3603">
        <v>101</v>
      </c>
      <c r="E3603">
        <v>332</v>
      </c>
      <c r="F3603" s="5">
        <v>43831</v>
      </c>
      <c r="G3603">
        <v>-101</v>
      </c>
      <c r="H3603" t="s">
        <v>57</v>
      </c>
    </row>
    <row r="3604" spans="1:8" x14ac:dyDescent="0.3">
      <c r="A3604">
        <v>303</v>
      </c>
      <c r="B3604" s="5">
        <v>43862</v>
      </c>
      <c r="C3604" t="s">
        <v>10</v>
      </c>
      <c r="D3604">
        <v>515</v>
      </c>
      <c r="E3604">
        <v>847</v>
      </c>
      <c r="F3604" s="5">
        <v>43862</v>
      </c>
      <c r="G3604">
        <v>515</v>
      </c>
      <c r="H3604" t="s">
        <v>57</v>
      </c>
    </row>
    <row r="3605" spans="1:8" x14ac:dyDescent="0.3">
      <c r="A3605">
        <v>303</v>
      </c>
      <c r="B3605" s="5">
        <v>43865</v>
      </c>
      <c r="C3605" t="s">
        <v>10</v>
      </c>
      <c r="D3605">
        <v>474</v>
      </c>
      <c r="E3605">
        <v>1321</v>
      </c>
      <c r="F3605" s="5">
        <v>43862</v>
      </c>
      <c r="G3605">
        <v>474</v>
      </c>
      <c r="H3605" t="s">
        <v>57</v>
      </c>
    </row>
    <row r="3606" spans="1:8" x14ac:dyDescent="0.3">
      <c r="A3606">
        <v>303</v>
      </c>
      <c r="B3606" s="5">
        <v>43880</v>
      </c>
      <c r="C3606" t="s">
        <v>11</v>
      </c>
      <c r="D3606">
        <v>367</v>
      </c>
      <c r="E3606">
        <v>954</v>
      </c>
      <c r="F3606" s="5">
        <v>43862</v>
      </c>
      <c r="G3606">
        <v>-367</v>
      </c>
      <c r="H3606" t="s">
        <v>57</v>
      </c>
    </row>
    <row r="3607" spans="1:8" x14ac:dyDescent="0.3">
      <c r="A3607">
        <v>303</v>
      </c>
      <c r="B3607" s="5">
        <v>43888</v>
      </c>
      <c r="C3607" t="s">
        <v>11</v>
      </c>
      <c r="D3607">
        <v>489</v>
      </c>
      <c r="E3607">
        <v>465</v>
      </c>
      <c r="F3607" s="5">
        <v>43862</v>
      </c>
      <c r="G3607">
        <v>-489</v>
      </c>
      <c r="H3607" t="s">
        <v>57</v>
      </c>
    </row>
    <row r="3608" spans="1:8" x14ac:dyDescent="0.3">
      <c r="A3608">
        <v>303</v>
      </c>
      <c r="B3608" s="5">
        <v>43893</v>
      </c>
      <c r="C3608" t="s">
        <v>10</v>
      </c>
      <c r="D3608">
        <v>473</v>
      </c>
      <c r="E3608">
        <v>938</v>
      </c>
      <c r="F3608" s="5">
        <v>43891</v>
      </c>
      <c r="G3608">
        <v>473</v>
      </c>
      <c r="H3608" t="s">
        <v>57</v>
      </c>
    </row>
    <row r="3609" spans="1:8" x14ac:dyDescent="0.3">
      <c r="A3609">
        <v>303</v>
      </c>
      <c r="B3609" s="5">
        <v>43897</v>
      </c>
      <c r="C3609" t="s">
        <v>11</v>
      </c>
      <c r="D3609">
        <v>878</v>
      </c>
      <c r="E3609">
        <v>60</v>
      </c>
      <c r="F3609" s="5">
        <v>43891</v>
      </c>
      <c r="G3609">
        <v>-878</v>
      </c>
      <c r="H3609" t="s">
        <v>57</v>
      </c>
    </row>
    <row r="3610" spans="1:8" x14ac:dyDescent="0.3">
      <c r="A3610">
        <v>303</v>
      </c>
      <c r="B3610" s="5">
        <v>43904</v>
      </c>
      <c r="C3610" t="s">
        <v>10</v>
      </c>
      <c r="D3610">
        <v>557</v>
      </c>
      <c r="E3610">
        <v>617</v>
      </c>
      <c r="F3610" s="5">
        <v>43891</v>
      </c>
      <c r="G3610">
        <v>557</v>
      </c>
      <c r="H3610" t="s">
        <v>57</v>
      </c>
    </row>
    <row r="3611" spans="1:8" x14ac:dyDescent="0.3">
      <c r="A3611">
        <v>303</v>
      </c>
      <c r="B3611" s="5">
        <v>43906</v>
      </c>
      <c r="C3611" t="s">
        <v>12</v>
      </c>
      <c r="D3611">
        <v>565</v>
      </c>
      <c r="E3611">
        <v>52</v>
      </c>
      <c r="F3611" s="5">
        <v>43891</v>
      </c>
      <c r="G3611">
        <v>-565</v>
      </c>
      <c r="H3611" t="s">
        <v>57</v>
      </c>
    </row>
    <row r="3612" spans="1:8" x14ac:dyDescent="0.3">
      <c r="A3612">
        <v>303</v>
      </c>
      <c r="B3612" s="5">
        <v>43908</v>
      </c>
      <c r="C3612" t="s">
        <v>11</v>
      </c>
      <c r="D3612">
        <v>260</v>
      </c>
      <c r="E3612">
        <v>-208</v>
      </c>
      <c r="F3612" s="5">
        <v>43891</v>
      </c>
      <c r="G3612">
        <v>-260</v>
      </c>
      <c r="H3612" t="s">
        <v>58</v>
      </c>
    </row>
    <row r="3613" spans="1:8" x14ac:dyDescent="0.3">
      <c r="A3613">
        <v>303</v>
      </c>
      <c r="B3613" s="5">
        <v>43909</v>
      </c>
      <c r="C3613" t="s">
        <v>11</v>
      </c>
      <c r="D3613">
        <v>421</v>
      </c>
      <c r="E3613">
        <v>-629</v>
      </c>
      <c r="F3613" s="5">
        <v>43891</v>
      </c>
      <c r="G3613">
        <v>-421</v>
      </c>
      <c r="H3613" t="s">
        <v>58</v>
      </c>
    </row>
    <row r="3614" spans="1:8" x14ac:dyDescent="0.3">
      <c r="A3614">
        <v>303</v>
      </c>
      <c r="B3614" s="5">
        <v>43923</v>
      </c>
      <c r="C3614" t="s">
        <v>11</v>
      </c>
      <c r="D3614">
        <v>904</v>
      </c>
      <c r="E3614">
        <v>-1533</v>
      </c>
      <c r="F3614" s="5">
        <v>43922</v>
      </c>
      <c r="G3614">
        <v>-904</v>
      </c>
      <c r="H3614" t="s">
        <v>58</v>
      </c>
    </row>
    <row r="3615" spans="1:8" x14ac:dyDescent="0.3">
      <c r="A3615">
        <v>303</v>
      </c>
      <c r="B3615" s="5">
        <v>43929</v>
      </c>
      <c r="C3615" t="s">
        <v>10</v>
      </c>
      <c r="D3615">
        <v>89</v>
      </c>
      <c r="E3615">
        <v>-1444</v>
      </c>
      <c r="F3615" s="5">
        <v>43922</v>
      </c>
      <c r="G3615">
        <v>89</v>
      </c>
      <c r="H3615" t="s">
        <v>58</v>
      </c>
    </row>
    <row r="3616" spans="1:8" x14ac:dyDescent="0.3">
      <c r="A3616">
        <v>303</v>
      </c>
      <c r="B3616" s="5">
        <v>43931</v>
      </c>
      <c r="C3616" t="s">
        <v>10</v>
      </c>
      <c r="D3616">
        <v>784</v>
      </c>
      <c r="E3616">
        <v>-660</v>
      </c>
      <c r="F3616" s="5">
        <v>43922</v>
      </c>
      <c r="G3616">
        <v>784</v>
      </c>
      <c r="H3616" t="s">
        <v>58</v>
      </c>
    </row>
    <row r="3617" spans="1:8" x14ac:dyDescent="0.3">
      <c r="A3617">
        <v>304</v>
      </c>
      <c r="B3617" s="5">
        <v>43846</v>
      </c>
      <c r="C3617" t="s">
        <v>10</v>
      </c>
      <c r="D3617">
        <v>848</v>
      </c>
      <c r="E3617">
        <v>848</v>
      </c>
      <c r="F3617" s="5">
        <v>43831</v>
      </c>
      <c r="G3617">
        <v>848</v>
      </c>
      <c r="H3617" t="s">
        <v>57</v>
      </c>
    </row>
    <row r="3618" spans="1:8" x14ac:dyDescent="0.3">
      <c r="A3618">
        <v>304</v>
      </c>
      <c r="B3618" s="5">
        <v>43846</v>
      </c>
      <c r="C3618" t="s">
        <v>11</v>
      </c>
      <c r="D3618">
        <v>696</v>
      </c>
      <c r="E3618">
        <v>152</v>
      </c>
      <c r="F3618" s="5">
        <v>43831</v>
      </c>
      <c r="G3618">
        <v>-696</v>
      </c>
      <c r="H3618" t="s">
        <v>57</v>
      </c>
    </row>
    <row r="3619" spans="1:8" x14ac:dyDescent="0.3">
      <c r="A3619">
        <v>304</v>
      </c>
      <c r="B3619" s="5">
        <v>43873</v>
      </c>
      <c r="C3619" t="s">
        <v>12</v>
      </c>
      <c r="D3619">
        <v>94</v>
      </c>
      <c r="E3619">
        <v>58</v>
      </c>
      <c r="F3619" s="5">
        <v>43862</v>
      </c>
      <c r="G3619">
        <v>-94</v>
      </c>
      <c r="H3619" t="s">
        <v>57</v>
      </c>
    </row>
    <row r="3620" spans="1:8" x14ac:dyDescent="0.3">
      <c r="A3620">
        <v>304</v>
      </c>
      <c r="B3620" s="5">
        <v>43876</v>
      </c>
      <c r="C3620" t="s">
        <v>10</v>
      </c>
      <c r="D3620">
        <v>232</v>
      </c>
      <c r="E3620">
        <v>290</v>
      </c>
      <c r="F3620" s="5">
        <v>43862</v>
      </c>
      <c r="G3620">
        <v>232</v>
      </c>
      <c r="H3620" t="s">
        <v>57</v>
      </c>
    </row>
    <row r="3621" spans="1:8" x14ac:dyDescent="0.3">
      <c r="A3621">
        <v>304</v>
      </c>
      <c r="B3621" s="5">
        <v>43879</v>
      </c>
      <c r="C3621" t="s">
        <v>12</v>
      </c>
      <c r="D3621">
        <v>594</v>
      </c>
      <c r="E3621">
        <v>-304</v>
      </c>
      <c r="F3621" s="5">
        <v>43862</v>
      </c>
      <c r="G3621">
        <v>-594</v>
      </c>
      <c r="H3621" t="s">
        <v>58</v>
      </c>
    </row>
    <row r="3622" spans="1:8" x14ac:dyDescent="0.3">
      <c r="A3622">
        <v>304</v>
      </c>
      <c r="B3622" s="5">
        <v>43884</v>
      </c>
      <c r="C3622" t="s">
        <v>12</v>
      </c>
      <c r="D3622">
        <v>860</v>
      </c>
      <c r="E3622">
        <v>-1164</v>
      </c>
      <c r="F3622" s="5">
        <v>43862</v>
      </c>
      <c r="G3622">
        <v>-860</v>
      </c>
      <c r="H3622" t="s">
        <v>58</v>
      </c>
    </row>
    <row r="3623" spans="1:8" x14ac:dyDescent="0.3">
      <c r="A3623">
        <v>304</v>
      </c>
      <c r="B3623" s="5">
        <v>43887</v>
      </c>
      <c r="C3623" t="s">
        <v>11</v>
      </c>
      <c r="D3623">
        <v>196</v>
      </c>
      <c r="E3623">
        <v>-1360</v>
      </c>
      <c r="F3623" s="5">
        <v>43862</v>
      </c>
      <c r="G3623">
        <v>-196</v>
      </c>
      <c r="H3623" t="s">
        <v>58</v>
      </c>
    </row>
    <row r="3624" spans="1:8" x14ac:dyDescent="0.3">
      <c r="A3624">
        <v>304</v>
      </c>
      <c r="B3624" s="5">
        <v>43892</v>
      </c>
      <c r="C3624" t="s">
        <v>12</v>
      </c>
      <c r="D3624">
        <v>11</v>
      </c>
      <c r="E3624">
        <v>-1371</v>
      </c>
      <c r="F3624" s="5">
        <v>43891</v>
      </c>
      <c r="G3624">
        <v>-11</v>
      </c>
      <c r="H3624" t="s">
        <v>58</v>
      </c>
    </row>
    <row r="3625" spans="1:8" x14ac:dyDescent="0.3">
      <c r="A3625">
        <v>304</v>
      </c>
      <c r="B3625" s="5">
        <v>43895</v>
      </c>
      <c r="C3625" t="s">
        <v>11</v>
      </c>
      <c r="D3625">
        <v>738</v>
      </c>
      <c r="E3625">
        <v>-2109</v>
      </c>
      <c r="F3625" s="5">
        <v>43891</v>
      </c>
      <c r="G3625">
        <v>-738</v>
      </c>
      <c r="H3625" t="s">
        <v>58</v>
      </c>
    </row>
    <row r="3626" spans="1:8" x14ac:dyDescent="0.3">
      <c r="A3626">
        <v>304</v>
      </c>
      <c r="B3626" s="5">
        <v>43898</v>
      </c>
      <c r="C3626" t="s">
        <v>11</v>
      </c>
      <c r="D3626">
        <v>8</v>
      </c>
      <c r="E3626">
        <v>-2117</v>
      </c>
      <c r="F3626" s="5">
        <v>43891</v>
      </c>
      <c r="G3626">
        <v>-8</v>
      </c>
      <c r="H3626" t="s">
        <v>58</v>
      </c>
    </row>
    <row r="3627" spans="1:8" x14ac:dyDescent="0.3">
      <c r="A3627">
        <v>304</v>
      </c>
      <c r="B3627" s="5">
        <v>43903</v>
      </c>
      <c r="C3627" t="s">
        <v>12</v>
      </c>
      <c r="D3627">
        <v>13</v>
      </c>
      <c r="E3627">
        <v>-2130</v>
      </c>
      <c r="F3627" s="5">
        <v>43891</v>
      </c>
      <c r="G3627">
        <v>-13</v>
      </c>
      <c r="H3627" t="s">
        <v>58</v>
      </c>
    </row>
    <row r="3628" spans="1:8" x14ac:dyDescent="0.3">
      <c r="A3628">
        <v>304</v>
      </c>
      <c r="B3628" s="5">
        <v>43906</v>
      </c>
      <c r="C3628" t="s">
        <v>12</v>
      </c>
      <c r="D3628">
        <v>879</v>
      </c>
      <c r="E3628">
        <v>-3009</v>
      </c>
      <c r="F3628" s="5">
        <v>43891</v>
      </c>
      <c r="G3628">
        <v>-879</v>
      </c>
      <c r="H3628" t="s">
        <v>58</v>
      </c>
    </row>
    <row r="3629" spans="1:8" x14ac:dyDescent="0.3">
      <c r="A3629">
        <v>304</v>
      </c>
      <c r="B3629" s="5">
        <v>43913</v>
      </c>
      <c r="C3629" t="s">
        <v>10</v>
      </c>
      <c r="D3629">
        <v>950</v>
      </c>
      <c r="E3629">
        <v>-2059</v>
      </c>
      <c r="F3629" s="5">
        <v>43891</v>
      </c>
      <c r="G3629">
        <v>950</v>
      </c>
      <c r="H3629" t="s">
        <v>58</v>
      </c>
    </row>
    <row r="3630" spans="1:8" x14ac:dyDescent="0.3">
      <c r="A3630">
        <v>304</v>
      </c>
      <c r="B3630" s="5">
        <v>43914</v>
      </c>
      <c r="C3630" t="s">
        <v>12</v>
      </c>
      <c r="D3630">
        <v>361</v>
      </c>
      <c r="E3630">
        <v>-2420</v>
      </c>
      <c r="F3630" s="5">
        <v>43891</v>
      </c>
      <c r="G3630">
        <v>-361</v>
      </c>
      <c r="H3630" t="s">
        <v>58</v>
      </c>
    </row>
    <row r="3631" spans="1:8" x14ac:dyDescent="0.3">
      <c r="A3631">
        <v>304</v>
      </c>
      <c r="B3631" s="5">
        <v>43927</v>
      </c>
      <c r="C3631" t="s">
        <v>12</v>
      </c>
      <c r="D3631">
        <v>381</v>
      </c>
      <c r="E3631">
        <v>-2801</v>
      </c>
      <c r="F3631" s="5">
        <v>43922</v>
      </c>
      <c r="G3631">
        <v>-381</v>
      </c>
      <c r="H3631" t="s">
        <v>58</v>
      </c>
    </row>
    <row r="3632" spans="1:8" x14ac:dyDescent="0.3">
      <c r="A3632">
        <v>304</v>
      </c>
      <c r="B3632" s="5">
        <v>43928</v>
      </c>
      <c r="C3632" t="s">
        <v>10</v>
      </c>
      <c r="D3632">
        <v>533</v>
      </c>
      <c r="E3632">
        <v>-2268</v>
      </c>
      <c r="F3632" s="5">
        <v>43922</v>
      </c>
      <c r="G3632">
        <v>533</v>
      </c>
      <c r="H3632" t="s">
        <v>58</v>
      </c>
    </row>
    <row r="3633" spans="1:8" x14ac:dyDescent="0.3">
      <c r="A3633">
        <v>304</v>
      </c>
      <c r="B3633" s="5">
        <v>43934</v>
      </c>
      <c r="C3633" t="s">
        <v>10</v>
      </c>
      <c r="D3633">
        <v>221</v>
      </c>
      <c r="E3633">
        <v>-2047</v>
      </c>
      <c r="F3633" s="5">
        <v>43922</v>
      </c>
      <c r="G3633">
        <v>221</v>
      </c>
      <c r="H3633" t="s">
        <v>58</v>
      </c>
    </row>
    <row r="3634" spans="1:8" x14ac:dyDescent="0.3">
      <c r="A3634">
        <v>305</v>
      </c>
      <c r="B3634" s="5">
        <v>43839</v>
      </c>
      <c r="C3634" t="s">
        <v>10</v>
      </c>
      <c r="D3634">
        <v>36</v>
      </c>
      <c r="E3634">
        <v>36</v>
      </c>
      <c r="F3634" s="5">
        <v>43831</v>
      </c>
      <c r="G3634">
        <v>36</v>
      </c>
      <c r="H3634" t="s">
        <v>57</v>
      </c>
    </row>
    <row r="3635" spans="1:8" x14ac:dyDescent="0.3">
      <c r="A3635">
        <v>305</v>
      </c>
      <c r="B3635" s="5">
        <v>43841</v>
      </c>
      <c r="C3635" t="s">
        <v>12</v>
      </c>
      <c r="D3635">
        <v>2</v>
      </c>
      <c r="E3635">
        <v>34</v>
      </c>
      <c r="F3635" s="5">
        <v>43831</v>
      </c>
      <c r="G3635">
        <v>-2</v>
      </c>
      <c r="H3635" t="s">
        <v>57</v>
      </c>
    </row>
    <row r="3636" spans="1:8" x14ac:dyDescent="0.3">
      <c r="A3636">
        <v>305</v>
      </c>
      <c r="B3636" s="5">
        <v>43846</v>
      </c>
      <c r="C3636" t="s">
        <v>10</v>
      </c>
      <c r="D3636">
        <v>366</v>
      </c>
      <c r="E3636">
        <v>400</v>
      </c>
      <c r="F3636" s="5">
        <v>43831</v>
      </c>
      <c r="G3636">
        <v>366</v>
      </c>
      <c r="H3636" t="s">
        <v>57</v>
      </c>
    </row>
    <row r="3637" spans="1:8" x14ac:dyDescent="0.3">
      <c r="A3637">
        <v>305</v>
      </c>
      <c r="B3637" s="5">
        <v>43847</v>
      </c>
      <c r="C3637" t="s">
        <v>12</v>
      </c>
      <c r="D3637">
        <v>380</v>
      </c>
      <c r="E3637">
        <v>20</v>
      </c>
      <c r="F3637" s="5">
        <v>43831</v>
      </c>
      <c r="G3637">
        <v>-380</v>
      </c>
      <c r="H3637" t="s">
        <v>57</v>
      </c>
    </row>
    <row r="3638" spans="1:8" x14ac:dyDescent="0.3">
      <c r="A3638">
        <v>305</v>
      </c>
      <c r="B3638" s="5">
        <v>43865</v>
      </c>
      <c r="C3638" t="s">
        <v>10</v>
      </c>
      <c r="D3638">
        <v>517</v>
      </c>
      <c r="E3638">
        <v>537</v>
      </c>
      <c r="F3638" s="5">
        <v>43862</v>
      </c>
      <c r="G3638">
        <v>517</v>
      </c>
      <c r="H3638" t="s">
        <v>57</v>
      </c>
    </row>
    <row r="3639" spans="1:8" x14ac:dyDescent="0.3">
      <c r="A3639">
        <v>305</v>
      </c>
      <c r="B3639" s="5">
        <v>43877</v>
      </c>
      <c r="C3639" t="s">
        <v>11</v>
      </c>
      <c r="D3639">
        <v>348</v>
      </c>
      <c r="E3639">
        <v>189</v>
      </c>
      <c r="F3639" s="5">
        <v>43862</v>
      </c>
      <c r="G3639">
        <v>-348</v>
      </c>
      <c r="H3639" t="s">
        <v>57</v>
      </c>
    </row>
    <row r="3640" spans="1:8" x14ac:dyDescent="0.3">
      <c r="A3640">
        <v>305</v>
      </c>
      <c r="B3640" s="5">
        <v>43897</v>
      </c>
      <c r="C3640" t="s">
        <v>10</v>
      </c>
      <c r="D3640">
        <v>773</v>
      </c>
      <c r="E3640">
        <v>962</v>
      </c>
      <c r="F3640" s="5">
        <v>43891</v>
      </c>
      <c r="G3640">
        <v>773</v>
      </c>
      <c r="H3640" t="s">
        <v>57</v>
      </c>
    </row>
    <row r="3641" spans="1:8" x14ac:dyDescent="0.3">
      <c r="A3641">
        <v>305</v>
      </c>
      <c r="B3641" s="5">
        <v>43897</v>
      </c>
      <c r="C3641" t="s">
        <v>12</v>
      </c>
      <c r="D3641">
        <v>405</v>
      </c>
      <c r="E3641">
        <v>557</v>
      </c>
      <c r="F3641" s="5">
        <v>43891</v>
      </c>
      <c r="G3641">
        <v>-405</v>
      </c>
      <c r="H3641" t="s">
        <v>57</v>
      </c>
    </row>
    <row r="3642" spans="1:8" x14ac:dyDescent="0.3">
      <c r="A3642">
        <v>305</v>
      </c>
      <c r="B3642" s="5">
        <v>43912</v>
      </c>
      <c r="C3642" t="s">
        <v>12</v>
      </c>
      <c r="D3642">
        <v>613</v>
      </c>
      <c r="E3642">
        <v>-56</v>
      </c>
      <c r="F3642" s="5">
        <v>43891</v>
      </c>
      <c r="G3642">
        <v>-613</v>
      </c>
      <c r="H3642" t="s">
        <v>58</v>
      </c>
    </row>
    <row r="3643" spans="1:8" x14ac:dyDescent="0.3">
      <c r="A3643">
        <v>306</v>
      </c>
      <c r="B3643" s="5">
        <v>43857</v>
      </c>
      <c r="C3643" t="s">
        <v>10</v>
      </c>
      <c r="D3643">
        <v>402</v>
      </c>
      <c r="E3643">
        <v>402</v>
      </c>
      <c r="F3643" s="5">
        <v>43831</v>
      </c>
      <c r="G3643">
        <v>402</v>
      </c>
      <c r="H3643" t="s">
        <v>57</v>
      </c>
    </row>
    <row r="3644" spans="1:8" x14ac:dyDescent="0.3">
      <c r="A3644">
        <v>306</v>
      </c>
      <c r="B3644" s="5">
        <v>43898</v>
      </c>
      <c r="C3644" t="s">
        <v>10</v>
      </c>
      <c r="D3644">
        <v>630</v>
      </c>
      <c r="E3644">
        <v>1032</v>
      </c>
      <c r="F3644" s="5">
        <v>43891</v>
      </c>
      <c r="G3644">
        <v>630</v>
      </c>
      <c r="H3644" t="s">
        <v>57</v>
      </c>
    </row>
    <row r="3645" spans="1:8" x14ac:dyDescent="0.3">
      <c r="A3645">
        <v>306</v>
      </c>
      <c r="B3645" s="5">
        <v>43905</v>
      </c>
      <c r="C3645" t="s">
        <v>11</v>
      </c>
      <c r="D3645">
        <v>874</v>
      </c>
      <c r="E3645">
        <v>158</v>
      </c>
      <c r="F3645" s="5">
        <v>43891</v>
      </c>
      <c r="G3645">
        <v>-874</v>
      </c>
      <c r="H3645" t="s">
        <v>57</v>
      </c>
    </row>
    <row r="3646" spans="1:8" x14ac:dyDescent="0.3">
      <c r="A3646">
        <v>306</v>
      </c>
      <c r="B3646" s="5">
        <v>43908</v>
      </c>
      <c r="C3646" t="s">
        <v>12</v>
      </c>
      <c r="D3646">
        <v>968</v>
      </c>
      <c r="E3646">
        <v>-810</v>
      </c>
      <c r="F3646" s="5">
        <v>43891</v>
      </c>
      <c r="G3646">
        <v>-968</v>
      </c>
      <c r="H3646" t="s">
        <v>58</v>
      </c>
    </row>
    <row r="3647" spans="1:8" x14ac:dyDescent="0.3">
      <c r="A3647">
        <v>306</v>
      </c>
      <c r="B3647" s="5">
        <v>43918</v>
      </c>
      <c r="C3647" t="s">
        <v>10</v>
      </c>
      <c r="D3647">
        <v>810</v>
      </c>
      <c r="E3647">
        <v>0</v>
      </c>
      <c r="F3647" s="5">
        <v>43891</v>
      </c>
      <c r="G3647">
        <v>810</v>
      </c>
      <c r="H3647" t="s">
        <v>57</v>
      </c>
    </row>
    <row r="3648" spans="1:8" x14ac:dyDescent="0.3">
      <c r="A3648">
        <v>306</v>
      </c>
      <c r="B3648" s="5">
        <v>43926</v>
      </c>
      <c r="C3648" t="s">
        <v>12</v>
      </c>
      <c r="D3648">
        <v>847</v>
      </c>
      <c r="E3648">
        <v>-847</v>
      </c>
      <c r="F3648" s="5">
        <v>43922</v>
      </c>
      <c r="G3648">
        <v>-847</v>
      </c>
      <c r="H3648" t="s">
        <v>58</v>
      </c>
    </row>
    <row r="3649" spans="1:8" x14ac:dyDescent="0.3">
      <c r="A3649">
        <v>306</v>
      </c>
      <c r="B3649" s="5">
        <v>43928</v>
      </c>
      <c r="C3649" t="s">
        <v>12</v>
      </c>
      <c r="D3649">
        <v>432</v>
      </c>
      <c r="E3649">
        <v>-1279</v>
      </c>
      <c r="F3649" s="5">
        <v>43922</v>
      </c>
      <c r="G3649">
        <v>-432</v>
      </c>
      <c r="H3649" t="s">
        <v>58</v>
      </c>
    </row>
    <row r="3650" spans="1:8" x14ac:dyDescent="0.3">
      <c r="A3650">
        <v>306</v>
      </c>
      <c r="B3650" s="5">
        <v>43928</v>
      </c>
      <c r="C3650" t="s">
        <v>10</v>
      </c>
      <c r="D3650">
        <v>783</v>
      </c>
      <c r="E3650">
        <v>-496</v>
      </c>
      <c r="F3650" s="5">
        <v>43922</v>
      </c>
      <c r="G3650">
        <v>783</v>
      </c>
      <c r="H3650" t="s">
        <v>58</v>
      </c>
    </row>
    <row r="3651" spans="1:8" x14ac:dyDescent="0.3">
      <c r="A3651">
        <v>306</v>
      </c>
      <c r="B3651" s="5">
        <v>43933</v>
      </c>
      <c r="C3651" t="s">
        <v>10</v>
      </c>
      <c r="D3651">
        <v>805</v>
      </c>
      <c r="E3651">
        <v>309</v>
      </c>
      <c r="F3651" s="5">
        <v>43922</v>
      </c>
      <c r="G3651">
        <v>805</v>
      </c>
      <c r="H3651" t="s">
        <v>57</v>
      </c>
    </row>
    <row r="3652" spans="1:8" x14ac:dyDescent="0.3">
      <c r="A3652">
        <v>306</v>
      </c>
      <c r="B3652" s="5">
        <v>43933</v>
      </c>
      <c r="C3652" t="s">
        <v>10</v>
      </c>
      <c r="D3652">
        <v>403</v>
      </c>
      <c r="E3652">
        <v>712</v>
      </c>
      <c r="F3652" s="5">
        <v>43922</v>
      </c>
      <c r="G3652">
        <v>403</v>
      </c>
      <c r="H3652" t="s">
        <v>57</v>
      </c>
    </row>
    <row r="3653" spans="1:8" x14ac:dyDescent="0.3">
      <c r="A3653">
        <v>306</v>
      </c>
      <c r="B3653" s="5">
        <v>43936</v>
      </c>
      <c r="C3653" t="s">
        <v>10</v>
      </c>
      <c r="D3653">
        <v>217</v>
      </c>
      <c r="E3653">
        <v>929</v>
      </c>
      <c r="F3653" s="5">
        <v>43922</v>
      </c>
      <c r="G3653">
        <v>217</v>
      </c>
      <c r="H3653" t="s">
        <v>57</v>
      </c>
    </row>
    <row r="3654" spans="1:8" x14ac:dyDescent="0.3">
      <c r="A3654">
        <v>306</v>
      </c>
      <c r="B3654" s="5">
        <v>43937</v>
      </c>
      <c r="C3654" t="s">
        <v>10</v>
      </c>
      <c r="D3654">
        <v>582</v>
      </c>
      <c r="E3654">
        <v>1511</v>
      </c>
      <c r="F3654" s="5">
        <v>43922</v>
      </c>
      <c r="G3654">
        <v>582</v>
      </c>
      <c r="H3654" t="s">
        <v>57</v>
      </c>
    </row>
    <row r="3655" spans="1:8" x14ac:dyDescent="0.3">
      <c r="A3655">
        <v>306</v>
      </c>
      <c r="B3655" s="5">
        <v>43939</v>
      </c>
      <c r="C3655" t="s">
        <v>11</v>
      </c>
      <c r="D3655">
        <v>362</v>
      </c>
      <c r="E3655">
        <v>1149</v>
      </c>
      <c r="F3655" s="5">
        <v>43922</v>
      </c>
      <c r="G3655">
        <v>-362</v>
      </c>
      <c r="H3655" t="s">
        <v>57</v>
      </c>
    </row>
    <row r="3656" spans="1:8" x14ac:dyDescent="0.3">
      <c r="A3656">
        <v>306</v>
      </c>
      <c r="B3656" s="5">
        <v>43939</v>
      </c>
      <c r="C3656" t="s">
        <v>10</v>
      </c>
      <c r="D3656">
        <v>268</v>
      </c>
      <c r="E3656">
        <v>1417</v>
      </c>
      <c r="F3656" s="5">
        <v>43922</v>
      </c>
      <c r="G3656">
        <v>268</v>
      </c>
      <c r="H3656" t="s">
        <v>57</v>
      </c>
    </row>
    <row r="3657" spans="1:8" x14ac:dyDescent="0.3">
      <c r="A3657">
        <v>306</v>
      </c>
      <c r="B3657" s="5">
        <v>43940</v>
      </c>
      <c r="C3657" t="s">
        <v>10</v>
      </c>
      <c r="D3657">
        <v>370</v>
      </c>
      <c r="E3657">
        <v>1787</v>
      </c>
      <c r="F3657" s="5">
        <v>43922</v>
      </c>
      <c r="G3657">
        <v>370</v>
      </c>
      <c r="H3657" t="s">
        <v>57</v>
      </c>
    </row>
    <row r="3658" spans="1:8" x14ac:dyDescent="0.3">
      <c r="A3658">
        <v>306</v>
      </c>
      <c r="B3658" s="5">
        <v>43940</v>
      </c>
      <c r="C3658" t="s">
        <v>12</v>
      </c>
      <c r="D3658">
        <v>926</v>
      </c>
      <c r="E3658">
        <v>861</v>
      </c>
      <c r="F3658" s="5">
        <v>43922</v>
      </c>
      <c r="G3658">
        <v>-926</v>
      </c>
      <c r="H3658" t="s">
        <v>57</v>
      </c>
    </row>
    <row r="3659" spans="1:8" x14ac:dyDescent="0.3">
      <c r="A3659">
        <v>306</v>
      </c>
      <c r="B3659" s="5">
        <v>43946</v>
      </c>
      <c r="C3659" t="s">
        <v>10</v>
      </c>
      <c r="D3659">
        <v>704</v>
      </c>
      <c r="E3659">
        <v>1565</v>
      </c>
      <c r="F3659" s="5">
        <v>43922</v>
      </c>
      <c r="G3659">
        <v>704</v>
      </c>
      <c r="H3659" t="s">
        <v>57</v>
      </c>
    </row>
    <row r="3660" spans="1:8" x14ac:dyDescent="0.3">
      <c r="A3660">
        <v>307</v>
      </c>
      <c r="B3660" s="5">
        <v>43844</v>
      </c>
      <c r="C3660" t="s">
        <v>10</v>
      </c>
      <c r="D3660">
        <v>363</v>
      </c>
      <c r="E3660">
        <v>363</v>
      </c>
      <c r="F3660" s="5">
        <v>43831</v>
      </c>
      <c r="G3660">
        <v>363</v>
      </c>
      <c r="H3660" t="s">
        <v>57</v>
      </c>
    </row>
    <row r="3661" spans="1:8" x14ac:dyDescent="0.3">
      <c r="A3661">
        <v>307</v>
      </c>
      <c r="B3661" s="5">
        <v>43849</v>
      </c>
      <c r="C3661" t="s">
        <v>11</v>
      </c>
      <c r="D3661">
        <v>99</v>
      </c>
      <c r="E3661">
        <v>264</v>
      </c>
      <c r="F3661" s="5">
        <v>43831</v>
      </c>
      <c r="G3661">
        <v>-99</v>
      </c>
      <c r="H3661" t="s">
        <v>57</v>
      </c>
    </row>
    <row r="3662" spans="1:8" x14ac:dyDescent="0.3">
      <c r="A3662">
        <v>307</v>
      </c>
      <c r="B3662" s="5">
        <v>43854</v>
      </c>
      <c r="C3662" t="s">
        <v>11</v>
      </c>
      <c r="D3662">
        <v>652</v>
      </c>
      <c r="E3662">
        <v>-388</v>
      </c>
      <c r="F3662" s="5">
        <v>43831</v>
      </c>
      <c r="G3662">
        <v>-652</v>
      </c>
      <c r="H3662" t="s">
        <v>58</v>
      </c>
    </row>
    <row r="3663" spans="1:8" x14ac:dyDescent="0.3">
      <c r="A3663">
        <v>307</v>
      </c>
      <c r="B3663" s="5">
        <v>43856</v>
      </c>
      <c r="C3663" t="s">
        <v>11</v>
      </c>
      <c r="D3663">
        <v>308</v>
      </c>
      <c r="E3663">
        <v>-696</v>
      </c>
      <c r="F3663" s="5">
        <v>43831</v>
      </c>
      <c r="G3663">
        <v>-308</v>
      </c>
      <c r="H3663" t="s">
        <v>58</v>
      </c>
    </row>
    <row r="3664" spans="1:8" x14ac:dyDescent="0.3">
      <c r="A3664">
        <v>307</v>
      </c>
      <c r="B3664" s="5">
        <v>43879</v>
      </c>
      <c r="C3664" t="s">
        <v>10</v>
      </c>
      <c r="D3664">
        <v>970</v>
      </c>
      <c r="E3664">
        <v>274</v>
      </c>
      <c r="F3664" s="5">
        <v>43862</v>
      </c>
      <c r="G3664">
        <v>970</v>
      </c>
      <c r="H3664" t="s">
        <v>57</v>
      </c>
    </row>
    <row r="3665" spans="1:8" x14ac:dyDescent="0.3">
      <c r="A3665">
        <v>307</v>
      </c>
      <c r="B3665" s="5">
        <v>43880</v>
      </c>
      <c r="C3665" t="s">
        <v>10</v>
      </c>
      <c r="D3665">
        <v>817</v>
      </c>
      <c r="E3665">
        <v>1091</v>
      </c>
      <c r="F3665" s="5">
        <v>43862</v>
      </c>
      <c r="G3665">
        <v>817</v>
      </c>
      <c r="H3665" t="s">
        <v>57</v>
      </c>
    </row>
    <row r="3666" spans="1:8" x14ac:dyDescent="0.3">
      <c r="A3666">
        <v>307</v>
      </c>
      <c r="B3666" s="5">
        <v>43881</v>
      </c>
      <c r="C3666" t="s">
        <v>12</v>
      </c>
      <c r="D3666">
        <v>341</v>
      </c>
      <c r="E3666">
        <v>750</v>
      </c>
      <c r="F3666" s="5">
        <v>43862</v>
      </c>
      <c r="G3666">
        <v>-341</v>
      </c>
      <c r="H3666" t="s">
        <v>57</v>
      </c>
    </row>
    <row r="3667" spans="1:8" x14ac:dyDescent="0.3">
      <c r="A3667">
        <v>307</v>
      </c>
      <c r="B3667" s="5">
        <v>43907</v>
      </c>
      <c r="C3667" t="s">
        <v>10</v>
      </c>
      <c r="D3667">
        <v>212</v>
      </c>
      <c r="E3667">
        <v>962</v>
      </c>
      <c r="F3667" s="5">
        <v>43891</v>
      </c>
      <c r="G3667">
        <v>212</v>
      </c>
      <c r="H3667" t="s">
        <v>57</v>
      </c>
    </row>
    <row r="3668" spans="1:8" x14ac:dyDescent="0.3">
      <c r="A3668">
        <v>307</v>
      </c>
      <c r="B3668" s="5">
        <v>43913</v>
      </c>
      <c r="C3668" t="s">
        <v>12</v>
      </c>
      <c r="D3668">
        <v>867</v>
      </c>
      <c r="E3668">
        <v>95</v>
      </c>
      <c r="F3668" s="5">
        <v>43891</v>
      </c>
      <c r="G3668">
        <v>-867</v>
      </c>
      <c r="H3668" t="s">
        <v>57</v>
      </c>
    </row>
    <row r="3669" spans="1:8" x14ac:dyDescent="0.3">
      <c r="A3669">
        <v>307</v>
      </c>
      <c r="B3669" s="5">
        <v>43917</v>
      </c>
      <c r="C3669" t="s">
        <v>10</v>
      </c>
      <c r="D3669">
        <v>430</v>
      </c>
      <c r="E3669">
        <v>525</v>
      </c>
      <c r="F3669" s="5">
        <v>43891</v>
      </c>
      <c r="G3669">
        <v>430</v>
      </c>
      <c r="H3669" t="s">
        <v>57</v>
      </c>
    </row>
    <row r="3670" spans="1:8" x14ac:dyDescent="0.3">
      <c r="A3670">
        <v>307</v>
      </c>
      <c r="B3670" s="5">
        <v>43930</v>
      </c>
      <c r="C3670" t="s">
        <v>12</v>
      </c>
      <c r="D3670">
        <v>463</v>
      </c>
      <c r="E3670">
        <v>62</v>
      </c>
      <c r="F3670" s="5">
        <v>43922</v>
      </c>
      <c r="G3670">
        <v>-463</v>
      </c>
      <c r="H3670" t="s">
        <v>57</v>
      </c>
    </row>
    <row r="3671" spans="1:8" x14ac:dyDescent="0.3">
      <c r="A3671">
        <v>308</v>
      </c>
      <c r="B3671" s="5">
        <v>43844</v>
      </c>
      <c r="C3671" t="s">
        <v>10</v>
      </c>
      <c r="D3671">
        <v>782</v>
      </c>
      <c r="E3671">
        <v>782</v>
      </c>
      <c r="F3671" s="5">
        <v>43831</v>
      </c>
      <c r="G3671">
        <v>782</v>
      </c>
      <c r="H3671" t="s">
        <v>57</v>
      </c>
    </row>
    <row r="3672" spans="1:8" x14ac:dyDescent="0.3">
      <c r="A3672">
        <v>308</v>
      </c>
      <c r="B3672" s="5">
        <v>43851</v>
      </c>
      <c r="C3672" t="s">
        <v>11</v>
      </c>
      <c r="D3672">
        <v>962</v>
      </c>
      <c r="E3672">
        <v>-180</v>
      </c>
      <c r="F3672" s="5">
        <v>43831</v>
      </c>
      <c r="G3672">
        <v>-962</v>
      </c>
      <c r="H3672" t="s">
        <v>58</v>
      </c>
    </row>
    <row r="3673" spans="1:8" x14ac:dyDescent="0.3">
      <c r="A3673">
        <v>308</v>
      </c>
      <c r="B3673" s="5">
        <v>43857</v>
      </c>
      <c r="C3673" t="s">
        <v>12</v>
      </c>
      <c r="D3673">
        <v>381</v>
      </c>
      <c r="E3673">
        <v>-561</v>
      </c>
      <c r="F3673" s="5">
        <v>43831</v>
      </c>
      <c r="G3673">
        <v>-381</v>
      </c>
      <c r="H3673" t="s">
        <v>58</v>
      </c>
    </row>
    <row r="3674" spans="1:8" x14ac:dyDescent="0.3">
      <c r="A3674">
        <v>308</v>
      </c>
      <c r="B3674" s="5">
        <v>43890</v>
      </c>
      <c r="C3674" t="s">
        <v>10</v>
      </c>
      <c r="D3674">
        <v>877</v>
      </c>
      <c r="E3674">
        <v>316</v>
      </c>
      <c r="F3674" s="5">
        <v>43862</v>
      </c>
      <c r="G3674">
        <v>877</v>
      </c>
      <c r="H3674" t="s">
        <v>57</v>
      </c>
    </row>
    <row r="3675" spans="1:8" x14ac:dyDescent="0.3">
      <c r="A3675">
        <v>308</v>
      </c>
      <c r="B3675" s="5">
        <v>43894</v>
      </c>
      <c r="C3675" t="s">
        <v>11</v>
      </c>
      <c r="D3675">
        <v>249</v>
      </c>
      <c r="E3675">
        <v>67</v>
      </c>
      <c r="F3675" s="5">
        <v>43891</v>
      </c>
      <c r="G3675">
        <v>-249</v>
      </c>
      <c r="H3675" t="s">
        <v>57</v>
      </c>
    </row>
    <row r="3676" spans="1:8" x14ac:dyDescent="0.3">
      <c r="A3676">
        <v>308</v>
      </c>
      <c r="B3676" s="5">
        <v>43914</v>
      </c>
      <c r="C3676" t="s">
        <v>10</v>
      </c>
      <c r="D3676">
        <v>389</v>
      </c>
      <c r="E3676">
        <v>456</v>
      </c>
      <c r="F3676" s="5">
        <v>43891</v>
      </c>
      <c r="G3676">
        <v>389</v>
      </c>
      <c r="H3676" t="s">
        <v>57</v>
      </c>
    </row>
    <row r="3677" spans="1:8" x14ac:dyDescent="0.3">
      <c r="A3677">
        <v>308</v>
      </c>
      <c r="B3677" s="5">
        <v>43915</v>
      </c>
      <c r="C3677" t="s">
        <v>10</v>
      </c>
      <c r="D3677">
        <v>183</v>
      </c>
      <c r="E3677">
        <v>639</v>
      </c>
      <c r="F3677" s="5">
        <v>43891</v>
      </c>
      <c r="G3677">
        <v>183</v>
      </c>
      <c r="H3677" t="s">
        <v>57</v>
      </c>
    </row>
    <row r="3678" spans="1:8" x14ac:dyDescent="0.3">
      <c r="A3678">
        <v>308</v>
      </c>
      <c r="B3678" s="5">
        <v>43916</v>
      </c>
      <c r="C3678" t="s">
        <v>11</v>
      </c>
      <c r="D3678">
        <v>656</v>
      </c>
      <c r="E3678">
        <v>-17</v>
      </c>
      <c r="F3678" s="5">
        <v>43891</v>
      </c>
      <c r="G3678">
        <v>-656</v>
      </c>
      <c r="H3678" t="s">
        <v>58</v>
      </c>
    </row>
    <row r="3679" spans="1:8" x14ac:dyDescent="0.3">
      <c r="A3679">
        <v>308</v>
      </c>
      <c r="B3679" s="5">
        <v>43917</v>
      </c>
      <c r="C3679" t="s">
        <v>10</v>
      </c>
      <c r="D3679">
        <v>727</v>
      </c>
      <c r="E3679">
        <v>710</v>
      </c>
      <c r="F3679" s="5">
        <v>43891</v>
      </c>
      <c r="G3679">
        <v>727</v>
      </c>
      <c r="H3679" t="s">
        <v>57</v>
      </c>
    </row>
    <row r="3680" spans="1:8" x14ac:dyDescent="0.3">
      <c r="A3680">
        <v>308</v>
      </c>
      <c r="B3680" s="5">
        <v>43922</v>
      </c>
      <c r="C3680" t="s">
        <v>10</v>
      </c>
      <c r="D3680">
        <v>619</v>
      </c>
      <c r="E3680">
        <v>1329</v>
      </c>
      <c r="F3680" s="5">
        <v>43922</v>
      </c>
      <c r="G3680">
        <v>619</v>
      </c>
      <c r="H3680" t="s">
        <v>57</v>
      </c>
    </row>
    <row r="3681" spans="1:8" x14ac:dyDescent="0.3">
      <c r="A3681">
        <v>308</v>
      </c>
      <c r="B3681" s="5">
        <v>43922</v>
      </c>
      <c r="C3681" t="s">
        <v>11</v>
      </c>
      <c r="D3681">
        <v>358</v>
      </c>
      <c r="E3681">
        <v>971</v>
      </c>
      <c r="F3681" s="5">
        <v>43922</v>
      </c>
      <c r="G3681">
        <v>-358</v>
      </c>
      <c r="H3681" t="s">
        <v>57</v>
      </c>
    </row>
    <row r="3682" spans="1:8" x14ac:dyDescent="0.3">
      <c r="A3682">
        <v>309</v>
      </c>
      <c r="B3682" s="5">
        <v>43843</v>
      </c>
      <c r="C3682" t="s">
        <v>11</v>
      </c>
      <c r="D3682">
        <v>532</v>
      </c>
      <c r="E3682">
        <v>-532</v>
      </c>
      <c r="F3682" s="5">
        <v>43831</v>
      </c>
      <c r="G3682">
        <v>-532</v>
      </c>
      <c r="H3682" t="s">
        <v>58</v>
      </c>
    </row>
    <row r="3683" spans="1:8" x14ac:dyDescent="0.3">
      <c r="A3683">
        <v>309</v>
      </c>
      <c r="B3683" s="5">
        <v>43843</v>
      </c>
      <c r="C3683" t="s">
        <v>10</v>
      </c>
      <c r="D3683">
        <v>995</v>
      </c>
      <c r="E3683">
        <v>463</v>
      </c>
      <c r="F3683" s="5">
        <v>43831</v>
      </c>
      <c r="G3683">
        <v>995</v>
      </c>
      <c r="H3683" t="s">
        <v>57</v>
      </c>
    </row>
    <row r="3684" spans="1:8" x14ac:dyDescent="0.3">
      <c r="A3684">
        <v>309</v>
      </c>
      <c r="B3684" s="5">
        <v>43855</v>
      </c>
      <c r="C3684" t="s">
        <v>11</v>
      </c>
      <c r="D3684">
        <v>518</v>
      </c>
      <c r="E3684">
        <v>-55</v>
      </c>
      <c r="F3684" s="5">
        <v>43831</v>
      </c>
      <c r="G3684">
        <v>-518</v>
      </c>
      <c r="H3684" t="s">
        <v>58</v>
      </c>
    </row>
    <row r="3685" spans="1:8" x14ac:dyDescent="0.3">
      <c r="A3685">
        <v>309</v>
      </c>
      <c r="B3685" s="5">
        <v>43857</v>
      </c>
      <c r="C3685" t="s">
        <v>12</v>
      </c>
      <c r="D3685">
        <v>308</v>
      </c>
      <c r="E3685">
        <v>-363</v>
      </c>
      <c r="F3685" s="5">
        <v>43831</v>
      </c>
      <c r="G3685">
        <v>-308</v>
      </c>
      <c r="H3685" t="s">
        <v>58</v>
      </c>
    </row>
    <row r="3686" spans="1:8" x14ac:dyDescent="0.3">
      <c r="A3686">
        <v>309</v>
      </c>
      <c r="B3686" s="5">
        <v>43863</v>
      </c>
      <c r="C3686" t="s">
        <v>11</v>
      </c>
      <c r="D3686">
        <v>898</v>
      </c>
      <c r="E3686">
        <v>-1261</v>
      </c>
      <c r="F3686" s="5">
        <v>43862</v>
      </c>
      <c r="G3686">
        <v>-898</v>
      </c>
      <c r="H3686" t="s">
        <v>58</v>
      </c>
    </row>
    <row r="3687" spans="1:8" x14ac:dyDescent="0.3">
      <c r="A3687">
        <v>309</v>
      </c>
      <c r="B3687" s="5">
        <v>43869</v>
      </c>
      <c r="C3687" t="s">
        <v>11</v>
      </c>
      <c r="D3687">
        <v>341</v>
      </c>
      <c r="E3687">
        <v>-1602</v>
      </c>
      <c r="F3687" s="5">
        <v>43862</v>
      </c>
      <c r="G3687">
        <v>-341</v>
      </c>
      <c r="H3687" t="s">
        <v>58</v>
      </c>
    </row>
    <row r="3688" spans="1:8" x14ac:dyDescent="0.3">
      <c r="A3688">
        <v>309</v>
      </c>
      <c r="B3688" s="5">
        <v>43870</v>
      </c>
      <c r="C3688" t="s">
        <v>10</v>
      </c>
      <c r="D3688">
        <v>822</v>
      </c>
      <c r="E3688">
        <v>-780</v>
      </c>
      <c r="F3688" s="5">
        <v>43862</v>
      </c>
      <c r="G3688">
        <v>822</v>
      </c>
      <c r="H3688" t="s">
        <v>58</v>
      </c>
    </row>
    <row r="3689" spans="1:8" x14ac:dyDescent="0.3">
      <c r="A3689">
        <v>309</v>
      </c>
      <c r="B3689" s="5">
        <v>43876</v>
      </c>
      <c r="C3689" t="s">
        <v>11</v>
      </c>
      <c r="D3689">
        <v>69</v>
      </c>
      <c r="E3689">
        <v>-849</v>
      </c>
      <c r="F3689" s="5">
        <v>43862</v>
      </c>
      <c r="G3689">
        <v>-69</v>
      </c>
      <c r="H3689" t="s">
        <v>58</v>
      </c>
    </row>
    <row r="3690" spans="1:8" x14ac:dyDescent="0.3">
      <c r="A3690">
        <v>309</v>
      </c>
      <c r="B3690" s="5">
        <v>43878</v>
      </c>
      <c r="C3690" t="s">
        <v>11</v>
      </c>
      <c r="D3690">
        <v>812</v>
      </c>
      <c r="E3690">
        <v>-1661</v>
      </c>
      <c r="F3690" s="5">
        <v>43862</v>
      </c>
      <c r="G3690">
        <v>-812</v>
      </c>
      <c r="H3690" t="s">
        <v>58</v>
      </c>
    </row>
    <row r="3691" spans="1:8" x14ac:dyDescent="0.3">
      <c r="A3691">
        <v>309</v>
      </c>
      <c r="B3691" s="5">
        <v>43880</v>
      </c>
      <c r="C3691" t="s">
        <v>10</v>
      </c>
      <c r="D3691">
        <v>96</v>
      </c>
      <c r="E3691">
        <v>-1565</v>
      </c>
      <c r="F3691" s="5">
        <v>43862</v>
      </c>
      <c r="G3691">
        <v>96</v>
      </c>
      <c r="H3691" t="s">
        <v>58</v>
      </c>
    </row>
    <row r="3692" spans="1:8" x14ac:dyDescent="0.3">
      <c r="A3692">
        <v>309</v>
      </c>
      <c r="B3692" s="5">
        <v>43883</v>
      </c>
      <c r="C3692" t="s">
        <v>12</v>
      </c>
      <c r="D3692">
        <v>839</v>
      </c>
      <c r="E3692">
        <v>-2404</v>
      </c>
      <c r="F3692" s="5">
        <v>43862</v>
      </c>
      <c r="G3692">
        <v>-839</v>
      </c>
      <c r="H3692" t="s">
        <v>58</v>
      </c>
    </row>
    <row r="3693" spans="1:8" x14ac:dyDescent="0.3">
      <c r="A3693">
        <v>309</v>
      </c>
      <c r="B3693" s="5">
        <v>43908</v>
      </c>
      <c r="C3693" t="s">
        <v>10</v>
      </c>
      <c r="D3693">
        <v>577</v>
      </c>
      <c r="E3693">
        <v>-1827</v>
      </c>
      <c r="F3693" s="5">
        <v>43891</v>
      </c>
      <c r="G3693">
        <v>577</v>
      </c>
      <c r="H3693" t="s">
        <v>58</v>
      </c>
    </row>
    <row r="3694" spans="1:8" x14ac:dyDescent="0.3">
      <c r="A3694">
        <v>309</v>
      </c>
      <c r="B3694" s="5">
        <v>43910</v>
      </c>
      <c r="C3694" t="s">
        <v>10</v>
      </c>
      <c r="D3694">
        <v>663</v>
      </c>
      <c r="E3694">
        <v>-1164</v>
      </c>
      <c r="F3694" s="5">
        <v>43891</v>
      </c>
      <c r="G3694">
        <v>663</v>
      </c>
      <c r="H3694" t="s">
        <v>58</v>
      </c>
    </row>
    <row r="3695" spans="1:8" x14ac:dyDescent="0.3">
      <c r="A3695">
        <v>309</v>
      </c>
      <c r="B3695" s="5">
        <v>43915</v>
      </c>
      <c r="C3695" t="s">
        <v>11</v>
      </c>
      <c r="D3695">
        <v>649</v>
      </c>
      <c r="E3695">
        <v>-1813</v>
      </c>
      <c r="F3695" s="5">
        <v>43891</v>
      </c>
      <c r="G3695">
        <v>-649</v>
      </c>
      <c r="H3695" t="s">
        <v>58</v>
      </c>
    </row>
    <row r="3696" spans="1:8" x14ac:dyDescent="0.3">
      <c r="A3696">
        <v>309</v>
      </c>
      <c r="B3696" s="5">
        <v>43925</v>
      </c>
      <c r="C3696" t="s">
        <v>11</v>
      </c>
      <c r="D3696">
        <v>151</v>
      </c>
      <c r="E3696">
        <v>-1964</v>
      </c>
      <c r="F3696" s="5">
        <v>43922</v>
      </c>
      <c r="G3696">
        <v>-151</v>
      </c>
      <c r="H3696" t="s">
        <v>58</v>
      </c>
    </row>
    <row r="3697" spans="1:8" x14ac:dyDescent="0.3">
      <c r="A3697">
        <v>309</v>
      </c>
      <c r="B3697" s="5">
        <v>43926</v>
      </c>
      <c r="C3697" t="s">
        <v>12</v>
      </c>
      <c r="D3697">
        <v>37</v>
      </c>
      <c r="E3697">
        <v>-2001</v>
      </c>
      <c r="F3697" s="5">
        <v>43922</v>
      </c>
      <c r="G3697">
        <v>-37</v>
      </c>
      <c r="H3697" t="s">
        <v>58</v>
      </c>
    </row>
    <row r="3698" spans="1:8" x14ac:dyDescent="0.3">
      <c r="A3698">
        <v>309</v>
      </c>
      <c r="B3698" s="5">
        <v>43930</v>
      </c>
      <c r="C3698" t="s">
        <v>10</v>
      </c>
      <c r="D3698">
        <v>301</v>
      </c>
      <c r="E3698">
        <v>-1700</v>
      </c>
      <c r="F3698" s="5">
        <v>43922</v>
      </c>
      <c r="G3698">
        <v>301</v>
      </c>
      <c r="H3698" t="s">
        <v>58</v>
      </c>
    </row>
    <row r="3699" spans="1:8" x14ac:dyDescent="0.3">
      <c r="A3699">
        <v>309</v>
      </c>
      <c r="B3699" s="5">
        <v>43930</v>
      </c>
      <c r="C3699" t="s">
        <v>10</v>
      </c>
      <c r="D3699">
        <v>740</v>
      </c>
      <c r="E3699">
        <v>-960</v>
      </c>
      <c r="F3699" s="5">
        <v>43922</v>
      </c>
      <c r="G3699">
        <v>740</v>
      </c>
      <c r="H3699" t="s">
        <v>58</v>
      </c>
    </row>
    <row r="3700" spans="1:8" x14ac:dyDescent="0.3">
      <c r="A3700">
        <v>310</v>
      </c>
      <c r="B3700" s="5">
        <v>43850</v>
      </c>
      <c r="C3700" t="s">
        <v>10</v>
      </c>
      <c r="D3700">
        <v>331</v>
      </c>
      <c r="E3700">
        <v>331</v>
      </c>
      <c r="F3700" s="5">
        <v>43831</v>
      </c>
      <c r="G3700">
        <v>331</v>
      </c>
      <c r="H3700" t="s">
        <v>57</v>
      </c>
    </row>
    <row r="3701" spans="1:8" x14ac:dyDescent="0.3">
      <c r="A3701">
        <v>310</v>
      </c>
      <c r="B3701" s="5">
        <v>43861</v>
      </c>
      <c r="C3701" t="s">
        <v>10</v>
      </c>
      <c r="D3701">
        <v>529</v>
      </c>
      <c r="E3701">
        <v>860</v>
      </c>
      <c r="F3701" s="5">
        <v>43831</v>
      </c>
      <c r="G3701">
        <v>529</v>
      </c>
      <c r="H3701" t="s">
        <v>57</v>
      </c>
    </row>
    <row r="3702" spans="1:8" x14ac:dyDescent="0.3">
      <c r="A3702">
        <v>310</v>
      </c>
      <c r="B3702" s="5">
        <v>43862</v>
      </c>
      <c r="C3702" t="s">
        <v>12</v>
      </c>
      <c r="D3702">
        <v>432</v>
      </c>
      <c r="E3702">
        <v>428</v>
      </c>
      <c r="F3702" s="5">
        <v>43862</v>
      </c>
      <c r="G3702">
        <v>-432</v>
      </c>
      <c r="H3702" t="s">
        <v>57</v>
      </c>
    </row>
    <row r="3703" spans="1:8" x14ac:dyDescent="0.3">
      <c r="A3703">
        <v>310</v>
      </c>
      <c r="B3703" s="5">
        <v>43876</v>
      </c>
      <c r="C3703" t="s">
        <v>12</v>
      </c>
      <c r="D3703">
        <v>272</v>
      </c>
      <c r="E3703">
        <v>156</v>
      </c>
      <c r="F3703" s="5">
        <v>43862</v>
      </c>
      <c r="G3703">
        <v>-272</v>
      </c>
      <c r="H3703" t="s">
        <v>57</v>
      </c>
    </row>
    <row r="3704" spans="1:8" x14ac:dyDescent="0.3">
      <c r="A3704">
        <v>310</v>
      </c>
      <c r="B3704" s="5">
        <v>43892</v>
      </c>
      <c r="C3704" t="s">
        <v>10</v>
      </c>
      <c r="D3704">
        <v>850</v>
      </c>
      <c r="E3704">
        <v>1006</v>
      </c>
      <c r="F3704" s="5">
        <v>43891</v>
      </c>
      <c r="G3704">
        <v>850</v>
      </c>
      <c r="H3704" t="s">
        <v>57</v>
      </c>
    </row>
    <row r="3705" spans="1:8" x14ac:dyDescent="0.3">
      <c r="A3705">
        <v>310</v>
      </c>
      <c r="B3705" s="5">
        <v>43910</v>
      </c>
      <c r="C3705" t="s">
        <v>10</v>
      </c>
      <c r="D3705">
        <v>560</v>
      </c>
      <c r="E3705">
        <v>1566</v>
      </c>
      <c r="F3705" s="5">
        <v>43891</v>
      </c>
      <c r="G3705">
        <v>560</v>
      </c>
      <c r="H3705" t="s">
        <v>57</v>
      </c>
    </row>
    <row r="3706" spans="1:8" x14ac:dyDescent="0.3">
      <c r="A3706">
        <v>310</v>
      </c>
      <c r="B3706" s="5">
        <v>43915</v>
      </c>
      <c r="C3706" t="s">
        <v>10</v>
      </c>
      <c r="D3706">
        <v>770</v>
      </c>
      <c r="E3706">
        <v>2336</v>
      </c>
      <c r="F3706" s="5">
        <v>43891</v>
      </c>
      <c r="G3706">
        <v>770</v>
      </c>
      <c r="H3706" t="s">
        <v>57</v>
      </c>
    </row>
    <row r="3707" spans="1:8" x14ac:dyDescent="0.3">
      <c r="A3707">
        <v>310</v>
      </c>
      <c r="B3707" s="5">
        <v>43919</v>
      </c>
      <c r="C3707" t="s">
        <v>10</v>
      </c>
      <c r="D3707">
        <v>730</v>
      </c>
      <c r="E3707">
        <v>3066</v>
      </c>
      <c r="F3707" s="5">
        <v>43891</v>
      </c>
      <c r="G3707">
        <v>730</v>
      </c>
      <c r="H3707" t="s">
        <v>57</v>
      </c>
    </row>
    <row r="3708" spans="1:8" x14ac:dyDescent="0.3">
      <c r="A3708">
        <v>311</v>
      </c>
      <c r="B3708" s="5">
        <v>43847</v>
      </c>
      <c r="C3708" t="s">
        <v>10</v>
      </c>
      <c r="D3708">
        <v>918</v>
      </c>
      <c r="E3708">
        <v>918</v>
      </c>
      <c r="F3708" s="5">
        <v>43831</v>
      </c>
      <c r="G3708">
        <v>918</v>
      </c>
      <c r="H3708" t="s">
        <v>57</v>
      </c>
    </row>
    <row r="3709" spans="1:8" x14ac:dyDescent="0.3">
      <c r="A3709">
        <v>311</v>
      </c>
      <c r="B3709" s="5">
        <v>43855</v>
      </c>
      <c r="C3709" t="s">
        <v>11</v>
      </c>
      <c r="D3709">
        <v>994</v>
      </c>
      <c r="E3709">
        <v>-76</v>
      </c>
      <c r="F3709" s="5">
        <v>43831</v>
      </c>
      <c r="G3709">
        <v>-994</v>
      </c>
      <c r="H3709" t="s">
        <v>58</v>
      </c>
    </row>
    <row r="3710" spans="1:8" x14ac:dyDescent="0.3">
      <c r="A3710">
        <v>311</v>
      </c>
      <c r="B3710" s="5">
        <v>43858</v>
      </c>
      <c r="C3710" t="s">
        <v>10</v>
      </c>
      <c r="D3710">
        <v>386</v>
      </c>
      <c r="E3710">
        <v>310</v>
      </c>
      <c r="F3710" s="5">
        <v>43831</v>
      </c>
      <c r="G3710">
        <v>386</v>
      </c>
      <c r="H3710" t="s">
        <v>57</v>
      </c>
    </row>
    <row r="3711" spans="1:8" x14ac:dyDescent="0.3">
      <c r="A3711">
        <v>311</v>
      </c>
      <c r="B3711" s="5">
        <v>43870</v>
      </c>
      <c r="C3711" t="s">
        <v>12</v>
      </c>
      <c r="D3711">
        <v>607</v>
      </c>
      <c r="E3711">
        <v>-297</v>
      </c>
      <c r="F3711" s="5">
        <v>43862</v>
      </c>
      <c r="G3711">
        <v>-607</v>
      </c>
      <c r="H3711" t="s">
        <v>58</v>
      </c>
    </row>
    <row r="3712" spans="1:8" x14ac:dyDescent="0.3">
      <c r="A3712">
        <v>311</v>
      </c>
      <c r="B3712" s="5">
        <v>43872</v>
      </c>
      <c r="C3712" t="s">
        <v>10</v>
      </c>
      <c r="D3712">
        <v>476</v>
      </c>
      <c r="E3712">
        <v>179</v>
      </c>
      <c r="F3712" s="5">
        <v>43862</v>
      </c>
      <c r="G3712">
        <v>476</v>
      </c>
      <c r="H3712" t="s">
        <v>57</v>
      </c>
    </row>
    <row r="3713" spans="1:8" x14ac:dyDescent="0.3">
      <c r="A3713">
        <v>311</v>
      </c>
      <c r="B3713" s="5">
        <v>43882</v>
      </c>
      <c r="C3713" t="s">
        <v>10</v>
      </c>
      <c r="D3713">
        <v>827</v>
      </c>
      <c r="E3713">
        <v>1006</v>
      </c>
      <c r="F3713" s="5">
        <v>43862</v>
      </c>
      <c r="G3713">
        <v>827</v>
      </c>
      <c r="H3713" t="s">
        <v>57</v>
      </c>
    </row>
    <row r="3714" spans="1:8" x14ac:dyDescent="0.3">
      <c r="A3714">
        <v>311</v>
      </c>
      <c r="B3714" s="5">
        <v>43898</v>
      </c>
      <c r="C3714" t="s">
        <v>12</v>
      </c>
      <c r="D3714">
        <v>832</v>
      </c>
      <c r="E3714">
        <v>174</v>
      </c>
      <c r="F3714" s="5">
        <v>43891</v>
      </c>
      <c r="G3714">
        <v>-832</v>
      </c>
      <c r="H3714" t="s">
        <v>57</v>
      </c>
    </row>
    <row r="3715" spans="1:8" x14ac:dyDescent="0.3">
      <c r="A3715">
        <v>311</v>
      </c>
      <c r="B3715" s="5">
        <v>43902</v>
      </c>
      <c r="C3715" t="s">
        <v>12</v>
      </c>
      <c r="D3715">
        <v>853</v>
      </c>
      <c r="E3715">
        <v>-679</v>
      </c>
      <c r="F3715" s="5">
        <v>43891</v>
      </c>
      <c r="G3715">
        <v>-853</v>
      </c>
      <c r="H3715" t="s">
        <v>58</v>
      </c>
    </row>
    <row r="3716" spans="1:8" x14ac:dyDescent="0.3">
      <c r="A3716">
        <v>311</v>
      </c>
      <c r="B3716" s="5">
        <v>43905</v>
      </c>
      <c r="C3716" t="s">
        <v>11</v>
      </c>
      <c r="D3716">
        <v>276</v>
      </c>
      <c r="E3716">
        <v>-955</v>
      </c>
      <c r="F3716" s="5">
        <v>43891</v>
      </c>
      <c r="G3716">
        <v>-276</v>
      </c>
      <c r="H3716" t="s">
        <v>58</v>
      </c>
    </row>
    <row r="3717" spans="1:8" x14ac:dyDescent="0.3">
      <c r="A3717">
        <v>311</v>
      </c>
      <c r="B3717" s="5">
        <v>43923</v>
      </c>
      <c r="C3717" t="s">
        <v>10</v>
      </c>
      <c r="D3717">
        <v>207</v>
      </c>
      <c r="E3717">
        <v>-748</v>
      </c>
      <c r="F3717" s="5">
        <v>43922</v>
      </c>
      <c r="G3717">
        <v>207</v>
      </c>
      <c r="H3717" t="s">
        <v>58</v>
      </c>
    </row>
    <row r="3718" spans="1:8" x14ac:dyDescent="0.3">
      <c r="A3718">
        <v>311</v>
      </c>
      <c r="B3718" s="5">
        <v>43936</v>
      </c>
      <c r="C3718" t="s">
        <v>11</v>
      </c>
      <c r="D3718">
        <v>307</v>
      </c>
      <c r="E3718">
        <v>-1055</v>
      </c>
      <c r="F3718" s="5">
        <v>43922</v>
      </c>
      <c r="G3718">
        <v>-307</v>
      </c>
      <c r="H3718" t="s">
        <v>58</v>
      </c>
    </row>
    <row r="3719" spans="1:8" x14ac:dyDescent="0.3">
      <c r="A3719">
        <v>312</v>
      </c>
      <c r="B3719" s="5">
        <v>43850</v>
      </c>
      <c r="C3719" t="s">
        <v>10</v>
      </c>
      <c r="D3719">
        <v>485</v>
      </c>
      <c r="E3719">
        <v>485</v>
      </c>
      <c r="F3719" s="5">
        <v>43831</v>
      </c>
      <c r="G3719">
        <v>485</v>
      </c>
      <c r="H3719" t="s">
        <v>57</v>
      </c>
    </row>
    <row r="3720" spans="1:8" x14ac:dyDescent="0.3">
      <c r="A3720">
        <v>312</v>
      </c>
      <c r="B3720" s="5">
        <v>43866</v>
      </c>
      <c r="C3720" t="s">
        <v>11</v>
      </c>
      <c r="D3720">
        <v>942</v>
      </c>
      <c r="E3720">
        <v>-457</v>
      </c>
      <c r="F3720" s="5">
        <v>43862</v>
      </c>
      <c r="G3720">
        <v>-942</v>
      </c>
      <c r="H3720" t="s">
        <v>58</v>
      </c>
    </row>
    <row r="3721" spans="1:8" x14ac:dyDescent="0.3">
      <c r="A3721">
        <v>312</v>
      </c>
      <c r="B3721" s="5">
        <v>43886</v>
      </c>
      <c r="C3721" t="s">
        <v>10</v>
      </c>
      <c r="D3721">
        <v>470</v>
      </c>
      <c r="E3721">
        <v>13</v>
      </c>
      <c r="F3721" s="5">
        <v>43862</v>
      </c>
      <c r="G3721">
        <v>470</v>
      </c>
      <c r="H3721" t="s">
        <v>57</v>
      </c>
    </row>
    <row r="3722" spans="1:8" x14ac:dyDescent="0.3">
      <c r="A3722">
        <v>312</v>
      </c>
      <c r="B3722" s="5">
        <v>43887</v>
      </c>
      <c r="C3722" t="s">
        <v>10</v>
      </c>
      <c r="D3722">
        <v>643</v>
      </c>
      <c r="E3722">
        <v>656</v>
      </c>
      <c r="F3722" s="5">
        <v>43862</v>
      </c>
      <c r="G3722">
        <v>643</v>
      </c>
      <c r="H3722" t="s">
        <v>57</v>
      </c>
    </row>
    <row r="3723" spans="1:8" x14ac:dyDescent="0.3">
      <c r="A3723">
        <v>312</v>
      </c>
      <c r="B3723" s="5">
        <v>43903</v>
      </c>
      <c r="C3723" t="s">
        <v>11</v>
      </c>
      <c r="D3723">
        <v>794</v>
      </c>
      <c r="E3723">
        <v>-138</v>
      </c>
      <c r="F3723" s="5">
        <v>43891</v>
      </c>
      <c r="G3723">
        <v>-794</v>
      </c>
      <c r="H3723" t="s">
        <v>58</v>
      </c>
    </row>
    <row r="3724" spans="1:8" x14ac:dyDescent="0.3">
      <c r="A3724">
        <v>312</v>
      </c>
      <c r="B3724" s="5">
        <v>43905</v>
      </c>
      <c r="C3724" t="s">
        <v>12</v>
      </c>
      <c r="D3724">
        <v>994</v>
      </c>
      <c r="E3724">
        <v>-1132</v>
      </c>
      <c r="F3724" s="5">
        <v>43891</v>
      </c>
      <c r="G3724">
        <v>-994</v>
      </c>
      <c r="H3724" t="s">
        <v>58</v>
      </c>
    </row>
    <row r="3725" spans="1:8" x14ac:dyDescent="0.3">
      <c r="A3725">
        <v>312</v>
      </c>
      <c r="B3725" s="5">
        <v>43918</v>
      </c>
      <c r="C3725" t="s">
        <v>10</v>
      </c>
      <c r="D3725">
        <v>67</v>
      </c>
      <c r="E3725">
        <v>-1065</v>
      </c>
      <c r="F3725" s="5">
        <v>43891</v>
      </c>
      <c r="G3725">
        <v>67</v>
      </c>
      <c r="H3725" t="s">
        <v>58</v>
      </c>
    </row>
    <row r="3726" spans="1:8" x14ac:dyDescent="0.3">
      <c r="A3726">
        <v>312</v>
      </c>
      <c r="B3726" s="5">
        <v>43922</v>
      </c>
      <c r="C3726" t="s">
        <v>12</v>
      </c>
      <c r="D3726">
        <v>602</v>
      </c>
      <c r="E3726">
        <v>-1667</v>
      </c>
      <c r="F3726" s="5">
        <v>43922</v>
      </c>
      <c r="G3726">
        <v>-602</v>
      </c>
      <c r="H3726" t="s">
        <v>58</v>
      </c>
    </row>
    <row r="3727" spans="1:8" x14ac:dyDescent="0.3">
      <c r="A3727">
        <v>312</v>
      </c>
      <c r="B3727" s="5">
        <v>43936</v>
      </c>
      <c r="C3727" t="s">
        <v>12</v>
      </c>
      <c r="D3727">
        <v>651</v>
      </c>
      <c r="E3727">
        <v>-2318</v>
      </c>
      <c r="F3727" s="5">
        <v>43922</v>
      </c>
      <c r="G3727">
        <v>-651</v>
      </c>
      <c r="H3727" t="s">
        <v>58</v>
      </c>
    </row>
    <row r="3728" spans="1:8" x14ac:dyDescent="0.3">
      <c r="A3728">
        <v>313</v>
      </c>
      <c r="B3728" s="5">
        <v>43859</v>
      </c>
      <c r="C3728" t="s">
        <v>10</v>
      </c>
      <c r="D3728">
        <v>710</v>
      </c>
      <c r="E3728">
        <v>710</v>
      </c>
      <c r="F3728" s="5">
        <v>43831</v>
      </c>
      <c r="G3728">
        <v>710</v>
      </c>
      <c r="H3728" t="s">
        <v>57</v>
      </c>
    </row>
    <row r="3729" spans="1:8" x14ac:dyDescent="0.3">
      <c r="A3729">
        <v>313</v>
      </c>
      <c r="B3729" s="5">
        <v>43860</v>
      </c>
      <c r="C3729" t="s">
        <v>10</v>
      </c>
      <c r="D3729">
        <v>191</v>
      </c>
      <c r="E3729">
        <v>901</v>
      </c>
      <c r="F3729" s="5">
        <v>43831</v>
      </c>
      <c r="G3729">
        <v>191</v>
      </c>
      <c r="H3729" t="s">
        <v>57</v>
      </c>
    </row>
    <row r="3730" spans="1:8" x14ac:dyDescent="0.3">
      <c r="A3730">
        <v>313</v>
      </c>
      <c r="B3730" s="5">
        <v>43863</v>
      </c>
      <c r="C3730" t="s">
        <v>11</v>
      </c>
      <c r="D3730">
        <v>85</v>
      </c>
      <c r="E3730">
        <v>816</v>
      </c>
      <c r="F3730" s="5">
        <v>43862</v>
      </c>
      <c r="G3730">
        <v>-85</v>
      </c>
      <c r="H3730" t="s">
        <v>57</v>
      </c>
    </row>
    <row r="3731" spans="1:8" x14ac:dyDescent="0.3">
      <c r="A3731">
        <v>313</v>
      </c>
      <c r="B3731" s="5">
        <v>43866</v>
      </c>
      <c r="C3731" t="s">
        <v>11</v>
      </c>
      <c r="D3731">
        <v>69</v>
      </c>
      <c r="E3731">
        <v>747</v>
      </c>
      <c r="F3731" s="5">
        <v>43862</v>
      </c>
      <c r="G3731">
        <v>-69</v>
      </c>
      <c r="H3731" t="s">
        <v>57</v>
      </c>
    </row>
    <row r="3732" spans="1:8" x14ac:dyDescent="0.3">
      <c r="A3732">
        <v>313</v>
      </c>
      <c r="B3732" s="5">
        <v>43869</v>
      </c>
      <c r="C3732" t="s">
        <v>11</v>
      </c>
      <c r="D3732">
        <v>53</v>
      </c>
      <c r="E3732">
        <v>694</v>
      </c>
      <c r="F3732" s="5">
        <v>43862</v>
      </c>
      <c r="G3732">
        <v>-53</v>
      </c>
      <c r="H3732" t="s">
        <v>57</v>
      </c>
    </row>
    <row r="3733" spans="1:8" x14ac:dyDescent="0.3">
      <c r="A3733">
        <v>313</v>
      </c>
      <c r="B3733" s="5">
        <v>43872</v>
      </c>
      <c r="C3733" t="s">
        <v>10</v>
      </c>
      <c r="D3733">
        <v>388</v>
      </c>
      <c r="E3733">
        <v>1082</v>
      </c>
      <c r="F3733" s="5">
        <v>43862</v>
      </c>
      <c r="G3733">
        <v>388</v>
      </c>
      <c r="H3733" t="s">
        <v>57</v>
      </c>
    </row>
    <row r="3734" spans="1:8" x14ac:dyDescent="0.3">
      <c r="A3734">
        <v>313</v>
      </c>
      <c r="B3734" s="5">
        <v>43880</v>
      </c>
      <c r="C3734" t="s">
        <v>12</v>
      </c>
      <c r="D3734">
        <v>110</v>
      </c>
      <c r="E3734">
        <v>972</v>
      </c>
      <c r="F3734" s="5">
        <v>43862</v>
      </c>
      <c r="G3734">
        <v>-110</v>
      </c>
      <c r="H3734" t="s">
        <v>57</v>
      </c>
    </row>
    <row r="3735" spans="1:8" x14ac:dyDescent="0.3">
      <c r="A3735">
        <v>313</v>
      </c>
      <c r="B3735" s="5">
        <v>43892</v>
      </c>
      <c r="C3735" t="s">
        <v>12</v>
      </c>
      <c r="D3735">
        <v>440</v>
      </c>
      <c r="E3735">
        <v>532</v>
      </c>
      <c r="F3735" s="5">
        <v>43891</v>
      </c>
      <c r="G3735">
        <v>-440</v>
      </c>
      <c r="H3735" t="s">
        <v>57</v>
      </c>
    </row>
    <row r="3736" spans="1:8" x14ac:dyDescent="0.3">
      <c r="A3736">
        <v>313</v>
      </c>
      <c r="B3736" s="5">
        <v>43898</v>
      </c>
      <c r="C3736" t="s">
        <v>11</v>
      </c>
      <c r="D3736">
        <v>344</v>
      </c>
      <c r="E3736">
        <v>188</v>
      </c>
      <c r="F3736" s="5">
        <v>43891</v>
      </c>
      <c r="G3736">
        <v>-344</v>
      </c>
      <c r="H3736" t="s">
        <v>57</v>
      </c>
    </row>
    <row r="3737" spans="1:8" x14ac:dyDescent="0.3">
      <c r="A3737">
        <v>313</v>
      </c>
      <c r="B3737" s="5">
        <v>43899</v>
      </c>
      <c r="C3737" t="s">
        <v>11</v>
      </c>
      <c r="D3737">
        <v>860</v>
      </c>
      <c r="E3737">
        <v>-672</v>
      </c>
      <c r="F3737" s="5">
        <v>43891</v>
      </c>
      <c r="G3737">
        <v>-860</v>
      </c>
      <c r="H3737" t="s">
        <v>58</v>
      </c>
    </row>
    <row r="3738" spans="1:8" x14ac:dyDescent="0.3">
      <c r="A3738">
        <v>313</v>
      </c>
      <c r="B3738" s="5">
        <v>43920</v>
      </c>
      <c r="C3738" t="s">
        <v>11</v>
      </c>
      <c r="D3738">
        <v>639</v>
      </c>
      <c r="E3738">
        <v>-1311</v>
      </c>
      <c r="F3738" s="5">
        <v>43891</v>
      </c>
      <c r="G3738">
        <v>-639</v>
      </c>
      <c r="H3738" t="s">
        <v>58</v>
      </c>
    </row>
    <row r="3739" spans="1:8" x14ac:dyDescent="0.3">
      <c r="A3739">
        <v>313</v>
      </c>
      <c r="B3739" s="5">
        <v>43922</v>
      </c>
      <c r="C3739" t="s">
        <v>10</v>
      </c>
      <c r="D3739">
        <v>634</v>
      </c>
      <c r="E3739">
        <v>-677</v>
      </c>
      <c r="F3739" s="5">
        <v>43922</v>
      </c>
      <c r="G3739">
        <v>634</v>
      </c>
      <c r="H3739" t="s">
        <v>58</v>
      </c>
    </row>
    <row r="3740" spans="1:8" x14ac:dyDescent="0.3">
      <c r="A3740">
        <v>313</v>
      </c>
      <c r="B3740" s="5">
        <v>43934</v>
      </c>
      <c r="C3740" t="s">
        <v>10</v>
      </c>
      <c r="D3740">
        <v>840</v>
      </c>
      <c r="E3740">
        <v>163</v>
      </c>
      <c r="F3740" s="5">
        <v>43922</v>
      </c>
      <c r="G3740">
        <v>840</v>
      </c>
      <c r="H3740" t="s">
        <v>57</v>
      </c>
    </row>
    <row r="3741" spans="1:8" x14ac:dyDescent="0.3">
      <c r="A3741">
        <v>313</v>
      </c>
      <c r="B3741" s="5">
        <v>43948</v>
      </c>
      <c r="C3741" t="s">
        <v>11</v>
      </c>
      <c r="D3741">
        <v>197</v>
      </c>
      <c r="E3741">
        <v>-34</v>
      </c>
      <c r="F3741" s="5">
        <v>43922</v>
      </c>
      <c r="G3741">
        <v>-197</v>
      </c>
      <c r="H3741" t="s">
        <v>58</v>
      </c>
    </row>
    <row r="3742" spans="1:8" x14ac:dyDescent="0.3">
      <c r="A3742">
        <v>314</v>
      </c>
      <c r="B3742" s="5">
        <v>43856</v>
      </c>
      <c r="C3742" t="s">
        <v>10</v>
      </c>
      <c r="D3742">
        <v>448</v>
      </c>
      <c r="E3742">
        <v>448</v>
      </c>
      <c r="F3742" s="5">
        <v>43831</v>
      </c>
      <c r="G3742">
        <v>448</v>
      </c>
      <c r="H3742" t="s">
        <v>57</v>
      </c>
    </row>
    <row r="3743" spans="1:8" x14ac:dyDescent="0.3">
      <c r="A3743">
        <v>314</v>
      </c>
      <c r="B3743" s="5">
        <v>43875</v>
      </c>
      <c r="C3743" t="s">
        <v>11</v>
      </c>
      <c r="D3743">
        <v>339</v>
      </c>
      <c r="E3743">
        <v>109</v>
      </c>
      <c r="F3743" s="5">
        <v>43862</v>
      </c>
      <c r="G3743">
        <v>-339</v>
      </c>
      <c r="H3743" t="s">
        <v>57</v>
      </c>
    </row>
    <row r="3744" spans="1:8" x14ac:dyDescent="0.3">
      <c r="A3744">
        <v>314</v>
      </c>
      <c r="B3744" s="5">
        <v>43876</v>
      </c>
      <c r="C3744" t="s">
        <v>11</v>
      </c>
      <c r="D3744">
        <v>714</v>
      </c>
      <c r="E3744">
        <v>-605</v>
      </c>
      <c r="F3744" s="5">
        <v>43862</v>
      </c>
      <c r="G3744">
        <v>-714</v>
      </c>
      <c r="H3744" t="s">
        <v>58</v>
      </c>
    </row>
    <row r="3745" spans="1:8" x14ac:dyDescent="0.3">
      <c r="A3745">
        <v>314</v>
      </c>
      <c r="B3745" s="5">
        <v>43888</v>
      </c>
      <c r="C3745" t="s">
        <v>11</v>
      </c>
      <c r="D3745">
        <v>28</v>
      </c>
      <c r="E3745">
        <v>-633</v>
      </c>
      <c r="F3745" s="5">
        <v>43862</v>
      </c>
      <c r="G3745">
        <v>-28</v>
      </c>
      <c r="H3745" t="s">
        <v>58</v>
      </c>
    </row>
    <row r="3746" spans="1:8" x14ac:dyDescent="0.3">
      <c r="A3746">
        <v>314</v>
      </c>
      <c r="B3746" s="5">
        <v>43895</v>
      </c>
      <c r="C3746" t="s">
        <v>10</v>
      </c>
      <c r="D3746">
        <v>232</v>
      </c>
      <c r="E3746">
        <v>-401</v>
      </c>
      <c r="F3746" s="5">
        <v>43891</v>
      </c>
      <c r="G3746">
        <v>232</v>
      </c>
      <c r="H3746" t="s">
        <v>58</v>
      </c>
    </row>
    <row r="3747" spans="1:8" x14ac:dyDescent="0.3">
      <c r="A3747">
        <v>314</v>
      </c>
      <c r="B3747" s="5">
        <v>43910</v>
      </c>
      <c r="C3747" t="s">
        <v>10</v>
      </c>
      <c r="D3747">
        <v>492</v>
      </c>
      <c r="E3747">
        <v>91</v>
      </c>
      <c r="F3747" s="5">
        <v>43891</v>
      </c>
      <c r="G3747">
        <v>492</v>
      </c>
      <c r="H3747" t="s">
        <v>57</v>
      </c>
    </row>
    <row r="3748" spans="1:8" x14ac:dyDescent="0.3">
      <c r="A3748">
        <v>314</v>
      </c>
      <c r="B3748" s="5">
        <v>43926</v>
      </c>
      <c r="C3748" t="s">
        <v>12</v>
      </c>
      <c r="D3748">
        <v>60</v>
      </c>
      <c r="E3748">
        <v>31</v>
      </c>
      <c r="F3748" s="5">
        <v>43922</v>
      </c>
      <c r="G3748">
        <v>-60</v>
      </c>
      <c r="H3748" t="s">
        <v>57</v>
      </c>
    </row>
    <row r="3749" spans="1:8" x14ac:dyDescent="0.3">
      <c r="A3749">
        <v>314</v>
      </c>
      <c r="B3749" s="5">
        <v>43927</v>
      </c>
      <c r="C3749" t="s">
        <v>10</v>
      </c>
      <c r="D3749">
        <v>463</v>
      </c>
      <c r="E3749">
        <v>494</v>
      </c>
      <c r="F3749" s="5">
        <v>43922</v>
      </c>
      <c r="G3749">
        <v>463</v>
      </c>
      <c r="H3749" t="s">
        <v>57</v>
      </c>
    </row>
    <row r="3750" spans="1:8" x14ac:dyDescent="0.3">
      <c r="A3750">
        <v>314</v>
      </c>
      <c r="B3750" s="5">
        <v>43927</v>
      </c>
      <c r="C3750" t="s">
        <v>11</v>
      </c>
      <c r="D3750">
        <v>743</v>
      </c>
      <c r="E3750">
        <v>-249</v>
      </c>
      <c r="F3750" s="5">
        <v>43922</v>
      </c>
      <c r="G3750">
        <v>-743</v>
      </c>
      <c r="H3750" t="s">
        <v>58</v>
      </c>
    </row>
    <row r="3751" spans="1:8" x14ac:dyDescent="0.3">
      <c r="A3751">
        <v>315</v>
      </c>
      <c r="B3751" s="5">
        <v>43852</v>
      </c>
      <c r="C3751" t="s">
        <v>10</v>
      </c>
      <c r="D3751">
        <v>911</v>
      </c>
      <c r="E3751">
        <v>911</v>
      </c>
      <c r="F3751" s="5">
        <v>43831</v>
      </c>
      <c r="G3751">
        <v>911</v>
      </c>
      <c r="H3751" t="s">
        <v>57</v>
      </c>
    </row>
    <row r="3752" spans="1:8" x14ac:dyDescent="0.3">
      <c r="A3752">
        <v>315</v>
      </c>
      <c r="B3752" s="5">
        <v>43852</v>
      </c>
      <c r="C3752" t="s">
        <v>10</v>
      </c>
      <c r="D3752">
        <v>384</v>
      </c>
      <c r="E3752">
        <v>1295</v>
      </c>
      <c r="F3752" s="5">
        <v>43831</v>
      </c>
      <c r="G3752">
        <v>384</v>
      </c>
      <c r="H3752" t="s">
        <v>57</v>
      </c>
    </row>
    <row r="3753" spans="1:8" x14ac:dyDescent="0.3">
      <c r="A3753">
        <v>315</v>
      </c>
      <c r="B3753" s="5">
        <v>43869</v>
      </c>
      <c r="C3753" t="s">
        <v>10</v>
      </c>
      <c r="D3753">
        <v>54</v>
      </c>
      <c r="E3753">
        <v>1349</v>
      </c>
      <c r="F3753" s="5">
        <v>43862</v>
      </c>
      <c r="G3753">
        <v>54</v>
      </c>
      <c r="H3753" t="s">
        <v>57</v>
      </c>
    </row>
    <row r="3754" spans="1:8" x14ac:dyDescent="0.3">
      <c r="A3754">
        <v>315</v>
      </c>
      <c r="B3754" s="5">
        <v>43916</v>
      </c>
      <c r="C3754" t="s">
        <v>10</v>
      </c>
      <c r="D3754">
        <v>938</v>
      </c>
      <c r="E3754">
        <v>2287</v>
      </c>
      <c r="F3754" s="5">
        <v>43891</v>
      </c>
      <c r="G3754">
        <v>938</v>
      </c>
      <c r="H3754" t="s">
        <v>57</v>
      </c>
    </row>
    <row r="3755" spans="1:8" x14ac:dyDescent="0.3">
      <c r="A3755">
        <v>316</v>
      </c>
      <c r="B3755" s="5">
        <v>43853</v>
      </c>
      <c r="C3755" t="s">
        <v>10</v>
      </c>
      <c r="D3755">
        <v>184</v>
      </c>
      <c r="E3755">
        <v>184</v>
      </c>
      <c r="F3755" s="5">
        <v>43831</v>
      </c>
      <c r="G3755">
        <v>184</v>
      </c>
      <c r="H3755" t="s">
        <v>57</v>
      </c>
    </row>
    <row r="3756" spans="1:8" x14ac:dyDescent="0.3">
      <c r="A3756">
        <v>316</v>
      </c>
      <c r="B3756" s="5">
        <v>43867</v>
      </c>
      <c r="C3756" t="s">
        <v>11</v>
      </c>
      <c r="D3756">
        <v>663</v>
      </c>
      <c r="E3756">
        <v>-479</v>
      </c>
      <c r="F3756" s="5">
        <v>43862</v>
      </c>
      <c r="G3756">
        <v>-663</v>
      </c>
      <c r="H3756" t="s">
        <v>58</v>
      </c>
    </row>
    <row r="3757" spans="1:8" x14ac:dyDescent="0.3">
      <c r="A3757">
        <v>316</v>
      </c>
      <c r="B3757" s="5">
        <v>43878</v>
      </c>
      <c r="C3757" t="s">
        <v>11</v>
      </c>
      <c r="D3757">
        <v>851</v>
      </c>
      <c r="E3757">
        <v>-1330</v>
      </c>
      <c r="F3757" s="5">
        <v>43862</v>
      </c>
      <c r="G3757">
        <v>-851</v>
      </c>
      <c r="H3757" t="s">
        <v>58</v>
      </c>
    </row>
    <row r="3758" spans="1:8" x14ac:dyDescent="0.3">
      <c r="A3758">
        <v>316</v>
      </c>
      <c r="B3758" s="5">
        <v>43886</v>
      </c>
      <c r="C3758" t="s">
        <v>11</v>
      </c>
      <c r="D3758">
        <v>305</v>
      </c>
      <c r="E3758">
        <v>-1635</v>
      </c>
      <c r="F3758" s="5">
        <v>43862</v>
      </c>
      <c r="G3758">
        <v>-305</v>
      </c>
      <c r="H3758" t="s">
        <v>58</v>
      </c>
    </row>
    <row r="3759" spans="1:8" x14ac:dyDescent="0.3">
      <c r="A3759">
        <v>316</v>
      </c>
      <c r="B3759" s="5">
        <v>43888</v>
      </c>
      <c r="C3759" t="s">
        <v>11</v>
      </c>
      <c r="D3759">
        <v>848</v>
      </c>
      <c r="E3759">
        <v>-2483</v>
      </c>
      <c r="F3759" s="5">
        <v>43862</v>
      </c>
      <c r="G3759">
        <v>-848</v>
      </c>
      <c r="H3759" t="s">
        <v>58</v>
      </c>
    </row>
    <row r="3760" spans="1:8" x14ac:dyDescent="0.3">
      <c r="A3760">
        <v>316</v>
      </c>
      <c r="B3760" s="5">
        <v>43899</v>
      </c>
      <c r="C3760" t="s">
        <v>10</v>
      </c>
      <c r="D3760">
        <v>264</v>
      </c>
      <c r="E3760">
        <v>-2219</v>
      </c>
      <c r="F3760" s="5">
        <v>43891</v>
      </c>
      <c r="G3760">
        <v>264</v>
      </c>
      <c r="H3760" t="s">
        <v>58</v>
      </c>
    </row>
    <row r="3761" spans="1:8" x14ac:dyDescent="0.3">
      <c r="A3761">
        <v>316</v>
      </c>
      <c r="B3761" s="5">
        <v>43902</v>
      </c>
      <c r="C3761" t="s">
        <v>11</v>
      </c>
      <c r="D3761">
        <v>208</v>
      </c>
      <c r="E3761">
        <v>-2427</v>
      </c>
      <c r="F3761" s="5">
        <v>43891</v>
      </c>
      <c r="G3761">
        <v>-208</v>
      </c>
      <c r="H3761" t="s">
        <v>58</v>
      </c>
    </row>
    <row r="3762" spans="1:8" x14ac:dyDescent="0.3">
      <c r="A3762">
        <v>316</v>
      </c>
      <c r="B3762" s="5">
        <v>43921</v>
      </c>
      <c r="C3762" t="s">
        <v>11</v>
      </c>
      <c r="D3762">
        <v>872</v>
      </c>
      <c r="E3762">
        <v>-3299</v>
      </c>
      <c r="F3762" s="5">
        <v>43891</v>
      </c>
      <c r="G3762">
        <v>-872</v>
      </c>
      <c r="H3762" t="s">
        <v>58</v>
      </c>
    </row>
    <row r="3763" spans="1:8" x14ac:dyDescent="0.3">
      <c r="A3763">
        <v>317</v>
      </c>
      <c r="B3763" s="5">
        <v>43841</v>
      </c>
      <c r="C3763" t="s">
        <v>10</v>
      </c>
      <c r="D3763">
        <v>869</v>
      </c>
      <c r="E3763">
        <v>869</v>
      </c>
      <c r="F3763" s="5">
        <v>43831</v>
      </c>
      <c r="G3763">
        <v>869</v>
      </c>
      <c r="H3763" t="s">
        <v>57</v>
      </c>
    </row>
    <row r="3764" spans="1:8" x14ac:dyDescent="0.3">
      <c r="A3764">
        <v>317</v>
      </c>
      <c r="B3764" s="5">
        <v>43887</v>
      </c>
      <c r="C3764" t="s">
        <v>10</v>
      </c>
      <c r="D3764">
        <v>363</v>
      </c>
      <c r="E3764">
        <v>1232</v>
      </c>
      <c r="F3764" s="5">
        <v>43862</v>
      </c>
      <c r="G3764">
        <v>363</v>
      </c>
      <c r="H3764" t="s">
        <v>57</v>
      </c>
    </row>
    <row r="3765" spans="1:8" x14ac:dyDescent="0.3">
      <c r="A3765">
        <v>317</v>
      </c>
      <c r="B3765" s="5">
        <v>43930</v>
      </c>
      <c r="C3765" t="s">
        <v>12</v>
      </c>
      <c r="D3765">
        <v>237</v>
      </c>
      <c r="E3765">
        <v>995</v>
      </c>
      <c r="F3765" s="5">
        <v>43922</v>
      </c>
      <c r="G3765">
        <v>-237</v>
      </c>
      <c r="H3765" t="s">
        <v>57</v>
      </c>
    </row>
    <row r="3766" spans="1:8" x14ac:dyDescent="0.3">
      <c r="A3766">
        <v>318</v>
      </c>
      <c r="B3766" s="5">
        <v>43836</v>
      </c>
      <c r="C3766" t="s">
        <v>10</v>
      </c>
      <c r="D3766">
        <v>720</v>
      </c>
      <c r="E3766">
        <v>720</v>
      </c>
      <c r="F3766" s="5">
        <v>43831</v>
      </c>
      <c r="G3766">
        <v>720</v>
      </c>
      <c r="H3766" t="s">
        <v>57</v>
      </c>
    </row>
    <row r="3767" spans="1:8" x14ac:dyDescent="0.3">
      <c r="A3767">
        <v>318</v>
      </c>
      <c r="B3767" s="5">
        <v>43857</v>
      </c>
      <c r="C3767" t="s">
        <v>12</v>
      </c>
      <c r="D3767">
        <v>399</v>
      </c>
      <c r="E3767">
        <v>321</v>
      </c>
      <c r="F3767" s="5">
        <v>43831</v>
      </c>
      <c r="G3767">
        <v>-399</v>
      </c>
      <c r="H3767" t="s">
        <v>57</v>
      </c>
    </row>
    <row r="3768" spans="1:8" x14ac:dyDescent="0.3">
      <c r="A3768">
        <v>318</v>
      </c>
      <c r="B3768" s="5">
        <v>43882</v>
      </c>
      <c r="C3768" t="s">
        <v>12</v>
      </c>
      <c r="D3768">
        <v>663</v>
      </c>
      <c r="E3768">
        <v>-342</v>
      </c>
      <c r="F3768" s="5">
        <v>43862</v>
      </c>
      <c r="G3768">
        <v>-663</v>
      </c>
      <c r="H3768" t="s">
        <v>58</v>
      </c>
    </row>
    <row r="3769" spans="1:8" x14ac:dyDescent="0.3">
      <c r="A3769">
        <v>318</v>
      </c>
      <c r="B3769" s="5">
        <v>43902</v>
      </c>
      <c r="C3769" t="s">
        <v>12</v>
      </c>
      <c r="D3769">
        <v>993</v>
      </c>
      <c r="E3769">
        <v>-1335</v>
      </c>
      <c r="F3769" s="5">
        <v>43891</v>
      </c>
      <c r="G3769">
        <v>-993</v>
      </c>
      <c r="H3769" t="s">
        <v>58</v>
      </c>
    </row>
    <row r="3770" spans="1:8" x14ac:dyDescent="0.3">
      <c r="A3770">
        <v>318</v>
      </c>
      <c r="B3770" s="5">
        <v>43906</v>
      </c>
      <c r="C3770" t="s">
        <v>11</v>
      </c>
      <c r="D3770">
        <v>313</v>
      </c>
      <c r="E3770">
        <v>-1648</v>
      </c>
      <c r="F3770" s="5">
        <v>43891</v>
      </c>
      <c r="G3770">
        <v>-313</v>
      </c>
      <c r="H3770" t="s">
        <v>58</v>
      </c>
    </row>
    <row r="3771" spans="1:8" x14ac:dyDescent="0.3">
      <c r="A3771">
        <v>319</v>
      </c>
      <c r="B3771" s="5">
        <v>43836</v>
      </c>
      <c r="C3771" t="s">
        <v>10</v>
      </c>
      <c r="D3771">
        <v>83</v>
      </c>
      <c r="E3771">
        <v>83</v>
      </c>
      <c r="F3771" s="5">
        <v>43831</v>
      </c>
      <c r="G3771">
        <v>83</v>
      </c>
      <c r="H3771" t="s">
        <v>57</v>
      </c>
    </row>
    <row r="3772" spans="1:8" x14ac:dyDescent="0.3">
      <c r="A3772">
        <v>319</v>
      </c>
      <c r="B3772" s="5">
        <v>43881</v>
      </c>
      <c r="C3772" t="s">
        <v>12</v>
      </c>
      <c r="D3772">
        <v>786</v>
      </c>
      <c r="E3772">
        <v>-703</v>
      </c>
      <c r="F3772" s="5">
        <v>43862</v>
      </c>
      <c r="G3772">
        <v>-786</v>
      </c>
      <c r="H3772" t="s">
        <v>58</v>
      </c>
    </row>
    <row r="3773" spans="1:8" x14ac:dyDescent="0.3">
      <c r="A3773">
        <v>319</v>
      </c>
      <c r="B3773" s="5">
        <v>43893</v>
      </c>
      <c r="C3773" t="s">
        <v>11</v>
      </c>
      <c r="D3773">
        <v>381</v>
      </c>
      <c r="E3773">
        <v>-1084</v>
      </c>
      <c r="F3773" s="5">
        <v>43891</v>
      </c>
      <c r="G3773">
        <v>-381</v>
      </c>
      <c r="H3773" t="s">
        <v>58</v>
      </c>
    </row>
    <row r="3774" spans="1:8" x14ac:dyDescent="0.3">
      <c r="A3774">
        <v>319</v>
      </c>
      <c r="B3774" s="5">
        <v>43896</v>
      </c>
      <c r="C3774" t="s">
        <v>10</v>
      </c>
      <c r="D3774">
        <v>821</v>
      </c>
      <c r="E3774">
        <v>-263</v>
      </c>
      <c r="F3774" s="5">
        <v>43891</v>
      </c>
      <c r="G3774">
        <v>821</v>
      </c>
      <c r="H3774" t="s">
        <v>58</v>
      </c>
    </row>
    <row r="3775" spans="1:8" x14ac:dyDescent="0.3">
      <c r="A3775">
        <v>319</v>
      </c>
      <c r="B3775" s="5">
        <v>43912</v>
      </c>
      <c r="C3775" t="s">
        <v>11</v>
      </c>
      <c r="D3775">
        <v>169</v>
      </c>
      <c r="E3775">
        <v>-432</v>
      </c>
      <c r="F3775" s="5">
        <v>43891</v>
      </c>
      <c r="G3775">
        <v>-169</v>
      </c>
      <c r="H3775" t="s">
        <v>58</v>
      </c>
    </row>
    <row r="3776" spans="1:8" x14ac:dyDescent="0.3">
      <c r="A3776">
        <v>319</v>
      </c>
      <c r="B3776" s="5">
        <v>43917</v>
      </c>
      <c r="C3776" t="s">
        <v>11</v>
      </c>
      <c r="D3776">
        <v>56</v>
      </c>
      <c r="E3776">
        <v>-488</v>
      </c>
      <c r="F3776" s="5">
        <v>43891</v>
      </c>
      <c r="G3776">
        <v>-56</v>
      </c>
      <c r="H3776" t="s">
        <v>58</v>
      </c>
    </row>
    <row r="3777" spans="1:8" x14ac:dyDescent="0.3">
      <c r="A3777">
        <v>320</v>
      </c>
      <c r="B3777" s="5">
        <v>43840</v>
      </c>
      <c r="C3777" t="s">
        <v>10</v>
      </c>
      <c r="D3777">
        <v>725</v>
      </c>
      <c r="E3777">
        <v>725</v>
      </c>
      <c r="F3777" s="5">
        <v>43831</v>
      </c>
      <c r="G3777">
        <v>725</v>
      </c>
      <c r="H3777" t="s">
        <v>57</v>
      </c>
    </row>
    <row r="3778" spans="1:8" x14ac:dyDescent="0.3">
      <c r="A3778">
        <v>320</v>
      </c>
      <c r="B3778" s="5">
        <v>43841</v>
      </c>
      <c r="C3778" t="s">
        <v>10</v>
      </c>
      <c r="D3778">
        <v>2</v>
      </c>
      <c r="E3778">
        <v>727</v>
      </c>
      <c r="F3778" s="5">
        <v>43831</v>
      </c>
      <c r="G3778">
        <v>2</v>
      </c>
      <c r="H3778" t="s">
        <v>57</v>
      </c>
    </row>
    <row r="3779" spans="1:8" x14ac:dyDescent="0.3">
      <c r="A3779">
        <v>320</v>
      </c>
      <c r="B3779" s="5">
        <v>43849</v>
      </c>
      <c r="C3779" t="s">
        <v>10</v>
      </c>
      <c r="D3779">
        <v>917</v>
      </c>
      <c r="E3779">
        <v>1644</v>
      </c>
      <c r="F3779" s="5">
        <v>43831</v>
      </c>
      <c r="G3779">
        <v>917</v>
      </c>
      <c r="H3779" t="s">
        <v>57</v>
      </c>
    </row>
    <row r="3780" spans="1:8" x14ac:dyDescent="0.3">
      <c r="A3780">
        <v>320</v>
      </c>
      <c r="B3780" s="5">
        <v>43854</v>
      </c>
      <c r="C3780" t="s">
        <v>10</v>
      </c>
      <c r="D3780">
        <v>782</v>
      </c>
      <c r="E3780">
        <v>2426</v>
      </c>
      <c r="F3780" s="5">
        <v>43831</v>
      </c>
      <c r="G3780">
        <v>782</v>
      </c>
      <c r="H3780" t="s">
        <v>57</v>
      </c>
    </row>
    <row r="3781" spans="1:8" x14ac:dyDescent="0.3">
      <c r="A3781">
        <v>320</v>
      </c>
      <c r="B3781" s="5">
        <v>43868</v>
      </c>
      <c r="C3781" t="s">
        <v>10</v>
      </c>
      <c r="D3781">
        <v>898</v>
      </c>
      <c r="E3781">
        <v>3324</v>
      </c>
      <c r="F3781" s="5">
        <v>43862</v>
      </c>
      <c r="G3781">
        <v>898</v>
      </c>
      <c r="H3781" t="s">
        <v>57</v>
      </c>
    </row>
    <row r="3782" spans="1:8" x14ac:dyDescent="0.3">
      <c r="A3782">
        <v>320</v>
      </c>
      <c r="B3782" s="5">
        <v>43871</v>
      </c>
      <c r="C3782" t="s">
        <v>10</v>
      </c>
      <c r="D3782">
        <v>224</v>
      </c>
      <c r="E3782">
        <v>3548</v>
      </c>
      <c r="F3782" s="5">
        <v>43862</v>
      </c>
      <c r="G3782">
        <v>224</v>
      </c>
      <c r="H3782" t="s">
        <v>57</v>
      </c>
    </row>
    <row r="3783" spans="1:8" x14ac:dyDescent="0.3">
      <c r="A3783">
        <v>320</v>
      </c>
      <c r="B3783" s="5">
        <v>43884</v>
      </c>
      <c r="C3783" t="s">
        <v>11</v>
      </c>
      <c r="D3783">
        <v>440</v>
      </c>
      <c r="E3783">
        <v>3108</v>
      </c>
      <c r="F3783" s="5">
        <v>43862</v>
      </c>
      <c r="G3783">
        <v>-440</v>
      </c>
      <c r="H3783" t="s">
        <v>57</v>
      </c>
    </row>
    <row r="3784" spans="1:8" x14ac:dyDescent="0.3">
      <c r="A3784">
        <v>320</v>
      </c>
      <c r="B3784" s="5">
        <v>43884</v>
      </c>
      <c r="C3784" t="s">
        <v>11</v>
      </c>
      <c r="D3784">
        <v>216</v>
      </c>
      <c r="E3784">
        <v>2892</v>
      </c>
      <c r="F3784" s="5">
        <v>43862</v>
      </c>
      <c r="G3784">
        <v>-216</v>
      </c>
      <c r="H3784" t="s">
        <v>57</v>
      </c>
    </row>
    <row r="3785" spans="1:8" x14ac:dyDescent="0.3">
      <c r="A3785">
        <v>320</v>
      </c>
      <c r="B3785" s="5">
        <v>43885</v>
      </c>
      <c r="C3785" t="s">
        <v>11</v>
      </c>
      <c r="D3785">
        <v>575</v>
      </c>
      <c r="E3785">
        <v>2317</v>
      </c>
      <c r="F3785" s="5">
        <v>43862</v>
      </c>
      <c r="G3785">
        <v>-575</v>
      </c>
      <c r="H3785" t="s">
        <v>57</v>
      </c>
    </row>
    <row r="3786" spans="1:8" x14ac:dyDescent="0.3">
      <c r="A3786">
        <v>320</v>
      </c>
      <c r="B3786" s="5">
        <v>43886</v>
      </c>
      <c r="C3786" t="s">
        <v>12</v>
      </c>
      <c r="D3786">
        <v>408</v>
      </c>
      <c r="E3786">
        <v>1909</v>
      </c>
      <c r="F3786" s="5">
        <v>43862</v>
      </c>
      <c r="G3786">
        <v>-408</v>
      </c>
      <c r="H3786" t="s">
        <v>57</v>
      </c>
    </row>
    <row r="3787" spans="1:8" x14ac:dyDescent="0.3">
      <c r="A3787">
        <v>320</v>
      </c>
      <c r="B3787" s="5">
        <v>43898</v>
      </c>
      <c r="C3787" t="s">
        <v>10</v>
      </c>
      <c r="D3787">
        <v>538</v>
      </c>
      <c r="E3787">
        <v>2447</v>
      </c>
      <c r="F3787" s="5">
        <v>43891</v>
      </c>
      <c r="G3787">
        <v>538</v>
      </c>
      <c r="H3787" t="s">
        <v>57</v>
      </c>
    </row>
    <row r="3788" spans="1:8" x14ac:dyDescent="0.3">
      <c r="A3788">
        <v>320</v>
      </c>
      <c r="B3788" s="5">
        <v>43917</v>
      </c>
      <c r="C3788" t="s">
        <v>11</v>
      </c>
      <c r="D3788">
        <v>208</v>
      </c>
      <c r="E3788">
        <v>2239</v>
      </c>
      <c r="F3788" s="5">
        <v>43891</v>
      </c>
      <c r="G3788">
        <v>-208</v>
      </c>
      <c r="H3788" t="s">
        <v>57</v>
      </c>
    </row>
    <row r="3789" spans="1:8" x14ac:dyDescent="0.3">
      <c r="A3789">
        <v>320</v>
      </c>
      <c r="B3789" s="5">
        <v>43924</v>
      </c>
      <c r="C3789" t="s">
        <v>10</v>
      </c>
      <c r="D3789">
        <v>267</v>
      </c>
      <c r="E3789">
        <v>2506</v>
      </c>
      <c r="F3789" s="5">
        <v>43922</v>
      </c>
      <c r="G3789">
        <v>267</v>
      </c>
      <c r="H3789" t="s">
        <v>57</v>
      </c>
    </row>
    <row r="3790" spans="1:8" x14ac:dyDescent="0.3">
      <c r="A3790">
        <v>320</v>
      </c>
      <c r="B3790" s="5">
        <v>43928</v>
      </c>
      <c r="C3790" t="s">
        <v>10</v>
      </c>
      <c r="D3790">
        <v>345</v>
      </c>
      <c r="E3790">
        <v>2851</v>
      </c>
      <c r="F3790" s="5">
        <v>43922</v>
      </c>
      <c r="G3790">
        <v>345</v>
      </c>
      <c r="H3790" t="s">
        <v>57</v>
      </c>
    </row>
    <row r="3791" spans="1:8" x14ac:dyDescent="0.3">
      <c r="A3791">
        <v>321</v>
      </c>
      <c r="B3791" s="5">
        <v>43854</v>
      </c>
      <c r="C3791" t="s">
        <v>10</v>
      </c>
      <c r="D3791">
        <v>243</v>
      </c>
      <c r="E3791">
        <v>243</v>
      </c>
      <c r="F3791" s="5">
        <v>43831</v>
      </c>
      <c r="G3791">
        <v>243</v>
      </c>
      <c r="H3791" t="s">
        <v>57</v>
      </c>
    </row>
    <row r="3792" spans="1:8" x14ac:dyDescent="0.3">
      <c r="A3792">
        <v>321</v>
      </c>
      <c r="B3792" s="5">
        <v>43878</v>
      </c>
      <c r="C3792" t="s">
        <v>11</v>
      </c>
      <c r="D3792">
        <v>403</v>
      </c>
      <c r="E3792">
        <v>-160</v>
      </c>
      <c r="F3792" s="5">
        <v>43862</v>
      </c>
      <c r="G3792">
        <v>-403</v>
      </c>
      <c r="H3792" t="s">
        <v>58</v>
      </c>
    </row>
    <row r="3793" spans="1:8" x14ac:dyDescent="0.3">
      <c r="A3793">
        <v>321</v>
      </c>
      <c r="B3793" s="5">
        <v>43882</v>
      </c>
      <c r="C3793" t="s">
        <v>10</v>
      </c>
      <c r="D3793">
        <v>193</v>
      </c>
      <c r="E3793">
        <v>33</v>
      </c>
      <c r="F3793" s="5">
        <v>43862</v>
      </c>
      <c r="G3793">
        <v>193</v>
      </c>
      <c r="H3793" t="s">
        <v>57</v>
      </c>
    </row>
    <row r="3794" spans="1:8" x14ac:dyDescent="0.3">
      <c r="A3794">
        <v>321</v>
      </c>
      <c r="B3794" s="5">
        <v>43889</v>
      </c>
      <c r="C3794" t="s">
        <v>12</v>
      </c>
      <c r="D3794">
        <v>246</v>
      </c>
      <c r="E3794">
        <v>-213</v>
      </c>
      <c r="F3794" s="5">
        <v>43862</v>
      </c>
      <c r="G3794">
        <v>-246</v>
      </c>
      <c r="H3794" t="s">
        <v>58</v>
      </c>
    </row>
    <row r="3795" spans="1:8" x14ac:dyDescent="0.3">
      <c r="A3795">
        <v>321</v>
      </c>
      <c r="B3795" s="5">
        <v>43925</v>
      </c>
      <c r="C3795" t="s">
        <v>10</v>
      </c>
      <c r="D3795">
        <v>785</v>
      </c>
      <c r="E3795">
        <v>572</v>
      </c>
      <c r="F3795" s="5">
        <v>43922</v>
      </c>
      <c r="G3795">
        <v>785</v>
      </c>
      <c r="H3795" t="s">
        <v>57</v>
      </c>
    </row>
    <row r="3796" spans="1:8" x14ac:dyDescent="0.3">
      <c r="A3796">
        <v>322</v>
      </c>
      <c r="B3796" s="5">
        <v>43835</v>
      </c>
      <c r="C3796" t="s">
        <v>10</v>
      </c>
      <c r="D3796">
        <v>965</v>
      </c>
      <c r="E3796">
        <v>965</v>
      </c>
      <c r="F3796" s="5">
        <v>43831</v>
      </c>
      <c r="G3796">
        <v>965</v>
      </c>
      <c r="H3796" t="s">
        <v>57</v>
      </c>
    </row>
    <row r="3797" spans="1:8" x14ac:dyDescent="0.3">
      <c r="A3797">
        <v>322</v>
      </c>
      <c r="B3797" s="5">
        <v>43859</v>
      </c>
      <c r="C3797" t="s">
        <v>10</v>
      </c>
      <c r="D3797">
        <v>984</v>
      </c>
      <c r="E3797">
        <v>1949</v>
      </c>
      <c r="F3797" s="5">
        <v>43831</v>
      </c>
      <c r="G3797">
        <v>984</v>
      </c>
      <c r="H3797" t="s">
        <v>57</v>
      </c>
    </row>
    <row r="3798" spans="1:8" x14ac:dyDescent="0.3">
      <c r="A3798">
        <v>322</v>
      </c>
      <c r="B3798" s="5">
        <v>43862</v>
      </c>
      <c r="C3798" t="s">
        <v>10</v>
      </c>
      <c r="D3798">
        <v>328</v>
      </c>
      <c r="E3798">
        <v>2277</v>
      </c>
      <c r="F3798" s="5">
        <v>43862</v>
      </c>
      <c r="G3798">
        <v>328</v>
      </c>
      <c r="H3798" t="s">
        <v>57</v>
      </c>
    </row>
    <row r="3799" spans="1:8" x14ac:dyDescent="0.3">
      <c r="A3799">
        <v>322</v>
      </c>
      <c r="B3799" s="5">
        <v>43863</v>
      </c>
      <c r="C3799" t="s">
        <v>10</v>
      </c>
      <c r="D3799">
        <v>337</v>
      </c>
      <c r="E3799">
        <v>2614</v>
      </c>
      <c r="F3799" s="5">
        <v>43862</v>
      </c>
      <c r="G3799">
        <v>337</v>
      </c>
      <c r="H3799" t="s">
        <v>57</v>
      </c>
    </row>
    <row r="3800" spans="1:8" x14ac:dyDescent="0.3">
      <c r="A3800">
        <v>322</v>
      </c>
      <c r="B3800" s="5">
        <v>43876</v>
      </c>
      <c r="C3800" t="s">
        <v>10</v>
      </c>
      <c r="D3800">
        <v>838</v>
      </c>
      <c r="E3800">
        <v>3452</v>
      </c>
      <c r="F3800" s="5">
        <v>43862</v>
      </c>
      <c r="G3800">
        <v>838</v>
      </c>
      <c r="H3800" t="s">
        <v>57</v>
      </c>
    </row>
    <row r="3801" spans="1:8" x14ac:dyDescent="0.3">
      <c r="A3801">
        <v>322</v>
      </c>
      <c r="B3801" s="5">
        <v>43881</v>
      </c>
      <c r="C3801" t="s">
        <v>12</v>
      </c>
      <c r="D3801">
        <v>51</v>
      </c>
      <c r="E3801">
        <v>3401</v>
      </c>
      <c r="F3801" s="5">
        <v>43862</v>
      </c>
      <c r="G3801">
        <v>-51</v>
      </c>
      <c r="H3801" t="s">
        <v>57</v>
      </c>
    </row>
    <row r="3802" spans="1:8" x14ac:dyDescent="0.3">
      <c r="A3802">
        <v>322</v>
      </c>
      <c r="B3802" s="5">
        <v>43881</v>
      </c>
      <c r="C3802" t="s">
        <v>12</v>
      </c>
      <c r="D3802">
        <v>285</v>
      </c>
      <c r="E3802">
        <v>3116</v>
      </c>
      <c r="F3802" s="5">
        <v>43862</v>
      </c>
      <c r="G3802">
        <v>-285</v>
      </c>
      <c r="H3802" t="s">
        <v>57</v>
      </c>
    </row>
    <row r="3803" spans="1:8" x14ac:dyDescent="0.3">
      <c r="A3803">
        <v>322</v>
      </c>
      <c r="B3803" s="5">
        <v>43887</v>
      </c>
      <c r="C3803" t="s">
        <v>12</v>
      </c>
      <c r="D3803">
        <v>645</v>
      </c>
      <c r="E3803">
        <v>2471</v>
      </c>
      <c r="F3803" s="5">
        <v>43862</v>
      </c>
      <c r="G3803">
        <v>-645</v>
      </c>
      <c r="H3803" t="s">
        <v>57</v>
      </c>
    </row>
    <row r="3804" spans="1:8" x14ac:dyDescent="0.3">
      <c r="A3804">
        <v>322</v>
      </c>
      <c r="B3804" s="5">
        <v>43899</v>
      </c>
      <c r="C3804" t="s">
        <v>10</v>
      </c>
      <c r="D3804">
        <v>371</v>
      </c>
      <c r="E3804">
        <v>2842</v>
      </c>
      <c r="F3804" s="5">
        <v>43891</v>
      </c>
      <c r="G3804">
        <v>371</v>
      </c>
      <c r="H3804" t="s">
        <v>57</v>
      </c>
    </row>
    <row r="3805" spans="1:8" x14ac:dyDescent="0.3">
      <c r="A3805">
        <v>322</v>
      </c>
      <c r="B3805" s="5">
        <v>43902</v>
      </c>
      <c r="C3805" t="s">
        <v>11</v>
      </c>
      <c r="D3805">
        <v>492</v>
      </c>
      <c r="E3805">
        <v>2350</v>
      </c>
      <c r="F3805" s="5">
        <v>43891</v>
      </c>
      <c r="G3805">
        <v>-492</v>
      </c>
      <c r="H3805" t="s">
        <v>57</v>
      </c>
    </row>
    <row r="3806" spans="1:8" x14ac:dyDescent="0.3">
      <c r="A3806">
        <v>322</v>
      </c>
      <c r="B3806" s="5">
        <v>43908</v>
      </c>
      <c r="C3806" t="s">
        <v>12</v>
      </c>
      <c r="D3806">
        <v>539</v>
      </c>
      <c r="E3806">
        <v>1811</v>
      </c>
      <c r="F3806" s="5">
        <v>43891</v>
      </c>
      <c r="G3806">
        <v>-539</v>
      </c>
      <c r="H3806" t="s">
        <v>57</v>
      </c>
    </row>
    <row r="3807" spans="1:8" x14ac:dyDescent="0.3">
      <c r="A3807">
        <v>323</v>
      </c>
      <c r="B3807" s="5">
        <v>43851</v>
      </c>
      <c r="C3807" t="s">
        <v>10</v>
      </c>
      <c r="D3807">
        <v>603</v>
      </c>
      <c r="E3807">
        <v>603</v>
      </c>
      <c r="F3807" s="5">
        <v>43831</v>
      </c>
      <c r="G3807">
        <v>603</v>
      </c>
      <c r="H3807" t="s">
        <v>57</v>
      </c>
    </row>
    <row r="3808" spans="1:8" x14ac:dyDescent="0.3">
      <c r="A3808">
        <v>323</v>
      </c>
      <c r="B3808" s="5">
        <v>43853</v>
      </c>
      <c r="C3808" t="s">
        <v>10</v>
      </c>
      <c r="D3808">
        <v>720</v>
      </c>
      <c r="E3808">
        <v>1323</v>
      </c>
      <c r="F3808" s="5">
        <v>43831</v>
      </c>
      <c r="G3808">
        <v>720</v>
      </c>
      <c r="H3808" t="s">
        <v>57</v>
      </c>
    </row>
    <row r="3809" spans="1:8" x14ac:dyDescent="0.3">
      <c r="A3809">
        <v>323</v>
      </c>
      <c r="B3809" s="5">
        <v>43874</v>
      </c>
      <c r="C3809" t="s">
        <v>12</v>
      </c>
      <c r="D3809">
        <v>311</v>
      </c>
      <c r="E3809">
        <v>1012</v>
      </c>
      <c r="F3809" s="5">
        <v>43862</v>
      </c>
      <c r="G3809">
        <v>-311</v>
      </c>
      <c r="H3809" t="s">
        <v>57</v>
      </c>
    </row>
    <row r="3810" spans="1:8" x14ac:dyDescent="0.3">
      <c r="A3810">
        <v>323</v>
      </c>
      <c r="B3810" s="5">
        <v>43881</v>
      </c>
      <c r="C3810" t="s">
        <v>12</v>
      </c>
      <c r="D3810">
        <v>928</v>
      </c>
      <c r="E3810">
        <v>84</v>
      </c>
      <c r="F3810" s="5">
        <v>43862</v>
      </c>
      <c r="G3810">
        <v>-928</v>
      </c>
      <c r="H3810" t="s">
        <v>57</v>
      </c>
    </row>
    <row r="3811" spans="1:8" x14ac:dyDescent="0.3">
      <c r="A3811">
        <v>323</v>
      </c>
      <c r="B3811" s="5">
        <v>43882</v>
      </c>
      <c r="C3811" t="s">
        <v>12</v>
      </c>
      <c r="D3811">
        <v>931</v>
      </c>
      <c r="E3811">
        <v>-847</v>
      </c>
      <c r="F3811" s="5">
        <v>43862</v>
      </c>
      <c r="G3811">
        <v>-931</v>
      </c>
      <c r="H3811" t="s">
        <v>58</v>
      </c>
    </row>
    <row r="3812" spans="1:8" x14ac:dyDescent="0.3">
      <c r="A3812">
        <v>323</v>
      </c>
      <c r="B3812" s="5">
        <v>43885</v>
      </c>
      <c r="C3812" t="s">
        <v>12</v>
      </c>
      <c r="D3812">
        <v>729</v>
      </c>
      <c r="E3812">
        <v>-1576</v>
      </c>
      <c r="F3812" s="5">
        <v>43862</v>
      </c>
      <c r="G3812">
        <v>-729</v>
      </c>
      <c r="H3812" t="s">
        <v>58</v>
      </c>
    </row>
    <row r="3813" spans="1:8" x14ac:dyDescent="0.3">
      <c r="A3813">
        <v>323</v>
      </c>
      <c r="B3813" s="5">
        <v>43886</v>
      </c>
      <c r="C3813" t="s">
        <v>12</v>
      </c>
      <c r="D3813">
        <v>304</v>
      </c>
      <c r="E3813">
        <v>-1880</v>
      </c>
      <c r="F3813" s="5">
        <v>43862</v>
      </c>
      <c r="G3813">
        <v>-304</v>
      </c>
      <c r="H3813" t="s">
        <v>58</v>
      </c>
    </row>
    <row r="3814" spans="1:8" x14ac:dyDescent="0.3">
      <c r="A3814">
        <v>323</v>
      </c>
      <c r="B3814" s="5">
        <v>43900</v>
      </c>
      <c r="C3814" t="s">
        <v>11</v>
      </c>
      <c r="D3814">
        <v>959</v>
      </c>
      <c r="E3814">
        <v>-2839</v>
      </c>
      <c r="F3814" s="5">
        <v>43891</v>
      </c>
      <c r="G3814">
        <v>-959</v>
      </c>
      <c r="H3814" t="s">
        <v>58</v>
      </c>
    </row>
    <row r="3815" spans="1:8" x14ac:dyDescent="0.3">
      <c r="A3815">
        <v>323</v>
      </c>
      <c r="B3815" s="5">
        <v>43903</v>
      </c>
      <c r="C3815" t="s">
        <v>11</v>
      </c>
      <c r="D3815">
        <v>166</v>
      </c>
      <c r="E3815">
        <v>-3005</v>
      </c>
      <c r="F3815" s="5">
        <v>43891</v>
      </c>
      <c r="G3815">
        <v>-166</v>
      </c>
      <c r="H3815" t="s">
        <v>58</v>
      </c>
    </row>
    <row r="3816" spans="1:8" x14ac:dyDescent="0.3">
      <c r="A3816">
        <v>323</v>
      </c>
      <c r="B3816" s="5">
        <v>43906</v>
      </c>
      <c r="C3816" t="s">
        <v>12</v>
      </c>
      <c r="D3816">
        <v>301</v>
      </c>
      <c r="E3816">
        <v>-3306</v>
      </c>
      <c r="F3816" s="5">
        <v>43891</v>
      </c>
      <c r="G3816">
        <v>-301</v>
      </c>
      <c r="H3816" t="s">
        <v>58</v>
      </c>
    </row>
    <row r="3817" spans="1:8" x14ac:dyDescent="0.3">
      <c r="A3817">
        <v>323</v>
      </c>
      <c r="B3817" s="5">
        <v>43908</v>
      </c>
      <c r="C3817" t="s">
        <v>12</v>
      </c>
      <c r="D3817">
        <v>980</v>
      </c>
      <c r="E3817">
        <v>-4286</v>
      </c>
      <c r="F3817" s="5">
        <v>43891</v>
      </c>
      <c r="G3817">
        <v>-980</v>
      </c>
      <c r="H3817" t="s">
        <v>58</v>
      </c>
    </row>
    <row r="3818" spans="1:8" x14ac:dyDescent="0.3">
      <c r="A3818">
        <v>323</v>
      </c>
      <c r="B3818" s="5">
        <v>43911</v>
      </c>
      <c r="C3818" t="s">
        <v>10</v>
      </c>
      <c r="D3818">
        <v>90</v>
      </c>
      <c r="E3818">
        <v>-4196</v>
      </c>
      <c r="F3818" s="5">
        <v>43891</v>
      </c>
      <c r="G3818">
        <v>90</v>
      </c>
      <c r="H3818" t="s">
        <v>58</v>
      </c>
    </row>
    <row r="3819" spans="1:8" x14ac:dyDescent="0.3">
      <c r="A3819">
        <v>323</v>
      </c>
      <c r="B3819" s="5">
        <v>43922</v>
      </c>
      <c r="C3819" t="s">
        <v>11</v>
      </c>
      <c r="D3819">
        <v>825</v>
      </c>
      <c r="E3819">
        <v>-5021</v>
      </c>
      <c r="F3819" s="5">
        <v>43922</v>
      </c>
      <c r="G3819">
        <v>-825</v>
      </c>
      <c r="H3819" t="s">
        <v>58</v>
      </c>
    </row>
    <row r="3820" spans="1:8" x14ac:dyDescent="0.3">
      <c r="A3820">
        <v>323</v>
      </c>
      <c r="B3820" s="5">
        <v>43930</v>
      </c>
      <c r="C3820" t="s">
        <v>10</v>
      </c>
      <c r="D3820">
        <v>102</v>
      </c>
      <c r="E3820">
        <v>-4919</v>
      </c>
      <c r="F3820" s="5">
        <v>43922</v>
      </c>
      <c r="G3820">
        <v>102</v>
      </c>
      <c r="H3820" t="s">
        <v>58</v>
      </c>
    </row>
    <row r="3821" spans="1:8" x14ac:dyDescent="0.3">
      <c r="A3821">
        <v>323</v>
      </c>
      <c r="B3821" s="5">
        <v>43932</v>
      </c>
      <c r="C3821" t="s">
        <v>11</v>
      </c>
      <c r="D3821">
        <v>558</v>
      </c>
      <c r="E3821">
        <v>-5477</v>
      </c>
      <c r="F3821" s="5">
        <v>43922</v>
      </c>
      <c r="G3821">
        <v>-558</v>
      </c>
      <c r="H3821" t="s">
        <v>58</v>
      </c>
    </row>
    <row r="3822" spans="1:8" x14ac:dyDescent="0.3">
      <c r="A3822">
        <v>323</v>
      </c>
      <c r="B3822" s="5">
        <v>43937</v>
      </c>
      <c r="C3822" t="s">
        <v>10</v>
      </c>
      <c r="D3822">
        <v>256</v>
      </c>
      <c r="E3822">
        <v>-5221</v>
      </c>
      <c r="F3822" s="5">
        <v>43922</v>
      </c>
      <c r="G3822">
        <v>256</v>
      </c>
      <c r="H3822" t="s">
        <v>58</v>
      </c>
    </row>
    <row r="3823" spans="1:8" x14ac:dyDescent="0.3">
      <c r="A3823">
        <v>324</v>
      </c>
      <c r="B3823" s="5">
        <v>43834</v>
      </c>
      <c r="C3823" t="s">
        <v>10</v>
      </c>
      <c r="D3823">
        <v>538</v>
      </c>
      <c r="E3823">
        <v>538</v>
      </c>
      <c r="F3823" s="5">
        <v>43831</v>
      </c>
      <c r="G3823">
        <v>538</v>
      </c>
      <c r="H3823" t="s">
        <v>57</v>
      </c>
    </row>
    <row r="3824" spans="1:8" x14ac:dyDescent="0.3">
      <c r="A3824">
        <v>324</v>
      </c>
      <c r="B3824" s="5">
        <v>43834</v>
      </c>
      <c r="C3824" t="s">
        <v>10</v>
      </c>
      <c r="D3824">
        <v>483</v>
      </c>
      <c r="E3824">
        <v>1021</v>
      </c>
      <c r="F3824" s="5">
        <v>43831</v>
      </c>
      <c r="G3824">
        <v>483</v>
      </c>
      <c r="H3824" t="s">
        <v>57</v>
      </c>
    </row>
    <row r="3825" spans="1:8" x14ac:dyDescent="0.3">
      <c r="A3825">
        <v>324</v>
      </c>
      <c r="B3825" s="5">
        <v>43858</v>
      </c>
      <c r="C3825" t="s">
        <v>11</v>
      </c>
      <c r="D3825">
        <v>818</v>
      </c>
      <c r="E3825">
        <v>203</v>
      </c>
      <c r="F3825" s="5">
        <v>43831</v>
      </c>
      <c r="G3825">
        <v>-818</v>
      </c>
      <c r="H3825" t="s">
        <v>57</v>
      </c>
    </row>
    <row r="3826" spans="1:8" x14ac:dyDescent="0.3">
      <c r="A3826">
        <v>324</v>
      </c>
      <c r="B3826" s="5">
        <v>43870</v>
      </c>
      <c r="C3826" t="s">
        <v>10</v>
      </c>
      <c r="D3826">
        <v>764</v>
      </c>
      <c r="E3826">
        <v>967</v>
      </c>
      <c r="F3826" s="5">
        <v>43862</v>
      </c>
      <c r="G3826">
        <v>764</v>
      </c>
      <c r="H3826" t="s">
        <v>57</v>
      </c>
    </row>
    <row r="3827" spans="1:8" x14ac:dyDescent="0.3">
      <c r="A3827">
        <v>324</v>
      </c>
      <c r="B3827" s="5">
        <v>43912</v>
      </c>
      <c r="C3827" t="s">
        <v>10</v>
      </c>
      <c r="D3827">
        <v>185</v>
      </c>
      <c r="E3827">
        <v>1152</v>
      </c>
      <c r="F3827" s="5">
        <v>43891</v>
      </c>
      <c r="G3827">
        <v>185</v>
      </c>
      <c r="H3827" t="s">
        <v>57</v>
      </c>
    </row>
    <row r="3828" spans="1:8" x14ac:dyDescent="0.3">
      <c r="A3828">
        <v>324</v>
      </c>
      <c r="B3828" s="5">
        <v>43919</v>
      </c>
      <c r="C3828" t="s">
        <v>10</v>
      </c>
      <c r="D3828">
        <v>987</v>
      </c>
      <c r="E3828">
        <v>2139</v>
      </c>
      <c r="F3828" s="5">
        <v>43891</v>
      </c>
      <c r="G3828">
        <v>987</v>
      </c>
      <c r="H3828" t="s">
        <v>57</v>
      </c>
    </row>
    <row r="3829" spans="1:8" x14ac:dyDescent="0.3">
      <c r="A3829">
        <v>324</v>
      </c>
      <c r="B3829" s="5">
        <v>43919</v>
      </c>
      <c r="C3829" t="s">
        <v>12</v>
      </c>
      <c r="D3829">
        <v>669</v>
      </c>
      <c r="E3829">
        <v>1470</v>
      </c>
      <c r="F3829" s="5">
        <v>43891</v>
      </c>
      <c r="G3829">
        <v>-669</v>
      </c>
      <c r="H3829" t="s">
        <v>57</v>
      </c>
    </row>
    <row r="3830" spans="1:8" x14ac:dyDescent="0.3">
      <c r="A3830">
        <v>325</v>
      </c>
      <c r="B3830" s="5">
        <v>43857</v>
      </c>
      <c r="C3830" t="s">
        <v>10</v>
      </c>
      <c r="D3830">
        <v>60</v>
      </c>
      <c r="E3830">
        <v>60</v>
      </c>
      <c r="F3830" s="5">
        <v>43831</v>
      </c>
      <c r="G3830">
        <v>60</v>
      </c>
      <c r="H3830" t="s">
        <v>57</v>
      </c>
    </row>
    <row r="3831" spans="1:8" x14ac:dyDescent="0.3">
      <c r="A3831">
        <v>325</v>
      </c>
      <c r="B3831" s="5">
        <v>43867</v>
      </c>
      <c r="C3831" t="s">
        <v>12</v>
      </c>
      <c r="D3831">
        <v>274</v>
      </c>
      <c r="E3831">
        <v>-214</v>
      </c>
      <c r="F3831" s="5">
        <v>43862</v>
      </c>
      <c r="G3831">
        <v>-274</v>
      </c>
      <c r="H3831" t="s">
        <v>58</v>
      </c>
    </row>
    <row r="3832" spans="1:8" x14ac:dyDescent="0.3">
      <c r="A3832">
        <v>325</v>
      </c>
      <c r="B3832" s="5">
        <v>43877</v>
      </c>
      <c r="C3832" t="s">
        <v>12</v>
      </c>
      <c r="D3832">
        <v>725</v>
      </c>
      <c r="E3832">
        <v>-939</v>
      </c>
      <c r="F3832" s="5">
        <v>43862</v>
      </c>
      <c r="G3832">
        <v>-725</v>
      </c>
      <c r="H3832" t="s">
        <v>58</v>
      </c>
    </row>
    <row r="3833" spans="1:8" x14ac:dyDescent="0.3">
      <c r="A3833">
        <v>325</v>
      </c>
      <c r="B3833" s="5">
        <v>43882</v>
      </c>
      <c r="C3833" t="s">
        <v>12</v>
      </c>
      <c r="D3833">
        <v>939</v>
      </c>
      <c r="E3833">
        <v>-1878</v>
      </c>
      <c r="F3833" s="5">
        <v>43862</v>
      </c>
      <c r="G3833">
        <v>-939</v>
      </c>
      <c r="H3833" t="s">
        <v>58</v>
      </c>
    </row>
    <row r="3834" spans="1:8" x14ac:dyDescent="0.3">
      <c r="A3834">
        <v>325</v>
      </c>
      <c r="B3834" s="5">
        <v>43891</v>
      </c>
      <c r="C3834" t="s">
        <v>10</v>
      </c>
      <c r="D3834">
        <v>959</v>
      </c>
      <c r="E3834">
        <v>-919</v>
      </c>
      <c r="F3834" s="5">
        <v>43891</v>
      </c>
      <c r="G3834">
        <v>959</v>
      </c>
      <c r="H3834" t="s">
        <v>58</v>
      </c>
    </row>
    <row r="3835" spans="1:8" x14ac:dyDescent="0.3">
      <c r="A3835">
        <v>325</v>
      </c>
      <c r="B3835" s="5">
        <v>43900</v>
      </c>
      <c r="C3835" t="s">
        <v>11</v>
      </c>
      <c r="D3835">
        <v>114</v>
      </c>
      <c r="E3835">
        <v>-1033</v>
      </c>
      <c r="F3835" s="5">
        <v>43891</v>
      </c>
      <c r="G3835">
        <v>-114</v>
      </c>
      <c r="H3835" t="s">
        <v>58</v>
      </c>
    </row>
    <row r="3836" spans="1:8" x14ac:dyDescent="0.3">
      <c r="A3836">
        <v>325</v>
      </c>
      <c r="B3836" s="5">
        <v>43901</v>
      </c>
      <c r="C3836" t="s">
        <v>11</v>
      </c>
      <c r="D3836">
        <v>499</v>
      </c>
      <c r="E3836">
        <v>-1532</v>
      </c>
      <c r="F3836" s="5">
        <v>43891</v>
      </c>
      <c r="G3836">
        <v>-499</v>
      </c>
      <c r="H3836" t="s">
        <v>58</v>
      </c>
    </row>
    <row r="3837" spans="1:8" x14ac:dyDescent="0.3">
      <c r="A3837">
        <v>325</v>
      </c>
      <c r="B3837" s="5">
        <v>43913</v>
      </c>
      <c r="C3837" t="s">
        <v>10</v>
      </c>
      <c r="D3837">
        <v>384</v>
      </c>
      <c r="E3837">
        <v>-1148</v>
      </c>
      <c r="F3837" s="5">
        <v>43891</v>
      </c>
      <c r="G3837">
        <v>384</v>
      </c>
      <c r="H3837" t="s">
        <v>58</v>
      </c>
    </row>
    <row r="3838" spans="1:8" x14ac:dyDescent="0.3">
      <c r="A3838">
        <v>325</v>
      </c>
      <c r="B3838" s="5">
        <v>43918</v>
      </c>
      <c r="C3838" t="s">
        <v>11</v>
      </c>
      <c r="D3838">
        <v>714</v>
      </c>
      <c r="E3838">
        <v>-1862</v>
      </c>
      <c r="F3838" s="5">
        <v>43891</v>
      </c>
      <c r="G3838">
        <v>-714</v>
      </c>
      <c r="H3838" t="s">
        <v>58</v>
      </c>
    </row>
    <row r="3839" spans="1:8" x14ac:dyDescent="0.3">
      <c r="A3839">
        <v>326</v>
      </c>
      <c r="B3839" s="5">
        <v>43842</v>
      </c>
      <c r="C3839" t="s">
        <v>10</v>
      </c>
      <c r="D3839">
        <v>478</v>
      </c>
      <c r="E3839">
        <v>478</v>
      </c>
      <c r="F3839" s="5">
        <v>43831</v>
      </c>
      <c r="G3839">
        <v>478</v>
      </c>
      <c r="H3839" t="s">
        <v>57</v>
      </c>
    </row>
    <row r="3840" spans="1:8" x14ac:dyDescent="0.3">
      <c r="A3840">
        <v>326</v>
      </c>
      <c r="B3840" s="5">
        <v>43848</v>
      </c>
      <c r="C3840" t="s">
        <v>11</v>
      </c>
      <c r="D3840">
        <v>689</v>
      </c>
      <c r="E3840">
        <v>-211</v>
      </c>
      <c r="F3840" s="5">
        <v>43831</v>
      </c>
      <c r="G3840">
        <v>-689</v>
      </c>
      <c r="H3840" t="s">
        <v>58</v>
      </c>
    </row>
    <row r="3841" spans="1:8" x14ac:dyDescent="0.3">
      <c r="A3841">
        <v>326</v>
      </c>
      <c r="B3841" s="5">
        <v>43870</v>
      </c>
      <c r="C3841" t="s">
        <v>10</v>
      </c>
      <c r="D3841">
        <v>628</v>
      </c>
      <c r="E3841">
        <v>417</v>
      </c>
      <c r="F3841" s="5">
        <v>43862</v>
      </c>
      <c r="G3841">
        <v>628</v>
      </c>
      <c r="H3841" t="s">
        <v>57</v>
      </c>
    </row>
    <row r="3842" spans="1:8" x14ac:dyDescent="0.3">
      <c r="A3842">
        <v>327</v>
      </c>
      <c r="B3842" s="5">
        <v>43844</v>
      </c>
      <c r="C3842" t="s">
        <v>10</v>
      </c>
      <c r="D3842">
        <v>299</v>
      </c>
      <c r="E3842">
        <v>299</v>
      </c>
      <c r="F3842" s="5">
        <v>43831</v>
      </c>
      <c r="G3842">
        <v>299</v>
      </c>
      <c r="H3842" t="s">
        <v>57</v>
      </c>
    </row>
    <row r="3843" spans="1:8" x14ac:dyDescent="0.3">
      <c r="A3843">
        <v>327</v>
      </c>
      <c r="B3843" s="5">
        <v>43852</v>
      </c>
      <c r="C3843" t="s">
        <v>10</v>
      </c>
      <c r="D3843">
        <v>620</v>
      </c>
      <c r="E3843">
        <v>919</v>
      </c>
      <c r="F3843" s="5">
        <v>43831</v>
      </c>
      <c r="G3843">
        <v>620</v>
      </c>
      <c r="H3843" t="s">
        <v>57</v>
      </c>
    </row>
    <row r="3844" spans="1:8" x14ac:dyDescent="0.3">
      <c r="A3844">
        <v>327</v>
      </c>
      <c r="B3844" s="5">
        <v>43904</v>
      </c>
      <c r="C3844" t="s">
        <v>11</v>
      </c>
      <c r="D3844">
        <v>680</v>
      </c>
      <c r="E3844">
        <v>239</v>
      </c>
      <c r="F3844" s="5">
        <v>43891</v>
      </c>
      <c r="G3844">
        <v>-680</v>
      </c>
      <c r="H3844" t="s">
        <v>57</v>
      </c>
    </row>
    <row r="3845" spans="1:8" x14ac:dyDescent="0.3">
      <c r="A3845">
        <v>327</v>
      </c>
      <c r="B3845" s="5">
        <v>43912</v>
      </c>
      <c r="C3845" t="s">
        <v>11</v>
      </c>
      <c r="D3845">
        <v>562</v>
      </c>
      <c r="E3845">
        <v>-323</v>
      </c>
      <c r="F3845" s="5">
        <v>43891</v>
      </c>
      <c r="G3845">
        <v>-562</v>
      </c>
      <c r="H3845" t="s">
        <v>58</v>
      </c>
    </row>
    <row r="3846" spans="1:8" x14ac:dyDescent="0.3">
      <c r="A3846">
        <v>327</v>
      </c>
      <c r="B3846" s="5">
        <v>43917</v>
      </c>
      <c r="C3846" t="s">
        <v>10</v>
      </c>
      <c r="D3846">
        <v>624</v>
      </c>
      <c r="E3846">
        <v>301</v>
      </c>
      <c r="F3846" s="5">
        <v>43891</v>
      </c>
      <c r="G3846">
        <v>624</v>
      </c>
      <c r="H3846" t="s">
        <v>57</v>
      </c>
    </row>
    <row r="3847" spans="1:8" x14ac:dyDescent="0.3">
      <c r="A3847">
        <v>327</v>
      </c>
      <c r="B3847" s="5">
        <v>43917</v>
      </c>
      <c r="C3847" t="s">
        <v>11</v>
      </c>
      <c r="D3847">
        <v>465</v>
      </c>
      <c r="E3847">
        <v>-164</v>
      </c>
      <c r="F3847" s="5">
        <v>43891</v>
      </c>
      <c r="G3847">
        <v>-465</v>
      </c>
      <c r="H3847" t="s">
        <v>58</v>
      </c>
    </row>
    <row r="3848" spans="1:8" x14ac:dyDescent="0.3">
      <c r="A3848">
        <v>328</v>
      </c>
      <c r="B3848" s="5">
        <v>43852</v>
      </c>
      <c r="C3848" t="s">
        <v>10</v>
      </c>
      <c r="D3848">
        <v>393</v>
      </c>
      <c r="E3848">
        <v>393</v>
      </c>
      <c r="F3848" s="5">
        <v>43831</v>
      </c>
      <c r="G3848">
        <v>393</v>
      </c>
      <c r="H3848" t="s">
        <v>57</v>
      </c>
    </row>
    <row r="3849" spans="1:8" x14ac:dyDescent="0.3">
      <c r="A3849">
        <v>328</v>
      </c>
      <c r="B3849" s="5">
        <v>43852</v>
      </c>
      <c r="C3849" t="s">
        <v>12</v>
      </c>
      <c r="D3849">
        <v>697</v>
      </c>
      <c r="E3849">
        <v>-304</v>
      </c>
      <c r="F3849" s="5">
        <v>43831</v>
      </c>
      <c r="G3849">
        <v>-697</v>
      </c>
      <c r="H3849" t="s">
        <v>58</v>
      </c>
    </row>
    <row r="3850" spans="1:8" x14ac:dyDescent="0.3">
      <c r="A3850">
        <v>328</v>
      </c>
      <c r="B3850" s="5">
        <v>43858</v>
      </c>
      <c r="C3850" t="s">
        <v>11</v>
      </c>
      <c r="D3850">
        <v>409</v>
      </c>
      <c r="E3850">
        <v>-713</v>
      </c>
      <c r="F3850" s="5">
        <v>43831</v>
      </c>
      <c r="G3850">
        <v>-409</v>
      </c>
      <c r="H3850" t="s">
        <v>58</v>
      </c>
    </row>
    <row r="3851" spans="1:8" x14ac:dyDescent="0.3">
      <c r="A3851">
        <v>328</v>
      </c>
      <c r="B3851" s="5">
        <v>43860</v>
      </c>
      <c r="C3851" t="s">
        <v>11</v>
      </c>
      <c r="D3851">
        <v>519</v>
      </c>
      <c r="E3851">
        <v>-1232</v>
      </c>
      <c r="F3851" s="5">
        <v>43831</v>
      </c>
      <c r="G3851">
        <v>-519</v>
      </c>
      <c r="H3851" t="s">
        <v>58</v>
      </c>
    </row>
    <row r="3852" spans="1:8" x14ac:dyDescent="0.3">
      <c r="A3852">
        <v>328</v>
      </c>
      <c r="B3852" s="5">
        <v>43864</v>
      </c>
      <c r="C3852" t="s">
        <v>11</v>
      </c>
      <c r="D3852">
        <v>639</v>
      </c>
      <c r="E3852">
        <v>-1871</v>
      </c>
      <c r="F3852" s="5">
        <v>43862</v>
      </c>
      <c r="G3852">
        <v>-639</v>
      </c>
      <c r="H3852" t="s">
        <v>58</v>
      </c>
    </row>
    <row r="3853" spans="1:8" x14ac:dyDescent="0.3">
      <c r="A3853">
        <v>328</v>
      </c>
      <c r="B3853" s="5">
        <v>43871</v>
      </c>
      <c r="C3853" t="s">
        <v>12</v>
      </c>
      <c r="D3853">
        <v>443</v>
      </c>
      <c r="E3853">
        <v>-2314</v>
      </c>
      <c r="F3853" s="5">
        <v>43862</v>
      </c>
      <c r="G3853">
        <v>-443</v>
      </c>
      <c r="H3853" t="s">
        <v>58</v>
      </c>
    </row>
    <row r="3854" spans="1:8" x14ac:dyDescent="0.3">
      <c r="A3854">
        <v>328</v>
      </c>
      <c r="B3854" s="5">
        <v>43881</v>
      </c>
      <c r="C3854" t="s">
        <v>11</v>
      </c>
      <c r="D3854">
        <v>931</v>
      </c>
      <c r="E3854">
        <v>-3245</v>
      </c>
      <c r="F3854" s="5">
        <v>43862</v>
      </c>
      <c r="G3854">
        <v>-931</v>
      </c>
      <c r="H3854" t="s">
        <v>58</v>
      </c>
    </row>
    <row r="3855" spans="1:8" x14ac:dyDescent="0.3">
      <c r="A3855">
        <v>328</v>
      </c>
      <c r="B3855" s="5">
        <v>43883</v>
      </c>
      <c r="C3855" t="s">
        <v>12</v>
      </c>
      <c r="D3855">
        <v>181</v>
      </c>
      <c r="E3855">
        <v>-3426</v>
      </c>
      <c r="F3855" s="5">
        <v>43862</v>
      </c>
      <c r="G3855">
        <v>-181</v>
      </c>
      <c r="H3855" t="s">
        <v>58</v>
      </c>
    </row>
    <row r="3856" spans="1:8" x14ac:dyDescent="0.3">
      <c r="A3856">
        <v>328</v>
      </c>
      <c r="B3856" s="5">
        <v>43891</v>
      </c>
      <c r="C3856" t="s">
        <v>10</v>
      </c>
      <c r="D3856">
        <v>721</v>
      </c>
      <c r="E3856">
        <v>-2705</v>
      </c>
      <c r="F3856" s="5">
        <v>43891</v>
      </c>
      <c r="G3856">
        <v>721</v>
      </c>
      <c r="H3856" t="s">
        <v>58</v>
      </c>
    </row>
    <row r="3857" spans="1:8" x14ac:dyDescent="0.3">
      <c r="A3857">
        <v>328</v>
      </c>
      <c r="B3857" s="5">
        <v>43894</v>
      </c>
      <c r="C3857" t="s">
        <v>11</v>
      </c>
      <c r="D3857">
        <v>585</v>
      </c>
      <c r="E3857">
        <v>-3290</v>
      </c>
      <c r="F3857" s="5">
        <v>43891</v>
      </c>
      <c r="G3857">
        <v>-585</v>
      </c>
      <c r="H3857" t="s">
        <v>58</v>
      </c>
    </row>
    <row r="3858" spans="1:8" x14ac:dyDescent="0.3">
      <c r="A3858">
        <v>328</v>
      </c>
      <c r="B3858" s="5">
        <v>43894</v>
      </c>
      <c r="C3858" t="s">
        <v>12</v>
      </c>
      <c r="D3858">
        <v>688</v>
      </c>
      <c r="E3858">
        <v>-3978</v>
      </c>
      <c r="F3858" s="5">
        <v>43891</v>
      </c>
      <c r="G3858">
        <v>-688</v>
      </c>
      <c r="H3858" t="s">
        <v>58</v>
      </c>
    </row>
    <row r="3859" spans="1:8" x14ac:dyDescent="0.3">
      <c r="A3859">
        <v>328</v>
      </c>
      <c r="B3859" s="5">
        <v>43895</v>
      </c>
      <c r="C3859" t="s">
        <v>10</v>
      </c>
      <c r="D3859">
        <v>106</v>
      </c>
      <c r="E3859">
        <v>-3872</v>
      </c>
      <c r="F3859" s="5">
        <v>43891</v>
      </c>
      <c r="G3859">
        <v>106</v>
      </c>
      <c r="H3859" t="s">
        <v>58</v>
      </c>
    </row>
    <row r="3860" spans="1:8" x14ac:dyDescent="0.3">
      <c r="A3860">
        <v>328</v>
      </c>
      <c r="B3860" s="5">
        <v>43900</v>
      </c>
      <c r="C3860" t="s">
        <v>11</v>
      </c>
      <c r="D3860">
        <v>499</v>
      </c>
      <c r="E3860">
        <v>-4371</v>
      </c>
      <c r="F3860" s="5">
        <v>43891</v>
      </c>
      <c r="G3860">
        <v>-499</v>
      </c>
      <c r="H3860" t="s">
        <v>58</v>
      </c>
    </row>
    <row r="3861" spans="1:8" x14ac:dyDescent="0.3">
      <c r="A3861">
        <v>328</v>
      </c>
      <c r="B3861" s="5">
        <v>43904</v>
      </c>
      <c r="C3861" t="s">
        <v>12</v>
      </c>
      <c r="D3861">
        <v>819</v>
      </c>
      <c r="E3861">
        <v>-5190</v>
      </c>
      <c r="F3861" s="5">
        <v>43891</v>
      </c>
      <c r="G3861">
        <v>-819</v>
      </c>
      <c r="H3861" t="s">
        <v>58</v>
      </c>
    </row>
    <row r="3862" spans="1:8" x14ac:dyDescent="0.3">
      <c r="A3862">
        <v>328</v>
      </c>
      <c r="B3862" s="5">
        <v>43908</v>
      </c>
      <c r="C3862" t="s">
        <v>10</v>
      </c>
      <c r="D3862">
        <v>418</v>
      </c>
      <c r="E3862">
        <v>-4772</v>
      </c>
      <c r="F3862" s="5">
        <v>43891</v>
      </c>
      <c r="G3862">
        <v>418</v>
      </c>
      <c r="H3862" t="s">
        <v>58</v>
      </c>
    </row>
    <row r="3863" spans="1:8" x14ac:dyDescent="0.3">
      <c r="A3863">
        <v>328</v>
      </c>
      <c r="B3863" s="5">
        <v>43909</v>
      </c>
      <c r="C3863" t="s">
        <v>10</v>
      </c>
      <c r="D3863">
        <v>493</v>
      </c>
      <c r="E3863">
        <v>-4279</v>
      </c>
      <c r="F3863" s="5">
        <v>43891</v>
      </c>
      <c r="G3863">
        <v>493</v>
      </c>
      <c r="H3863" t="s">
        <v>58</v>
      </c>
    </row>
    <row r="3864" spans="1:8" x14ac:dyDescent="0.3">
      <c r="A3864">
        <v>328</v>
      </c>
      <c r="B3864" s="5">
        <v>43921</v>
      </c>
      <c r="C3864" t="s">
        <v>11</v>
      </c>
      <c r="D3864">
        <v>424</v>
      </c>
      <c r="E3864">
        <v>-4703</v>
      </c>
      <c r="F3864" s="5">
        <v>43891</v>
      </c>
      <c r="G3864">
        <v>-424</v>
      </c>
      <c r="H3864" t="s">
        <v>58</v>
      </c>
    </row>
    <row r="3865" spans="1:8" x14ac:dyDescent="0.3">
      <c r="A3865">
        <v>328</v>
      </c>
      <c r="B3865" s="5">
        <v>43924</v>
      </c>
      <c r="C3865" t="s">
        <v>10</v>
      </c>
      <c r="D3865">
        <v>726</v>
      </c>
      <c r="E3865">
        <v>-3977</v>
      </c>
      <c r="F3865" s="5">
        <v>43922</v>
      </c>
      <c r="G3865">
        <v>726</v>
      </c>
      <c r="H3865" t="s">
        <v>58</v>
      </c>
    </row>
    <row r="3866" spans="1:8" x14ac:dyDescent="0.3">
      <c r="A3866">
        <v>328</v>
      </c>
      <c r="B3866" s="5">
        <v>43931</v>
      </c>
      <c r="C3866" t="s">
        <v>11</v>
      </c>
      <c r="D3866">
        <v>582</v>
      </c>
      <c r="E3866">
        <v>-4559</v>
      </c>
      <c r="F3866" s="5">
        <v>43922</v>
      </c>
      <c r="G3866">
        <v>-582</v>
      </c>
      <c r="H3866" t="s">
        <v>58</v>
      </c>
    </row>
    <row r="3867" spans="1:8" x14ac:dyDescent="0.3">
      <c r="A3867">
        <v>329</v>
      </c>
      <c r="B3867" s="5">
        <v>43837</v>
      </c>
      <c r="C3867" t="s">
        <v>10</v>
      </c>
      <c r="D3867">
        <v>723</v>
      </c>
      <c r="E3867">
        <v>723</v>
      </c>
      <c r="F3867" s="5">
        <v>43831</v>
      </c>
      <c r="G3867">
        <v>723</v>
      </c>
      <c r="H3867" t="s">
        <v>57</v>
      </c>
    </row>
    <row r="3868" spans="1:8" x14ac:dyDescent="0.3">
      <c r="A3868">
        <v>329</v>
      </c>
      <c r="B3868" s="5">
        <v>43852</v>
      </c>
      <c r="C3868" t="s">
        <v>10</v>
      </c>
      <c r="D3868">
        <v>108</v>
      </c>
      <c r="E3868">
        <v>831</v>
      </c>
      <c r="F3868" s="5">
        <v>43831</v>
      </c>
      <c r="G3868">
        <v>108</v>
      </c>
      <c r="H3868" t="s">
        <v>57</v>
      </c>
    </row>
    <row r="3869" spans="1:8" x14ac:dyDescent="0.3">
      <c r="A3869">
        <v>329</v>
      </c>
      <c r="B3869" s="5">
        <v>43865</v>
      </c>
      <c r="C3869" t="s">
        <v>10</v>
      </c>
      <c r="D3869">
        <v>571</v>
      </c>
      <c r="E3869">
        <v>1402</v>
      </c>
      <c r="F3869" s="5">
        <v>43862</v>
      </c>
      <c r="G3869">
        <v>571</v>
      </c>
      <c r="H3869" t="s">
        <v>57</v>
      </c>
    </row>
    <row r="3870" spans="1:8" x14ac:dyDescent="0.3">
      <c r="A3870">
        <v>329</v>
      </c>
      <c r="B3870" s="5">
        <v>43875</v>
      </c>
      <c r="C3870" t="s">
        <v>12</v>
      </c>
      <c r="D3870">
        <v>662</v>
      </c>
      <c r="E3870">
        <v>740</v>
      </c>
      <c r="F3870" s="5">
        <v>43862</v>
      </c>
      <c r="G3870">
        <v>-662</v>
      </c>
      <c r="H3870" t="s">
        <v>57</v>
      </c>
    </row>
    <row r="3871" spans="1:8" x14ac:dyDescent="0.3">
      <c r="A3871">
        <v>329</v>
      </c>
      <c r="B3871" s="5">
        <v>43876</v>
      </c>
      <c r="C3871" t="s">
        <v>12</v>
      </c>
      <c r="D3871">
        <v>144</v>
      </c>
      <c r="E3871">
        <v>596</v>
      </c>
      <c r="F3871" s="5">
        <v>43862</v>
      </c>
      <c r="G3871">
        <v>-144</v>
      </c>
      <c r="H3871" t="s">
        <v>57</v>
      </c>
    </row>
    <row r="3872" spans="1:8" x14ac:dyDescent="0.3">
      <c r="A3872">
        <v>329</v>
      </c>
      <c r="B3872" s="5">
        <v>43883</v>
      </c>
      <c r="C3872" t="s">
        <v>11</v>
      </c>
      <c r="D3872">
        <v>594</v>
      </c>
      <c r="E3872">
        <v>2</v>
      </c>
      <c r="F3872" s="5">
        <v>43862</v>
      </c>
      <c r="G3872">
        <v>-594</v>
      </c>
      <c r="H3872" t="s">
        <v>57</v>
      </c>
    </row>
    <row r="3873" spans="1:8" x14ac:dyDescent="0.3">
      <c r="A3873">
        <v>329</v>
      </c>
      <c r="B3873" s="5">
        <v>43902</v>
      </c>
      <c r="C3873" t="s">
        <v>12</v>
      </c>
      <c r="D3873">
        <v>253</v>
      </c>
      <c r="E3873">
        <v>-251</v>
      </c>
      <c r="F3873" s="5">
        <v>43891</v>
      </c>
      <c r="G3873">
        <v>-253</v>
      </c>
      <c r="H3873" t="s">
        <v>58</v>
      </c>
    </row>
    <row r="3874" spans="1:8" x14ac:dyDescent="0.3">
      <c r="A3874">
        <v>329</v>
      </c>
      <c r="B3874" s="5">
        <v>43912</v>
      </c>
      <c r="C3874" t="s">
        <v>12</v>
      </c>
      <c r="D3874">
        <v>375</v>
      </c>
      <c r="E3874">
        <v>-626</v>
      </c>
      <c r="F3874" s="5">
        <v>43891</v>
      </c>
      <c r="G3874">
        <v>-375</v>
      </c>
      <c r="H3874" t="s">
        <v>58</v>
      </c>
    </row>
    <row r="3875" spans="1:8" x14ac:dyDescent="0.3">
      <c r="A3875">
        <v>329</v>
      </c>
      <c r="B3875" s="5">
        <v>43922</v>
      </c>
      <c r="C3875" t="s">
        <v>10</v>
      </c>
      <c r="D3875">
        <v>932</v>
      </c>
      <c r="E3875">
        <v>306</v>
      </c>
      <c r="F3875" s="5">
        <v>43922</v>
      </c>
      <c r="G3875">
        <v>932</v>
      </c>
      <c r="H3875" t="s">
        <v>57</v>
      </c>
    </row>
    <row r="3876" spans="1:8" x14ac:dyDescent="0.3">
      <c r="A3876">
        <v>329</v>
      </c>
      <c r="B3876" s="5">
        <v>43924</v>
      </c>
      <c r="C3876" t="s">
        <v>10</v>
      </c>
      <c r="D3876">
        <v>103</v>
      </c>
      <c r="E3876">
        <v>409</v>
      </c>
      <c r="F3876" s="5">
        <v>43922</v>
      </c>
      <c r="G3876">
        <v>103</v>
      </c>
      <c r="H3876" t="s">
        <v>57</v>
      </c>
    </row>
    <row r="3877" spans="1:8" x14ac:dyDescent="0.3">
      <c r="A3877">
        <v>329</v>
      </c>
      <c r="B3877" s="5">
        <v>43924</v>
      </c>
      <c r="C3877" t="s">
        <v>10</v>
      </c>
      <c r="D3877">
        <v>598</v>
      </c>
      <c r="E3877">
        <v>1007</v>
      </c>
      <c r="F3877" s="5">
        <v>43922</v>
      </c>
      <c r="G3877">
        <v>598</v>
      </c>
      <c r="H3877" t="s">
        <v>57</v>
      </c>
    </row>
    <row r="3878" spans="1:8" x14ac:dyDescent="0.3">
      <c r="A3878">
        <v>329</v>
      </c>
      <c r="B3878" s="5">
        <v>43925</v>
      </c>
      <c r="C3878" t="s">
        <v>11</v>
      </c>
      <c r="D3878">
        <v>271</v>
      </c>
      <c r="E3878">
        <v>736</v>
      </c>
      <c r="F3878" s="5">
        <v>43922</v>
      </c>
      <c r="G3878">
        <v>-271</v>
      </c>
      <c r="H3878" t="s">
        <v>57</v>
      </c>
    </row>
    <row r="3879" spans="1:8" x14ac:dyDescent="0.3">
      <c r="A3879">
        <v>330</v>
      </c>
      <c r="B3879" s="5">
        <v>43856</v>
      </c>
      <c r="C3879" t="s">
        <v>10</v>
      </c>
      <c r="D3879">
        <v>540</v>
      </c>
      <c r="E3879">
        <v>540</v>
      </c>
      <c r="F3879" s="5">
        <v>43831</v>
      </c>
      <c r="G3879">
        <v>540</v>
      </c>
      <c r="H3879" t="s">
        <v>57</v>
      </c>
    </row>
    <row r="3880" spans="1:8" x14ac:dyDescent="0.3">
      <c r="A3880">
        <v>330</v>
      </c>
      <c r="B3880" s="5">
        <v>43858</v>
      </c>
      <c r="C3880" t="s">
        <v>10</v>
      </c>
      <c r="D3880">
        <v>286</v>
      </c>
      <c r="E3880">
        <v>826</v>
      </c>
      <c r="F3880" s="5">
        <v>43831</v>
      </c>
      <c r="G3880">
        <v>286</v>
      </c>
      <c r="H3880" t="s">
        <v>57</v>
      </c>
    </row>
    <row r="3881" spans="1:8" x14ac:dyDescent="0.3">
      <c r="A3881">
        <v>330</v>
      </c>
      <c r="B3881" s="5">
        <v>43870</v>
      </c>
      <c r="C3881" t="s">
        <v>10</v>
      </c>
      <c r="D3881">
        <v>771</v>
      </c>
      <c r="E3881">
        <v>1597</v>
      </c>
      <c r="F3881" s="5">
        <v>43862</v>
      </c>
      <c r="G3881">
        <v>771</v>
      </c>
      <c r="H3881" t="s">
        <v>57</v>
      </c>
    </row>
    <row r="3882" spans="1:8" x14ac:dyDescent="0.3">
      <c r="A3882">
        <v>330</v>
      </c>
      <c r="B3882" s="5">
        <v>43879</v>
      </c>
      <c r="C3882" t="s">
        <v>12</v>
      </c>
      <c r="D3882">
        <v>856</v>
      </c>
      <c r="E3882">
        <v>741</v>
      </c>
      <c r="F3882" s="5">
        <v>43862</v>
      </c>
      <c r="G3882">
        <v>-856</v>
      </c>
      <c r="H3882" t="s">
        <v>57</v>
      </c>
    </row>
    <row r="3883" spans="1:8" x14ac:dyDescent="0.3">
      <c r="A3883">
        <v>330</v>
      </c>
      <c r="B3883" s="5">
        <v>43880</v>
      </c>
      <c r="C3883" t="s">
        <v>10</v>
      </c>
      <c r="D3883">
        <v>498</v>
      </c>
      <c r="E3883">
        <v>1239</v>
      </c>
      <c r="F3883" s="5">
        <v>43862</v>
      </c>
      <c r="G3883">
        <v>498</v>
      </c>
      <c r="H3883" t="s">
        <v>57</v>
      </c>
    </row>
    <row r="3884" spans="1:8" x14ac:dyDescent="0.3">
      <c r="A3884">
        <v>330</v>
      </c>
      <c r="B3884" s="5">
        <v>43889</v>
      </c>
      <c r="C3884" t="s">
        <v>11</v>
      </c>
      <c r="D3884">
        <v>140</v>
      </c>
      <c r="E3884">
        <v>1099</v>
      </c>
      <c r="F3884" s="5">
        <v>43862</v>
      </c>
      <c r="G3884">
        <v>-140</v>
      </c>
      <c r="H3884" t="s">
        <v>57</v>
      </c>
    </row>
    <row r="3885" spans="1:8" x14ac:dyDescent="0.3">
      <c r="A3885">
        <v>330</v>
      </c>
      <c r="B3885" s="5">
        <v>43891</v>
      </c>
      <c r="C3885" t="s">
        <v>11</v>
      </c>
      <c r="D3885">
        <v>640</v>
      </c>
      <c r="E3885">
        <v>459</v>
      </c>
      <c r="F3885" s="5">
        <v>43891</v>
      </c>
      <c r="G3885">
        <v>-640</v>
      </c>
      <c r="H3885" t="s">
        <v>57</v>
      </c>
    </row>
    <row r="3886" spans="1:8" x14ac:dyDescent="0.3">
      <c r="A3886">
        <v>330</v>
      </c>
      <c r="B3886" s="5">
        <v>43895</v>
      </c>
      <c r="C3886" t="s">
        <v>10</v>
      </c>
      <c r="D3886">
        <v>871</v>
      </c>
      <c r="E3886">
        <v>1330</v>
      </c>
      <c r="F3886" s="5">
        <v>43891</v>
      </c>
      <c r="G3886">
        <v>871</v>
      </c>
      <c r="H3886" t="s">
        <v>57</v>
      </c>
    </row>
    <row r="3887" spans="1:8" x14ac:dyDescent="0.3">
      <c r="A3887">
        <v>330</v>
      </c>
      <c r="B3887" s="5">
        <v>43898</v>
      </c>
      <c r="C3887" t="s">
        <v>10</v>
      </c>
      <c r="D3887">
        <v>356</v>
      </c>
      <c r="E3887">
        <v>1686</v>
      </c>
      <c r="F3887" s="5">
        <v>43891</v>
      </c>
      <c r="G3887">
        <v>356</v>
      </c>
      <c r="H3887" t="s">
        <v>57</v>
      </c>
    </row>
    <row r="3888" spans="1:8" x14ac:dyDescent="0.3">
      <c r="A3888">
        <v>330</v>
      </c>
      <c r="B3888" s="5">
        <v>43901</v>
      </c>
      <c r="C3888" t="s">
        <v>11</v>
      </c>
      <c r="D3888">
        <v>43</v>
      </c>
      <c r="E3888">
        <v>1643</v>
      </c>
      <c r="F3888" s="5">
        <v>43891</v>
      </c>
      <c r="G3888">
        <v>-43</v>
      </c>
      <c r="H3888" t="s">
        <v>57</v>
      </c>
    </row>
    <row r="3889" spans="1:8" x14ac:dyDescent="0.3">
      <c r="A3889">
        <v>330</v>
      </c>
      <c r="B3889" s="5">
        <v>43903</v>
      </c>
      <c r="C3889" t="s">
        <v>10</v>
      </c>
      <c r="D3889">
        <v>40</v>
      </c>
      <c r="E3889">
        <v>1683</v>
      </c>
      <c r="F3889" s="5">
        <v>43891</v>
      </c>
      <c r="G3889">
        <v>40</v>
      </c>
      <c r="H3889" t="s">
        <v>57</v>
      </c>
    </row>
    <row r="3890" spans="1:8" x14ac:dyDescent="0.3">
      <c r="A3890">
        <v>330</v>
      </c>
      <c r="B3890" s="5">
        <v>43914</v>
      </c>
      <c r="C3890" t="s">
        <v>11</v>
      </c>
      <c r="D3890">
        <v>784</v>
      </c>
      <c r="E3890">
        <v>899</v>
      </c>
      <c r="F3890" s="5">
        <v>43891</v>
      </c>
      <c r="G3890">
        <v>-784</v>
      </c>
      <c r="H3890" t="s">
        <v>57</v>
      </c>
    </row>
    <row r="3891" spans="1:8" x14ac:dyDescent="0.3">
      <c r="A3891">
        <v>330</v>
      </c>
      <c r="B3891" s="5">
        <v>43915</v>
      </c>
      <c r="C3891" t="s">
        <v>11</v>
      </c>
      <c r="D3891">
        <v>943</v>
      </c>
      <c r="E3891">
        <v>-44</v>
      </c>
      <c r="F3891" s="5">
        <v>43891</v>
      </c>
      <c r="G3891">
        <v>-943</v>
      </c>
      <c r="H3891" t="s">
        <v>58</v>
      </c>
    </row>
    <row r="3892" spans="1:8" x14ac:dyDescent="0.3">
      <c r="A3892">
        <v>330</v>
      </c>
      <c r="B3892" s="5">
        <v>43921</v>
      </c>
      <c r="C3892" t="s">
        <v>12</v>
      </c>
      <c r="D3892">
        <v>622</v>
      </c>
      <c r="E3892">
        <v>-666</v>
      </c>
      <c r="F3892" s="5">
        <v>43891</v>
      </c>
      <c r="G3892">
        <v>-622</v>
      </c>
      <c r="H3892" t="s">
        <v>58</v>
      </c>
    </row>
    <row r="3893" spans="1:8" x14ac:dyDescent="0.3">
      <c r="A3893">
        <v>330</v>
      </c>
      <c r="B3893" s="5">
        <v>43925</v>
      </c>
      <c r="C3893" t="s">
        <v>11</v>
      </c>
      <c r="D3893">
        <v>808</v>
      </c>
      <c r="E3893">
        <v>-1474</v>
      </c>
      <c r="F3893" s="5">
        <v>43922</v>
      </c>
      <c r="G3893">
        <v>-808</v>
      </c>
      <c r="H3893" t="s">
        <v>58</v>
      </c>
    </row>
    <row r="3894" spans="1:8" x14ac:dyDescent="0.3">
      <c r="A3894">
        <v>331</v>
      </c>
      <c r="B3894" s="5">
        <v>43847</v>
      </c>
      <c r="C3894" t="s">
        <v>10</v>
      </c>
      <c r="D3894">
        <v>951</v>
      </c>
      <c r="E3894">
        <v>951</v>
      </c>
      <c r="F3894" s="5">
        <v>43831</v>
      </c>
      <c r="G3894">
        <v>951</v>
      </c>
      <c r="H3894" t="s">
        <v>57</v>
      </c>
    </row>
    <row r="3895" spans="1:8" x14ac:dyDescent="0.3">
      <c r="A3895">
        <v>331</v>
      </c>
      <c r="B3895" s="5">
        <v>43849</v>
      </c>
      <c r="C3895" t="s">
        <v>12</v>
      </c>
      <c r="D3895">
        <v>385</v>
      </c>
      <c r="E3895">
        <v>566</v>
      </c>
      <c r="F3895" s="5">
        <v>43831</v>
      </c>
      <c r="G3895">
        <v>-385</v>
      </c>
      <c r="H3895" t="s">
        <v>57</v>
      </c>
    </row>
    <row r="3896" spans="1:8" x14ac:dyDescent="0.3">
      <c r="A3896">
        <v>331</v>
      </c>
      <c r="B3896" s="5">
        <v>43854</v>
      </c>
      <c r="C3896" t="s">
        <v>10</v>
      </c>
      <c r="D3896">
        <v>443</v>
      </c>
      <c r="E3896">
        <v>1009</v>
      </c>
      <c r="F3896" s="5">
        <v>43831</v>
      </c>
      <c r="G3896">
        <v>443</v>
      </c>
      <c r="H3896" t="s">
        <v>57</v>
      </c>
    </row>
    <row r="3897" spans="1:8" x14ac:dyDescent="0.3">
      <c r="A3897">
        <v>331</v>
      </c>
      <c r="B3897" s="5">
        <v>43857</v>
      </c>
      <c r="C3897" t="s">
        <v>11</v>
      </c>
      <c r="D3897">
        <v>427</v>
      </c>
      <c r="E3897">
        <v>582</v>
      </c>
      <c r="F3897" s="5">
        <v>43831</v>
      </c>
      <c r="G3897">
        <v>-427</v>
      </c>
      <c r="H3897" t="s">
        <v>57</v>
      </c>
    </row>
    <row r="3898" spans="1:8" x14ac:dyDescent="0.3">
      <c r="A3898">
        <v>331</v>
      </c>
      <c r="B3898" s="5">
        <v>43859</v>
      </c>
      <c r="C3898" t="s">
        <v>12</v>
      </c>
      <c r="D3898">
        <v>636</v>
      </c>
      <c r="E3898">
        <v>-54</v>
      </c>
      <c r="F3898" s="5">
        <v>43831</v>
      </c>
      <c r="G3898">
        <v>-636</v>
      </c>
      <c r="H3898" t="s">
        <v>58</v>
      </c>
    </row>
    <row r="3899" spans="1:8" x14ac:dyDescent="0.3">
      <c r="A3899">
        <v>331</v>
      </c>
      <c r="B3899" s="5">
        <v>43867</v>
      </c>
      <c r="C3899" t="s">
        <v>10</v>
      </c>
      <c r="D3899">
        <v>321</v>
      </c>
      <c r="E3899">
        <v>267</v>
      </c>
      <c r="F3899" s="5">
        <v>43862</v>
      </c>
      <c r="G3899">
        <v>321</v>
      </c>
      <c r="H3899" t="s">
        <v>57</v>
      </c>
    </row>
    <row r="3900" spans="1:8" x14ac:dyDescent="0.3">
      <c r="A3900">
        <v>331</v>
      </c>
      <c r="B3900" s="5">
        <v>43872</v>
      </c>
      <c r="C3900" t="s">
        <v>12</v>
      </c>
      <c r="D3900">
        <v>561</v>
      </c>
      <c r="E3900">
        <v>-294</v>
      </c>
      <c r="F3900" s="5">
        <v>43862</v>
      </c>
      <c r="G3900">
        <v>-561</v>
      </c>
      <c r="H3900" t="s">
        <v>58</v>
      </c>
    </row>
    <row r="3901" spans="1:8" x14ac:dyDescent="0.3">
      <c r="A3901">
        <v>331</v>
      </c>
      <c r="B3901" s="5">
        <v>43873</v>
      </c>
      <c r="C3901" t="s">
        <v>11</v>
      </c>
      <c r="D3901">
        <v>232</v>
      </c>
      <c r="E3901">
        <v>-526</v>
      </c>
      <c r="F3901" s="5">
        <v>43862</v>
      </c>
      <c r="G3901">
        <v>-232</v>
      </c>
      <c r="H3901" t="s">
        <v>58</v>
      </c>
    </row>
    <row r="3902" spans="1:8" x14ac:dyDescent="0.3">
      <c r="A3902">
        <v>331</v>
      </c>
      <c r="B3902" s="5">
        <v>43876</v>
      </c>
      <c r="C3902" t="s">
        <v>12</v>
      </c>
      <c r="D3902">
        <v>15</v>
      </c>
      <c r="E3902">
        <v>-541</v>
      </c>
      <c r="F3902" s="5">
        <v>43862</v>
      </c>
      <c r="G3902">
        <v>-15</v>
      </c>
      <c r="H3902" t="s">
        <v>58</v>
      </c>
    </row>
    <row r="3903" spans="1:8" x14ac:dyDescent="0.3">
      <c r="A3903">
        <v>331</v>
      </c>
      <c r="B3903" s="5">
        <v>43879</v>
      </c>
      <c r="C3903" t="s">
        <v>12</v>
      </c>
      <c r="D3903">
        <v>588</v>
      </c>
      <c r="E3903">
        <v>-1129</v>
      </c>
      <c r="F3903" s="5">
        <v>43862</v>
      </c>
      <c r="G3903">
        <v>-588</v>
      </c>
      <c r="H3903" t="s">
        <v>58</v>
      </c>
    </row>
    <row r="3904" spans="1:8" x14ac:dyDescent="0.3">
      <c r="A3904">
        <v>331</v>
      </c>
      <c r="B3904" s="5">
        <v>43880</v>
      </c>
      <c r="C3904" t="s">
        <v>10</v>
      </c>
      <c r="D3904">
        <v>956</v>
      </c>
      <c r="E3904">
        <v>-173</v>
      </c>
      <c r="F3904" s="5">
        <v>43862</v>
      </c>
      <c r="G3904">
        <v>956</v>
      </c>
      <c r="H3904" t="s">
        <v>58</v>
      </c>
    </row>
    <row r="3905" spans="1:8" x14ac:dyDescent="0.3">
      <c r="A3905">
        <v>331</v>
      </c>
      <c r="B3905" s="5">
        <v>43892</v>
      </c>
      <c r="C3905" t="s">
        <v>12</v>
      </c>
      <c r="D3905">
        <v>17</v>
      </c>
      <c r="E3905">
        <v>-190</v>
      </c>
      <c r="F3905" s="5">
        <v>43891</v>
      </c>
      <c r="G3905">
        <v>-17</v>
      </c>
      <c r="H3905" t="s">
        <v>58</v>
      </c>
    </row>
    <row r="3906" spans="1:8" x14ac:dyDescent="0.3">
      <c r="A3906">
        <v>331</v>
      </c>
      <c r="B3906" s="5">
        <v>43897</v>
      </c>
      <c r="C3906" t="s">
        <v>10</v>
      </c>
      <c r="D3906">
        <v>488</v>
      </c>
      <c r="E3906">
        <v>298</v>
      </c>
      <c r="F3906" s="5">
        <v>43891</v>
      </c>
      <c r="G3906">
        <v>488</v>
      </c>
      <c r="H3906" t="s">
        <v>57</v>
      </c>
    </row>
    <row r="3907" spans="1:8" x14ac:dyDescent="0.3">
      <c r="A3907">
        <v>331</v>
      </c>
      <c r="B3907" s="5">
        <v>43899</v>
      </c>
      <c r="C3907" t="s">
        <v>11</v>
      </c>
      <c r="D3907">
        <v>895</v>
      </c>
      <c r="E3907">
        <v>-597</v>
      </c>
      <c r="F3907" s="5">
        <v>43891</v>
      </c>
      <c r="G3907">
        <v>-895</v>
      </c>
      <c r="H3907" t="s">
        <v>58</v>
      </c>
    </row>
    <row r="3908" spans="1:8" x14ac:dyDescent="0.3">
      <c r="A3908">
        <v>331</v>
      </c>
      <c r="B3908" s="5">
        <v>43914</v>
      </c>
      <c r="C3908" t="s">
        <v>11</v>
      </c>
      <c r="D3908">
        <v>330</v>
      </c>
      <c r="E3908">
        <v>-927</v>
      </c>
      <c r="F3908" s="5">
        <v>43891</v>
      </c>
      <c r="G3908">
        <v>-330</v>
      </c>
      <c r="H3908" t="s">
        <v>58</v>
      </c>
    </row>
    <row r="3909" spans="1:8" x14ac:dyDescent="0.3">
      <c r="A3909">
        <v>331</v>
      </c>
      <c r="B3909" s="5">
        <v>43919</v>
      </c>
      <c r="C3909" t="s">
        <v>12</v>
      </c>
      <c r="D3909">
        <v>22</v>
      </c>
      <c r="E3909">
        <v>-949</v>
      </c>
      <c r="F3909" s="5">
        <v>43891</v>
      </c>
      <c r="G3909">
        <v>-22</v>
      </c>
      <c r="H3909" t="s">
        <v>58</v>
      </c>
    </row>
    <row r="3910" spans="1:8" x14ac:dyDescent="0.3">
      <c r="A3910">
        <v>332</v>
      </c>
      <c r="B3910" s="5">
        <v>43857</v>
      </c>
      <c r="C3910" t="s">
        <v>10</v>
      </c>
      <c r="D3910">
        <v>594</v>
      </c>
      <c r="E3910">
        <v>594</v>
      </c>
      <c r="F3910" s="5">
        <v>43831</v>
      </c>
      <c r="G3910">
        <v>594</v>
      </c>
      <c r="H3910" t="s">
        <v>57</v>
      </c>
    </row>
    <row r="3911" spans="1:8" x14ac:dyDescent="0.3">
      <c r="A3911">
        <v>332</v>
      </c>
      <c r="B3911" s="5">
        <v>43859</v>
      </c>
      <c r="C3911" t="s">
        <v>12</v>
      </c>
      <c r="D3911">
        <v>392</v>
      </c>
      <c r="E3911">
        <v>202</v>
      </c>
      <c r="F3911" s="5">
        <v>43831</v>
      </c>
      <c r="G3911">
        <v>-392</v>
      </c>
      <c r="H3911" t="s">
        <v>57</v>
      </c>
    </row>
    <row r="3912" spans="1:8" x14ac:dyDescent="0.3">
      <c r="A3912">
        <v>332</v>
      </c>
      <c r="B3912" s="5">
        <v>43871</v>
      </c>
      <c r="C3912" t="s">
        <v>11</v>
      </c>
      <c r="D3912">
        <v>165</v>
      </c>
      <c r="E3912">
        <v>37</v>
      </c>
      <c r="F3912" s="5">
        <v>43862</v>
      </c>
      <c r="G3912">
        <v>-165</v>
      </c>
      <c r="H3912" t="s">
        <v>57</v>
      </c>
    </row>
    <row r="3913" spans="1:8" x14ac:dyDescent="0.3">
      <c r="A3913">
        <v>332</v>
      </c>
      <c r="B3913" s="5">
        <v>43876</v>
      </c>
      <c r="C3913" t="s">
        <v>11</v>
      </c>
      <c r="D3913">
        <v>467</v>
      </c>
      <c r="E3913">
        <v>-430</v>
      </c>
      <c r="F3913" s="5">
        <v>43862</v>
      </c>
      <c r="G3913">
        <v>-467</v>
      </c>
      <c r="H3913" t="s">
        <v>58</v>
      </c>
    </row>
    <row r="3914" spans="1:8" x14ac:dyDescent="0.3">
      <c r="A3914">
        <v>332</v>
      </c>
      <c r="B3914" s="5">
        <v>43880</v>
      </c>
      <c r="C3914" t="s">
        <v>11</v>
      </c>
      <c r="D3914">
        <v>172</v>
      </c>
      <c r="E3914">
        <v>-602</v>
      </c>
      <c r="F3914" s="5">
        <v>43862</v>
      </c>
      <c r="G3914">
        <v>-172</v>
      </c>
      <c r="H3914" t="s">
        <v>58</v>
      </c>
    </row>
    <row r="3915" spans="1:8" x14ac:dyDescent="0.3">
      <c r="A3915">
        <v>332</v>
      </c>
      <c r="B3915" s="5">
        <v>43880</v>
      </c>
      <c r="C3915" t="s">
        <v>10</v>
      </c>
      <c r="D3915">
        <v>745</v>
      </c>
      <c r="E3915">
        <v>143</v>
      </c>
      <c r="F3915" s="5">
        <v>43862</v>
      </c>
      <c r="G3915">
        <v>745</v>
      </c>
      <c r="H3915" t="s">
        <v>57</v>
      </c>
    </row>
    <row r="3916" spans="1:8" x14ac:dyDescent="0.3">
      <c r="A3916">
        <v>332</v>
      </c>
      <c r="B3916" s="5">
        <v>43882</v>
      </c>
      <c r="C3916" t="s">
        <v>11</v>
      </c>
      <c r="D3916">
        <v>715</v>
      </c>
      <c r="E3916">
        <v>-572</v>
      </c>
      <c r="F3916" s="5">
        <v>43862</v>
      </c>
      <c r="G3916">
        <v>-715</v>
      </c>
      <c r="H3916" t="s">
        <v>58</v>
      </c>
    </row>
    <row r="3917" spans="1:8" x14ac:dyDescent="0.3">
      <c r="A3917">
        <v>332</v>
      </c>
      <c r="B3917" s="5">
        <v>43882</v>
      </c>
      <c r="C3917" t="s">
        <v>11</v>
      </c>
      <c r="D3917">
        <v>316</v>
      </c>
      <c r="E3917">
        <v>-888</v>
      </c>
      <c r="F3917" s="5">
        <v>43862</v>
      </c>
      <c r="G3917">
        <v>-316</v>
      </c>
      <c r="H3917" t="s">
        <v>58</v>
      </c>
    </row>
    <row r="3918" spans="1:8" x14ac:dyDescent="0.3">
      <c r="A3918">
        <v>332</v>
      </c>
      <c r="B3918" s="5">
        <v>43884</v>
      </c>
      <c r="C3918" t="s">
        <v>10</v>
      </c>
      <c r="D3918">
        <v>726</v>
      </c>
      <c r="E3918">
        <v>-162</v>
      </c>
      <c r="F3918" s="5">
        <v>43862</v>
      </c>
      <c r="G3918">
        <v>726</v>
      </c>
      <c r="H3918" t="s">
        <v>58</v>
      </c>
    </row>
    <row r="3919" spans="1:8" x14ac:dyDescent="0.3">
      <c r="A3919">
        <v>332</v>
      </c>
      <c r="B3919" s="5">
        <v>43886</v>
      </c>
      <c r="C3919" t="s">
        <v>10</v>
      </c>
      <c r="D3919">
        <v>721</v>
      </c>
      <c r="E3919">
        <v>559</v>
      </c>
      <c r="F3919" s="5">
        <v>43862</v>
      </c>
      <c r="G3919">
        <v>721</v>
      </c>
      <c r="H3919" t="s">
        <v>57</v>
      </c>
    </row>
    <row r="3920" spans="1:8" x14ac:dyDescent="0.3">
      <c r="A3920">
        <v>332</v>
      </c>
      <c r="B3920" s="5">
        <v>43902</v>
      </c>
      <c r="C3920" t="s">
        <v>10</v>
      </c>
      <c r="D3920">
        <v>909</v>
      </c>
      <c r="E3920">
        <v>1468</v>
      </c>
      <c r="F3920" s="5">
        <v>43891</v>
      </c>
      <c r="G3920">
        <v>909</v>
      </c>
      <c r="H3920" t="s">
        <v>57</v>
      </c>
    </row>
    <row r="3921" spans="1:8" x14ac:dyDescent="0.3">
      <c r="A3921">
        <v>332</v>
      </c>
      <c r="B3921" s="5">
        <v>43905</v>
      </c>
      <c r="C3921" t="s">
        <v>12</v>
      </c>
      <c r="D3921">
        <v>132</v>
      </c>
      <c r="E3921">
        <v>1336</v>
      </c>
      <c r="F3921" s="5">
        <v>43891</v>
      </c>
      <c r="G3921">
        <v>-132</v>
      </c>
      <c r="H3921" t="s">
        <v>57</v>
      </c>
    </row>
    <row r="3922" spans="1:8" x14ac:dyDescent="0.3">
      <c r="A3922">
        <v>332</v>
      </c>
      <c r="B3922" s="5">
        <v>43914</v>
      </c>
      <c r="C3922" t="s">
        <v>12</v>
      </c>
      <c r="D3922">
        <v>842</v>
      </c>
      <c r="E3922">
        <v>494</v>
      </c>
      <c r="F3922" s="5">
        <v>43891</v>
      </c>
      <c r="G3922">
        <v>-842</v>
      </c>
      <c r="H3922" t="s">
        <v>57</v>
      </c>
    </row>
    <row r="3923" spans="1:8" x14ac:dyDescent="0.3">
      <c r="A3923">
        <v>332</v>
      </c>
      <c r="B3923" s="5">
        <v>43926</v>
      </c>
      <c r="C3923" t="s">
        <v>11</v>
      </c>
      <c r="D3923">
        <v>221</v>
      </c>
      <c r="E3923">
        <v>273</v>
      </c>
      <c r="F3923" s="5">
        <v>43922</v>
      </c>
      <c r="G3923">
        <v>-221</v>
      </c>
      <c r="H3923" t="s">
        <v>57</v>
      </c>
    </row>
    <row r="3924" spans="1:8" x14ac:dyDescent="0.3">
      <c r="A3924">
        <v>332</v>
      </c>
      <c r="B3924" s="5">
        <v>43930</v>
      </c>
      <c r="C3924" t="s">
        <v>12</v>
      </c>
      <c r="D3924">
        <v>360</v>
      </c>
      <c r="E3924">
        <v>-87</v>
      </c>
      <c r="F3924" s="5">
        <v>43922</v>
      </c>
      <c r="G3924">
        <v>-360</v>
      </c>
      <c r="H3924" t="s">
        <v>58</v>
      </c>
    </row>
    <row r="3925" spans="1:8" x14ac:dyDescent="0.3">
      <c r="A3925">
        <v>332</v>
      </c>
      <c r="B3925" s="5">
        <v>43940</v>
      </c>
      <c r="C3925" t="s">
        <v>10</v>
      </c>
      <c r="D3925">
        <v>841</v>
      </c>
      <c r="E3925">
        <v>754</v>
      </c>
      <c r="F3925" s="5">
        <v>43922</v>
      </c>
      <c r="G3925">
        <v>841</v>
      </c>
      <c r="H3925" t="s">
        <v>57</v>
      </c>
    </row>
    <row r="3926" spans="1:8" x14ac:dyDescent="0.3">
      <c r="A3926">
        <v>332</v>
      </c>
      <c r="B3926" s="5">
        <v>43940</v>
      </c>
      <c r="C3926" t="s">
        <v>11</v>
      </c>
      <c r="D3926">
        <v>38</v>
      </c>
      <c r="E3926">
        <v>716</v>
      </c>
      <c r="F3926" s="5">
        <v>43922</v>
      </c>
      <c r="G3926">
        <v>-38</v>
      </c>
      <c r="H3926" t="s">
        <v>57</v>
      </c>
    </row>
    <row r="3927" spans="1:8" x14ac:dyDescent="0.3">
      <c r="A3927">
        <v>332</v>
      </c>
      <c r="B3927" s="5">
        <v>43941</v>
      </c>
      <c r="C3927" t="s">
        <v>10</v>
      </c>
      <c r="D3927">
        <v>14</v>
      </c>
      <c r="E3927">
        <v>730</v>
      </c>
      <c r="F3927" s="5">
        <v>43922</v>
      </c>
      <c r="G3927">
        <v>14</v>
      </c>
      <c r="H3927" t="s">
        <v>57</v>
      </c>
    </row>
    <row r="3928" spans="1:8" x14ac:dyDescent="0.3">
      <c r="A3928">
        <v>332</v>
      </c>
      <c r="B3928" s="5">
        <v>43943</v>
      </c>
      <c r="C3928" t="s">
        <v>12</v>
      </c>
      <c r="D3928">
        <v>60</v>
      </c>
      <c r="E3928">
        <v>670</v>
      </c>
      <c r="F3928" s="5">
        <v>43922</v>
      </c>
      <c r="G3928">
        <v>-60</v>
      </c>
      <c r="H3928" t="s">
        <v>57</v>
      </c>
    </row>
    <row r="3929" spans="1:8" x14ac:dyDescent="0.3">
      <c r="A3929">
        <v>333</v>
      </c>
      <c r="B3929" s="5">
        <v>43838</v>
      </c>
      <c r="C3929" t="s">
        <v>11</v>
      </c>
      <c r="D3929">
        <v>481</v>
      </c>
      <c r="E3929">
        <v>-481</v>
      </c>
      <c r="F3929" s="5">
        <v>43831</v>
      </c>
      <c r="G3929">
        <v>-481</v>
      </c>
      <c r="H3929" t="s">
        <v>58</v>
      </c>
    </row>
    <row r="3930" spans="1:8" x14ac:dyDescent="0.3">
      <c r="A3930">
        <v>333</v>
      </c>
      <c r="B3930" s="5">
        <v>43838</v>
      </c>
      <c r="C3930" t="s">
        <v>10</v>
      </c>
      <c r="D3930">
        <v>537</v>
      </c>
      <c r="E3930">
        <v>56</v>
      </c>
      <c r="F3930" s="5">
        <v>43831</v>
      </c>
      <c r="G3930">
        <v>537</v>
      </c>
      <c r="H3930" t="s">
        <v>57</v>
      </c>
    </row>
    <row r="3931" spans="1:8" x14ac:dyDescent="0.3">
      <c r="A3931">
        <v>333</v>
      </c>
      <c r="B3931" s="5">
        <v>43843</v>
      </c>
      <c r="C3931" t="s">
        <v>11</v>
      </c>
      <c r="D3931">
        <v>140</v>
      </c>
      <c r="E3931">
        <v>-84</v>
      </c>
      <c r="F3931" s="5">
        <v>43831</v>
      </c>
      <c r="G3931">
        <v>-140</v>
      </c>
      <c r="H3931" t="s">
        <v>58</v>
      </c>
    </row>
    <row r="3932" spans="1:8" x14ac:dyDescent="0.3">
      <c r="A3932">
        <v>333</v>
      </c>
      <c r="B3932" s="5">
        <v>43846</v>
      </c>
      <c r="C3932" t="s">
        <v>10</v>
      </c>
      <c r="D3932">
        <v>830</v>
      </c>
      <c r="E3932">
        <v>746</v>
      </c>
      <c r="F3932" s="5">
        <v>43831</v>
      </c>
      <c r="G3932">
        <v>830</v>
      </c>
      <c r="H3932" t="s">
        <v>57</v>
      </c>
    </row>
    <row r="3933" spans="1:8" x14ac:dyDescent="0.3">
      <c r="A3933">
        <v>333</v>
      </c>
      <c r="B3933" s="5">
        <v>43858</v>
      </c>
      <c r="C3933" t="s">
        <v>11</v>
      </c>
      <c r="D3933">
        <v>975</v>
      </c>
      <c r="E3933">
        <v>-229</v>
      </c>
      <c r="F3933" s="5">
        <v>43831</v>
      </c>
      <c r="G3933">
        <v>-975</v>
      </c>
      <c r="H3933" t="s">
        <v>58</v>
      </c>
    </row>
    <row r="3934" spans="1:8" x14ac:dyDescent="0.3">
      <c r="A3934">
        <v>333</v>
      </c>
      <c r="B3934" s="5">
        <v>43877</v>
      </c>
      <c r="C3934" t="s">
        <v>10</v>
      </c>
      <c r="D3934">
        <v>501</v>
      </c>
      <c r="E3934">
        <v>272</v>
      </c>
      <c r="F3934" s="5">
        <v>43862</v>
      </c>
      <c r="G3934">
        <v>501</v>
      </c>
      <c r="H3934" t="s">
        <v>57</v>
      </c>
    </row>
    <row r="3935" spans="1:8" x14ac:dyDescent="0.3">
      <c r="A3935">
        <v>333</v>
      </c>
      <c r="B3935" s="5">
        <v>43878</v>
      </c>
      <c r="C3935" t="s">
        <v>10</v>
      </c>
      <c r="D3935">
        <v>295</v>
      </c>
      <c r="E3935">
        <v>567</v>
      </c>
      <c r="F3935" s="5">
        <v>43862</v>
      </c>
      <c r="G3935">
        <v>295</v>
      </c>
      <c r="H3935" t="s">
        <v>57</v>
      </c>
    </row>
    <row r="3936" spans="1:8" x14ac:dyDescent="0.3">
      <c r="A3936">
        <v>333</v>
      </c>
      <c r="B3936" s="5">
        <v>43882</v>
      </c>
      <c r="C3936" t="s">
        <v>12</v>
      </c>
      <c r="D3936">
        <v>499</v>
      </c>
      <c r="E3936">
        <v>68</v>
      </c>
      <c r="F3936" s="5">
        <v>43862</v>
      </c>
      <c r="G3936">
        <v>-499</v>
      </c>
      <c r="H3936" t="s">
        <v>57</v>
      </c>
    </row>
    <row r="3937" spans="1:8" x14ac:dyDescent="0.3">
      <c r="A3937">
        <v>333</v>
      </c>
      <c r="B3937" s="5">
        <v>43886</v>
      </c>
      <c r="C3937" t="s">
        <v>11</v>
      </c>
      <c r="D3937">
        <v>195</v>
      </c>
      <c r="E3937">
        <v>-127</v>
      </c>
      <c r="F3937" s="5">
        <v>43862</v>
      </c>
      <c r="G3937">
        <v>-195</v>
      </c>
      <c r="H3937" t="s">
        <v>58</v>
      </c>
    </row>
    <row r="3938" spans="1:8" x14ac:dyDescent="0.3">
      <c r="A3938">
        <v>333</v>
      </c>
      <c r="B3938" s="5">
        <v>43902</v>
      </c>
      <c r="C3938" t="s">
        <v>10</v>
      </c>
      <c r="D3938">
        <v>968</v>
      </c>
      <c r="E3938">
        <v>841</v>
      </c>
      <c r="F3938" s="5">
        <v>43891</v>
      </c>
      <c r="G3938">
        <v>968</v>
      </c>
      <c r="H3938" t="s">
        <v>57</v>
      </c>
    </row>
    <row r="3939" spans="1:8" x14ac:dyDescent="0.3">
      <c r="A3939">
        <v>333</v>
      </c>
      <c r="B3939" s="5">
        <v>43914</v>
      </c>
      <c r="C3939" t="s">
        <v>10</v>
      </c>
      <c r="D3939">
        <v>587</v>
      </c>
      <c r="E3939">
        <v>1428</v>
      </c>
      <c r="F3939" s="5">
        <v>43891</v>
      </c>
      <c r="G3939">
        <v>587</v>
      </c>
      <c r="H3939" t="s">
        <v>57</v>
      </c>
    </row>
    <row r="3940" spans="1:8" x14ac:dyDescent="0.3">
      <c r="A3940">
        <v>333</v>
      </c>
      <c r="B3940" s="5">
        <v>43914</v>
      </c>
      <c r="C3940" t="s">
        <v>10</v>
      </c>
      <c r="D3940">
        <v>25</v>
      </c>
      <c r="E3940">
        <v>1453</v>
      </c>
      <c r="F3940" s="5">
        <v>43891</v>
      </c>
      <c r="G3940">
        <v>25</v>
      </c>
      <c r="H3940" t="s">
        <v>57</v>
      </c>
    </row>
    <row r="3941" spans="1:8" x14ac:dyDescent="0.3">
      <c r="A3941">
        <v>333</v>
      </c>
      <c r="B3941" s="5">
        <v>43915</v>
      </c>
      <c r="C3941" t="s">
        <v>11</v>
      </c>
      <c r="D3941">
        <v>886</v>
      </c>
      <c r="E3941">
        <v>567</v>
      </c>
      <c r="F3941" s="5">
        <v>43891</v>
      </c>
      <c r="G3941">
        <v>-886</v>
      </c>
      <c r="H3941" t="s">
        <v>57</v>
      </c>
    </row>
    <row r="3942" spans="1:8" x14ac:dyDescent="0.3">
      <c r="A3942">
        <v>333</v>
      </c>
      <c r="B3942" s="5">
        <v>43925</v>
      </c>
      <c r="C3942" t="s">
        <v>10</v>
      </c>
      <c r="D3942">
        <v>353</v>
      </c>
      <c r="E3942">
        <v>920</v>
      </c>
      <c r="F3942" s="5">
        <v>43922</v>
      </c>
      <c r="G3942">
        <v>353</v>
      </c>
      <c r="H3942" t="s">
        <v>57</v>
      </c>
    </row>
    <row r="3943" spans="1:8" x14ac:dyDescent="0.3">
      <c r="A3943">
        <v>334</v>
      </c>
      <c r="B3943" s="5">
        <v>43845</v>
      </c>
      <c r="C3943" t="s">
        <v>10</v>
      </c>
      <c r="D3943">
        <v>933</v>
      </c>
      <c r="E3943">
        <v>933</v>
      </c>
      <c r="F3943" s="5">
        <v>43831</v>
      </c>
      <c r="G3943">
        <v>933</v>
      </c>
      <c r="H3943" t="s">
        <v>57</v>
      </c>
    </row>
    <row r="3944" spans="1:8" x14ac:dyDescent="0.3">
      <c r="A3944">
        <v>334</v>
      </c>
      <c r="B3944" s="5">
        <v>43855</v>
      </c>
      <c r="C3944" t="s">
        <v>10</v>
      </c>
      <c r="D3944">
        <v>244</v>
      </c>
      <c r="E3944">
        <v>1177</v>
      </c>
      <c r="F3944" s="5">
        <v>43831</v>
      </c>
      <c r="G3944">
        <v>244</v>
      </c>
      <c r="H3944" t="s">
        <v>57</v>
      </c>
    </row>
    <row r="3945" spans="1:8" x14ac:dyDescent="0.3">
      <c r="A3945">
        <v>334</v>
      </c>
      <c r="B3945" s="5">
        <v>43868</v>
      </c>
      <c r="C3945" t="s">
        <v>10</v>
      </c>
      <c r="D3945">
        <v>706</v>
      </c>
      <c r="E3945">
        <v>1883</v>
      </c>
      <c r="F3945" s="5">
        <v>43862</v>
      </c>
      <c r="G3945">
        <v>706</v>
      </c>
      <c r="H3945" t="s">
        <v>57</v>
      </c>
    </row>
    <row r="3946" spans="1:8" x14ac:dyDescent="0.3">
      <c r="A3946">
        <v>334</v>
      </c>
      <c r="B3946" s="5">
        <v>43873</v>
      </c>
      <c r="C3946" t="s">
        <v>10</v>
      </c>
      <c r="D3946">
        <v>280</v>
      </c>
      <c r="E3946">
        <v>2163</v>
      </c>
      <c r="F3946" s="5">
        <v>43862</v>
      </c>
      <c r="G3946">
        <v>280</v>
      </c>
      <c r="H3946" t="s">
        <v>57</v>
      </c>
    </row>
    <row r="3947" spans="1:8" x14ac:dyDescent="0.3">
      <c r="A3947">
        <v>334</v>
      </c>
      <c r="B3947" s="5">
        <v>43884</v>
      </c>
      <c r="C3947" t="s">
        <v>10</v>
      </c>
      <c r="D3947">
        <v>561</v>
      </c>
      <c r="E3947">
        <v>2724</v>
      </c>
      <c r="F3947" s="5">
        <v>43862</v>
      </c>
      <c r="G3947">
        <v>561</v>
      </c>
      <c r="H3947" t="s">
        <v>57</v>
      </c>
    </row>
    <row r="3948" spans="1:8" x14ac:dyDescent="0.3">
      <c r="A3948">
        <v>334</v>
      </c>
      <c r="B3948" s="5">
        <v>43893</v>
      </c>
      <c r="C3948" t="s">
        <v>10</v>
      </c>
      <c r="D3948">
        <v>248</v>
      </c>
      <c r="E3948">
        <v>2972</v>
      </c>
      <c r="F3948" s="5">
        <v>43891</v>
      </c>
      <c r="G3948">
        <v>248</v>
      </c>
      <c r="H3948" t="s">
        <v>57</v>
      </c>
    </row>
    <row r="3949" spans="1:8" x14ac:dyDescent="0.3">
      <c r="A3949">
        <v>334</v>
      </c>
      <c r="B3949" s="5">
        <v>43909</v>
      </c>
      <c r="C3949" t="s">
        <v>12</v>
      </c>
      <c r="D3949">
        <v>547</v>
      </c>
      <c r="E3949">
        <v>2425</v>
      </c>
      <c r="F3949" s="5">
        <v>43891</v>
      </c>
      <c r="G3949">
        <v>-547</v>
      </c>
      <c r="H3949" t="s">
        <v>57</v>
      </c>
    </row>
    <row r="3950" spans="1:8" x14ac:dyDescent="0.3">
      <c r="A3950">
        <v>334</v>
      </c>
      <c r="B3950" s="5">
        <v>43931</v>
      </c>
      <c r="C3950" t="s">
        <v>12</v>
      </c>
      <c r="D3950">
        <v>811</v>
      </c>
      <c r="E3950">
        <v>1614</v>
      </c>
      <c r="F3950" s="5">
        <v>43922</v>
      </c>
      <c r="G3950">
        <v>-811</v>
      </c>
      <c r="H3950" t="s">
        <v>57</v>
      </c>
    </row>
    <row r="3951" spans="1:8" x14ac:dyDescent="0.3">
      <c r="A3951">
        <v>335</v>
      </c>
      <c r="B3951" s="5">
        <v>43844</v>
      </c>
      <c r="C3951" t="s">
        <v>10</v>
      </c>
      <c r="D3951">
        <v>663</v>
      </c>
      <c r="E3951">
        <v>663</v>
      </c>
      <c r="F3951" s="5">
        <v>43831</v>
      </c>
      <c r="G3951">
        <v>663</v>
      </c>
      <c r="H3951" t="s">
        <v>57</v>
      </c>
    </row>
    <row r="3952" spans="1:8" x14ac:dyDescent="0.3">
      <c r="A3952">
        <v>335</v>
      </c>
      <c r="B3952" s="5">
        <v>43857</v>
      </c>
      <c r="C3952" t="s">
        <v>11</v>
      </c>
      <c r="D3952">
        <v>93</v>
      </c>
      <c r="E3952">
        <v>570</v>
      </c>
      <c r="F3952" s="5">
        <v>43831</v>
      </c>
      <c r="G3952">
        <v>-93</v>
      </c>
      <c r="H3952" t="s">
        <v>57</v>
      </c>
    </row>
    <row r="3953" spans="1:8" x14ac:dyDescent="0.3">
      <c r="A3953">
        <v>335</v>
      </c>
      <c r="B3953" s="5">
        <v>43868</v>
      </c>
      <c r="C3953" t="s">
        <v>10</v>
      </c>
      <c r="D3953">
        <v>217</v>
      </c>
      <c r="E3953">
        <v>787</v>
      </c>
      <c r="F3953" s="5">
        <v>43862</v>
      </c>
      <c r="G3953">
        <v>217</v>
      </c>
      <c r="H3953" t="s">
        <v>57</v>
      </c>
    </row>
    <row r="3954" spans="1:8" x14ac:dyDescent="0.3">
      <c r="A3954">
        <v>335</v>
      </c>
      <c r="B3954" s="5">
        <v>43868</v>
      </c>
      <c r="C3954" t="s">
        <v>11</v>
      </c>
      <c r="D3954">
        <v>78</v>
      </c>
      <c r="E3954">
        <v>709</v>
      </c>
      <c r="F3954" s="5">
        <v>43862</v>
      </c>
      <c r="G3954">
        <v>-78</v>
      </c>
      <c r="H3954" t="s">
        <v>57</v>
      </c>
    </row>
    <row r="3955" spans="1:8" x14ac:dyDescent="0.3">
      <c r="A3955">
        <v>335</v>
      </c>
      <c r="B3955" s="5">
        <v>43873</v>
      </c>
      <c r="C3955" t="s">
        <v>11</v>
      </c>
      <c r="D3955">
        <v>816</v>
      </c>
      <c r="E3955">
        <v>-107</v>
      </c>
      <c r="F3955" s="5">
        <v>43862</v>
      </c>
      <c r="G3955">
        <v>-816</v>
      </c>
      <c r="H3955" t="s">
        <v>58</v>
      </c>
    </row>
    <row r="3956" spans="1:8" x14ac:dyDescent="0.3">
      <c r="A3956">
        <v>335</v>
      </c>
      <c r="B3956" s="5">
        <v>43888</v>
      </c>
      <c r="C3956" t="s">
        <v>12</v>
      </c>
      <c r="D3956">
        <v>247</v>
      </c>
      <c r="E3956">
        <v>-354</v>
      </c>
      <c r="F3956" s="5">
        <v>43862</v>
      </c>
      <c r="G3956">
        <v>-247</v>
      </c>
      <c r="H3956" t="s">
        <v>58</v>
      </c>
    </row>
    <row r="3957" spans="1:8" x14ac:dyDescent="0.3">
      <c r="A3957">
        <v>335</v>
      </c>
      <c r="B3957" s="5">
        <v>43893</v>
      </c>
      <c r="C3957" t="s">
        <v>12</v>
      </c>
      <c r="D3957">
        <v>641</v>
      </c>
      <c r="E3957">
        <v>-995</v>
      </c>
      <c r="F3957" s="5">
        <v>43891</v>
      </c>
      <c r="G3957">
        <v>-641</v>
      </c>
      <c r="H3957" t="s">
        <v>58</v>
      </c>
    </row>
    <row r="3958" spans="1:8" x14ac:dyDescent="0.3">
      <c r="A3958">
        <v>335</v>
      </c>
      <c r="B3958" s="5">
        <v>43900</v>
      </c>
      <c r="C3958" t="s">
        <v>10</v>
      </c>
      <c r="D3958">
        <v>586</v>
      </c>
      <c r="E3958">
        <v>-409</v>
      </c>
      <c r="F3958" s="5">
        <v>43891</v>
      </c>
      <c r="G3958">
        <v>586</v>
      </c>
      <c r="H3958" t="s">
        <v>58</v>
      </c>
    </row>
    <row r="3959" spans="1:8" x14ac:dyDescent="0.3">
      <c r="A3959">
        <v>335</v>
      </c>
      <c r="B3959" s="5">
        <v>43914</v>
      </c>
      <c r="C3959" t="s">
        <v>10</v>
      </c>
      <c r="D3959">
        <v>227</v>
      </c>
      <c r="E3959">
        <v>-182</v>
      </c>
      <c r="F3959" s="5">
        <v>43891</v>
      </c>
      <c r="G3959">
        <v>227</v>
      </c>
      <c r="H3959" t="s">
        <v>58</v>
      </c>
    </row>
    <row r="3960" spans="1:8" x14ac:dyDescent="0.3">
      <c r="A3960">
        <v>335</v>
      </c>
      <c r="B3960" s="5">
        <v>43920</v>
      </c>
      <c r="C3960" t="s">
        <v>10</v>
      </c>
      <c r="D3960">
        <v>605</v>
      </c>
      <c r="E3960">
        <v>423</v>
      </c>
      <c r="F3960" s="5">
        <v>43891</v>
      </c>
      <c r="G3960">
        <v>605</v>
      </c>
      <c r="H3960" t="s">
        <v>57</v>
      </c>
    </row>
    <row r="3961" spans="1:8" x14ac:dyDescent="0.3">
      <c r="A3961">
        <v>336</v>
      </c>
      <c r="B3961" s="5">
        <v>43846</v>
      </c>
      <c r="C3961" t="s">
        <v>10</v>
      </c>
      <c r="D3961">
        <v>543</v>
      </c>
      <c r="E3961">
        <v>543</v>
      </c>
      <c r="F3961" s="5">
        <v>43831</v>
      </c>
      <c r="G3961">
        <v>543</v>
      </c>
      <c r="H3961" t="s">
        <v>57</v>
      </c>
    </row>
    <row r="3962" spans="1:8" x14ac:dyDescent="0.3">
      <c r="A3962">
        <v>336</v>
      </c>
      <c r="B3962" s="5">
        <v>43869</v>
      </c>
      <c r="C3962" t="s">
        <v>11</v>
      </c>
      <c r="D3962">
        <v>457</v>
      </c>
      <c r="E3962">
        <v>86</v>
      </c>
      <c r="F3962" s="5">
        <v>43862</v>
      </c>
      <c r="G3962">
        <v>-457</v>
      </c>
      <c r="H3962" t="s">
        <v>57</v>
      </c>
    </row>
    <row r="3963" spans="1:8" x14ac:dyDescent="0.3">
      <c r="A3963">
        <v>336</v>
      </c>
      <c r="B3963" s="5">
        <v>43876</v>
      </c>
      <c r="C3963" t="s">
        <v>12</v>
      </c>
      <c r="D3963">
        <v>681</v>
      </c>
      <c r="E3963">
        <v>-595</v>
      </c>
      <c r="F3963" s="5">
        <v>43862</v>
      </c>
      <c r="G3963">
        <v>-681</v>
      </c>
      <c r="H3963" t="s">
        <v>58</v>
      </c>
    </row>
    <row r="3964" spans="1:8" x14ac:dyDescent="0.3">
      <c r="A3964">
        <v>336</v>
      </c>
      <c r="B3964" s="5">
        <v>43892</v>
      </c>
      <c r="C3964" t="s">
        <v>10</v>
      </c>
      <c r="D3964">
        <v>730</v>
      </c>
      <c r="E3964">
        <v>135</v>
      </c>
      <c r="F3964" s="5">
        <v>43891</v>
      </c>
      <c r="G3964">
        <v>730</v>
      </c>
      <c r="H3964" t="s">
        <v>57</v>
      </c>
    </row>
    <row r="3965" spans="1:8" x14ac:dyDescent="0.3">
      <c r="A3965">
        <v>336</v>
      </c>
      <c r="B3965" s="5">
        <v>43927</v>
      </c>
      <c r="C3965" t="s">
        <v>10</v>
      </c>
      <c r="D3965">
        <v>464</v>
      </c>
      <c r="E3965">
        <v>599</v>
      </c>
      <c r="F3965" s="5">
        <v>43922</v>
      </c>
      <c r="G3965">
        <v>464</v>
      </c>
      <c r="H3965" t="s">
        <v>57</v>
      </c>
    </row>
    <row r="3966" spans="1:8" x14ac:dyDescent="0.3">
      <c r="A3966">
        <v>337</v>
      </c>
      <c r="B3966" s="5">
        <v>43842</v>
      </c>
      <c r="C3966" t="s">
        <v>10</v>
      </c>
      <c r="D3966">
        <v>581</v>
      </c>
      <c r="E3966">
        <v>581</v>
      </c>
      <c r="F3966" s="5">
        <v>43831</v>
      </c>
      <c r="G3966">
        <v>581</v>
      </c>
      <c r="H3966" t="s">
        <v>57</v>
      </c>
    </row>
    <row r="3967" spans="1:8" x14ac:dyDescent="0.3">
      <c r="A3967">
        <v>337</v>
      </c>
      <c r="B3967" s="5">
        <v>43861</v>
      </c>
      <c r="C3967" t="s">
        <v>12</v>
      </c>
      <c r="D3967">
        <v>845</v>
      </c>
      <c r="E3967">
        <v>-264</v>
      </c>
      <c r="F3967" s="5">
        <v>43831</v>
      </c>
      <c r="G3967">
        <v>-845</v>
      </c>
      <c r="H3967" t="s">
        <v>58</v>
      </c>
    </row>
    <row r="3968" spans="1:8" x14ac:dyDescent="0.3">
      <c r="A3968">
        <v>337</v>
      </c>
      <c r="B3968" s="5">
        <v>43871</v>
      </c>
      <c r="C3968" t="s">
        <v>10</v>
      </c>
      <c r="D3968">
        <v>658</v>
      </c>
      <c r="E3968">
        <v>394</v>
      </c>
      <c r="F3968" s="5">
        <v>43862</v>
      </c>
      <c r="G3968">
        <v>658</v>
      </c>
      <c r="H3968" t="s">
        <v>57</v>
      </c>
    </row>
    <row r="3969" spans="1:8" x14ac:dyDescent="0.3">
      <c r="A3969">
        <v>337</v>
      </c>
      <c r="B3969" s="5">
        <v>43882</v>
      </c>
      <c r="C3969" t="s">
        <v>12</v>
      </c>
      <c r="D3969">
        <v>224</v>
      </c>
      <c r="E3969">
        <v>170</v>
      </c>
      <c r="F3969" s="5">
        <v>43862</v>
      </c>
      <c r="G3969">
        <v>-224</v>
      </c>
      <c r="H3969" t="s">
        <v>57</v>
      </c>
    </row>
    <row r="3970" spans="1:8" x14ac:dyDescent="0.3">
      <c r="A3970">
        <v>337</v>
      </c>
      <c r="B3970" s="5">
        <v>43899</v>
      </c>
      <c r="C3970" t="s">
        <v>10</v>
      </c>
      <c r="D3970">
        <v>549</v>
      </c>
      <c r="E3970">
        <v>719</v>
      </c>
      <c r="F3970" s="5">
        <v>43891</v>
      </c>
      <c r="G3970">
        <v>549</v>
      </c>
      <c r="H3970" t="s">
        <v>57</v>
      </c>
    </row>
    <row r="3971" spans="1:8" x14ac:dyDescent="0.3">
      <c r="A3971">
        <v>337</v>
      </c>
      <c r="B3971" s="5">
        <v>43911</v>
      </c>
      <c r="C3971" t="s">
        <v>12</v>
      </c>
      <c r="D3971">
        <v>159</v>
      </c>
      <c r="E3971">
        <v>560</v>
      </c>
      <c r="F3971" s="5">
        <v>43891</v>
      </c>
      <c r="G3971">
        <v>-159</v>
      </c>
      <c r="H3971" t="s">
        <v>57</v>
      </c>
    </row>
    <row r="3972" spans="1:8" x14ac:dyDescent="0.3">
      <c r="A3972">
        <v>337</v>
      </c>
      <c r="B3972" s="5">
        <v>43915</v>
      </c>
      <c r="C3972" t="s">
        <v>10</v>
      </c>
      <c r="D3972">
        <v>890</v>
      </c>
      <c r="E3972">
        <v>1450</v>
      </c>
      <c r="F3972" s="5">
        <v>43891</v>
      </c>
      <c r="G3972">
        <v>890</v>
      </c>
      <c r="H3972" t="s">
        <v>57</v>
      </c>
    </row>
    <row r="3973" spans="1:8" x14ac:dyDescent="0.3">
      <c r="A3973">
        <v>337</v>
      </c>
      <c r="B3973" s="5">
        <v>43925</v>
      </c>
      <c r="C3973" t="s">
        <v>10</v>
      </c>
      <c r="D3973">
        <v>154</v>
      </c>
      <c r="E3973">
        <v>1604</v>
      </c>
      <c r="F3973" s="5">
        <v>43922</v>
      </c>
      <c r="G3973">
        <v>154</v>
      </c>
      <c r="H3973" t="s">
        <v>57</v>
      </c>
    </row>
    <row r="3974" spans="1:8" x14ac:dyDescent="0.3">
      <c r="A3974">
        <v>337</v>
      </c>
      <c r="B3974" s="5">
        <v>43927</v>
      </c>
      <c r="C3974" t="s">
        <v>10</v>
      </c>
      <c r="D3974">
        <v>7</v>
      </c>
      <c r="E3974">
        <v>1611</v>
      </c>
      <c r="F3974" s="5">
        <v>43922</v>
      </c>
      <c r="G3974">
        <v>7</v>
      </c>
      <c r="H3974" t="s">
        <v>57</v>
      </c>
    </row>
    <row r="3975" spans="1:8" x14ac:dyDescent="0.3">
      <c r="A3975">
        <v>337</v>
      </c>
      <c r="B3975" s="5">
        <v>43927</v>
      </c>
      <c r="C3975" t="s">
        <v>11</v>
      </c>
      <c r="D3975">
        <v>297</v>
      </c>
      <c r="E3975">
        <v>1314</v>
      </c>
      <c r="F3975" s="5">
        <v>43922</v>
      </c>
      <c r="G3975">
        <v>-297</v>
      </c>
      <c r="H3975" t="s">
        <v>57</v>
      </c>
    </row>
    <row r="3976" spans="1:8" x14ac:dyDescent="0.3">
      <c r="A3976">
        <v>338</v>
      </c>
      <c r="B3976" s="5">
        <v>43847</v>
      </c>
      <c r="C3976" t="s">
        <v>10</v>
      </c>
      <c r="D3976">
        <v>628</v>
      </c>
      <c r="E3976">
        <v>628</v>
      </c>
      <c r="F3976" s="5">
        <v>43831</v>
      </c>
      <c r="G3976">
        <v>628</v>
      </c>
      <c r="H3976" t="s">
        <v>57</v>
      </c>
    </row>
    <row r="3977" spans="1:8" x14ac:dyDescent="0.3">
      <c r="A3977">
        <v>338</v>
      </c>
      <c r="B3977" s="5">
        <v>43847</v>
      </c>
      <c r="C3977" t="s">
        <v>10</v>
      </c>
      <c r="D3977">
        <v>252</v>
      </c>
      <c r="E3977">
        <v>880</v>
      </c>
      <c r="F3977" s="5">
        <v>43831</v>
      </c>
      <c r="G3977">
        <v>252</v>
      </c>
      <c r="H3977" t="s">
        <v>57</v>
      </c>
    </row>
    <row r="3978" spans="1:8" x14ac:dyDescent="0.3">
      <c r="A3978">
        <v>338</v>
      </c>
      <c r="B3978" s="5">
        <v>43856</v>
      </c>
      <c r="C3978" t="s">
        <v>11</v>
      </c>
      <c r="D3978">
        <v>618</v>
      </c>
      <c r="E3978">
        <v>262</v>
      </c>
      <c r="F3978" s="5">
        <v>43831</v>
      </c>
      <c r="G3978">
        <v>-618</v>
      </c>
      <c r="H3978" t="s">
        <v>57</v>
      </c>
    </row>
    <row r="3979" spans="1:8" x14ac:dyDescent="0.3">
      <c r="A3979">
        <v>338</v>
      </c>
      <c r="B3979" s="5">
        <v>43865</v>
      </c>
      <c r="C3979" t="s">
        <v>11</v>
      </c>
      <c r="D3979">
        <v>681</v>
      </c>
      <c r="E3979">
        <v>-419</v>
      </c>
      <c r="F3979" s="5">
        <v>43862</v>
      </c>
      <c r="G3979">
        <v>-681</v>
      </c>
      <c r="H3979" t="s">
        <v>58</v>
      </c>
    </row>
    <row r="3980" spans="1:8" x14ac:dyDescent="0.3">
      <c r="A3980">
        <v>338</v>
      </c>
      <c r="B3980" s="5">
        <v>43869</v>
      </c>
      <c r="C3980" t="s">
        <v>10</v>
      </c>
      <c r="D3980">
        <v>859</v>
      </c>
      <c r="E3980">
        <v>440</v>
      </c>
      <c r="F3980" s="5">
        <v>43862</v>
      </c>
      <c r="G3980">
        <v>859</v>
      </c>
      <c r="H3980" t="s">
        <v>57</v>
      </c>
    </row>
    <row r="3981" spans="1:8" x14ac:dyDescent="0.3">
      <c r="A3981">
        <v>338</v>
      </c>
      <c r="B3981" s="5">
        <v>43880</v>
      </c>
      <c r="C3981" t="s">
        <v>10</v>
      </c>
      <c r="D3981">
        <v>529</v>
      </c>
      <c r="E3981">
        <v>969</v>
      </c>
      <c r="F3981" s="5">
        <v>43862</v>
      </c>
      <c r="G3981">
        <v>529</v>
      </c>
      <c r="H3981" t="s">
        <v>57</v>
      </c>
    </row>
    <row r="3982" spans="1:8" x14ac:dyDescent="0.3">
      <c r="A3982">
        <v>338</v>
      </c>
      <c r="B3982" s="5">
        <v>43886</v>
      </c>
      <c r="C3982" t="s">
        <v>12</v>
      </c>
      <c r="D3982">
        <v>436</v>
      </c>
      <c r="E3982">
        <v>533</v>
      </c>
      <c r="F3982" s="5">
        <v>43862</v>
      </c>
      <c r="G3982">
        <v>-436</v>
      </c>
      <c r="H3982" t="s">
        <v>57</v>
      </c>
    </row>
    <row r="3983" spans="1:8" x14ac:dyDescent="0.3">
      <c r="A3983">
        <v>338</v>
      </c>
      <c r="B3983" s="5">
        <v>43899</v>
      </c>
      <c r="C3983" t="s">
        <v>10</v>
      </c>
      <c r="D3983">
        <v>859</v>
      </c>
      <c r="E3983">
        <v>1392</v>
      </c>
      <c r="F3983" s="5">
        <v>43891</v>
      </c>
      <c r="G3983">
        <v>859</v>
      </c>
      <c r="H3983" t="s">
        <v>57</v>
      </c>
    </row>
    <row r="3984" spans="1:8" x14ac:dyDescent="0.3">
      <c r="A3984">
        <v>338</v>
      </c>
      <c r="B3984" s="5">
        <v>43902</v>
      </c>
      <c r="C3984" t="s">
        <v>10</v>
      </c>
      <c r="D3984">
        <v>793</v>
      </c>
      <c r="E3984">
        <v>2185</v>
      </c>
      <c r="F3984" s="5">
        <v>43891</v>
      </c>
      <c r="G3984">
        <v>793</v>
      </c>
      <c r="H3984" t="s">
        <v>57</v>
      </c>
    </row>
    <row r="3985" spans="1:8" x14ac:dyDescent="0.3">
      <c r="A3985">
        <v>338</v>
      </c>
      <c r="B3985" s="5">
        <v>43903</v>
      </c>
      <c r="C3985" t="s">
        <v>12</v>
      </c>
      <c r="D3985">
        <v>116</v>
      </c>
      <c r="E3985">
        <v>2069</v>
      </c>
      <c r="F3985" s="5">
        <v>43891</v>
      </c>
      <c r="G3985">
        <v>-116</v>
      </c>
      <c r="H3985" t="s">
        <v>57</v>
      </c>
    </row>
    <row r="3986" spans="1:8" x14ac:dyDescent="0.3">
      <c r="A3986">
        <v>338</v>
      </c>
      <c r="B3986" s="5">
        <v>43915</v>
      </c>
      <c r="C3986" t="s">
        <v>10</v>
      </c>
      <c r="D3986">
        <v>698</v>
      </c>
      <c r="E3986">
        <v>2767</v>
      </c>
      <c r="F3986" s="5">
        <v>43891</v>
      </c>
      <c r="G3986">
        <v>698</v>
      </c>
      <c r="H3986" t="s">
        <v>57</v>
      </c>
    </row>
    <row r="3987" spans="1:8" x14ac:dyDescent="0.3">
      <c r="A3987">
        <v>338</v>
      </c>
      <c r="B3987" s="5">
        <v>43924</v>
      </c>
      <c r="C3987" t="s">
        <v>11</v>
      </c>
      <c r="D3987">
        <v>808</v>
      </c>
      <c r="E3987">
        <v>1959</v>
      </c>
      <c r="F3987" s="5">
        <v>43922</v>
      </c>
      <c r="G3987">
        <v>-808</v>
      </c>
      <c r="H3987" t="s">
        <v>57</v>
      </c>
    </row>
    <row r="3988" spans="1:8" x14ac:dyDescent="0.3">
      <c r="A3988">
        <v>338</v>
      </c>
      <c r="B3988" s="5">
        <v>43924</v>
      </c>
      <c r="C3988" t="s">
        <v>11</v>
      </c>
      <c r="D3988">
        <v>695</v>
      </c>
      <c r="E3988">
        <v>1264</v>
      </c>
      <c r="F3988" s="5">
        <v>43922</v>
      </c>
      <c r="G3988">
        <v>-695</v>
      </c>
      <c r="H3988" t="s">
        <v>57</v>
      </c>
    </row>
    <row r="3989" spans="1:8" x14ac:dyDescent="0.3">
      <c r="A3989">
        <v>339</v>
      </c>
      <c r="B3989" s="5">
        <v>43840</v>
      </c>
      <c r="C3989" t="s">
        <v>10</v>
      </c>
      <c r="D3989">
        <v>167</v>
      </c>
      <c r="E3989">
        <v>167</v>
      </c>
      <c r="F3989" s="5">
        <v>43831</v>
      </c>
      <c r="G3989">
        <v>167</v>
      </c>
      <c r="H3989" t="s">
        <v>57</v>
      </c>
    </row>
    <row r="3990" spans="1:8" x14ac:dyDescent="0.3">
      <c r="A3990">
        <v>339</v>
      </c>
      <c r="B3990" s="5">
        <v>43844</v>
      </c>
      <c r="C3990" t="s">
        <v>11</v>
      </c>
      <c r="D3990">
        <v>173</v>
      </c>
      <c r="E3990">
        <v>-6</v>
      </c>
      <c r="F3990" s="5">
        <v>43831</v>
      </c>
      <c r="G3990">
        <v>-173</v>
      </c>
      <c r="H3990" t="s">
        <v>58</v>
      </c>
    </row>
    <row r="3991" spans="1:8" x14ac:dyDescent="0.3">
      <c r="A3991">
        <v>339</v>
      </c>
      <c r="B3991" s="5">
        <v>43847</v>
      </c>
      <c r="C3991" t="s">
        <v>11</v>
      </c>
      <c r="D3991">
        <v>7</v>
      </c>
      <c r="E3991">
        <v>-13</v>
      </c>
      <c r="F3991" s="5">
        <v>43831</v>
      </c>
      <c r="G3991">
        <v>-7</v>
      </c>
      <c r="H3991" t="s">
        <v>58</v>
      </c>
    </row>
    <row r="3992" spans="1:8" x14ac:dyDescent="0.3">
      <c r="A3992">
        <v>339</v>
      </c>
      <c r="B3992" s="5">
        <v>43854</v>
      </c>
      <c r="C3992" t="s">
        <v>10</v>
      </c>
      <c r="D3992">
        <v>136</v>
      </c>
      <c r="E3992">
        <v>123</v>
      </c>
      <c r="F3992" s="5">
        <v>43831</v>
      </c>
      <c r="G3992">
        <v>136</v>
      </c>
      <c r="H3992" t="s">
        <v>57</v>
      </c>
    </row>
    <row r="3993" spans="1:8" x14ac:dyDescent="0.3">
      <c r="A3993">
        <v>339</v>
      </c>
      <c r="B3993" s="5">
        <v>43861</v>
      </c>
      <c r="C3993" t="s">
        <v>11</v>
      </c>
      <c r="D3993">
        <v>903</v>
      </c>
      <c r="E3993">
        <v>-780</v>
      </c>
      <c r="F3993" s="5">
        <v>43831</v>
      </c>
      <c r="G3993">
        <v>-903</v>
      </c>
      <c r="H3993" t="s">
        <v>58</v>
      </c>
    </row>
    <row r="3994" spans="1:8" x14ac:dyDescent="0.3">
      <c r="A3994">
        <v>339</v>
      </c>
      <c r="B3994" s="5">
        <v>43863</v>
      </c>
      <c r="C3994" t="s">
        <v>10</v>
      </c>
      <c r="D3994">
        <v>994</v>
      </c>
      <c r="E3994">
        <v>214</v>
      </c>
      <c r="F3994" s="5">
        <v>43862</v>
      </c>
      <c r="G3994">
        <v>994</v>
      </c>
      <c r="H3994" t="s">
        <v>57</v>
      </c>
    </row>
    <row r="3995" spans="1:8" x14ac:dyDescent="0.3">
      <c r="A3995">
        <v>339</v>
      </c>
      <c r="B3995" s="5">
        <v>43867</v>
      </c>
      <c r="C3995" t="s">
        <v>12</v>
      </c>
      <c r="D3995">
        <v>717</v>
      </c>
      <c r="E3995">
        <v>-503</v>
      </c>
      <c r="F3995" s="5">
        <v>43862</v>
      </c>
      <c r="G3995">
        <v>-717</v>
      </c>
      <c r="H3995" t="s">
        <v>58</v>
      </c>
    </row>
    <row r="3996" spans="1:8" x14ac:dyDescent="0.3">
      <c r="A3996">
        <v>339</v>
      </c>
      <c r="B3996" s="5">
        <v>43876</v>
      </c>
      <c r="C3996" t="s">
        <v>10</v>
      </c>
      <c r="D3996">
        <v>811</v>
      </c>
      <c r="E3996">
        <v>308</v>
      </c>
      <c r="F3996" s="5">
        <v>43862</v>
      </c>
      <c r="G3996">
        <v>811</v>
      </c>
      <c r="H3996" t="s">
        <v>57</v>
      </c>
    </row>
    <row r="3997" spans="1:8" x14ac:dyDescent="0.3">
      <c r="A3997">
        <v>339</v>
      </c>
      <c r="B3997" s="5">
        <v>43877</v>
      </c>
      <c r="C3997" t="s">
        <v>10</v>
      </c>
      <c r="D3997">
        <v>251</v>
      </c>
      <c r="E3997">
        <v>559</v>
      </c>
      <c r="F3997" s="5">
        <v>43862</v>
      </c>
      <c r="G3997">
        <v>251</v>
      </c>
      <c r="H3997" t="s">
        <v>57</v>
      </c>
    </row>
    <row r="3998" spans="1:8" x14ac:dyDescent="0.3">
      <c r="A3998">
        <v>339</v>
      </c>
      <c r="B3998" s="5">
        <v>43885</v>
      </c>
      <c r="C3998" t="s">
        <v>11</v>
      </c>
      <c r="D3998">
        <v>231</v>
      </c>
      <c r="E3998">
        <v>328</v>
      </c>
      <c r="F3998" s="5">
        <v>43862</v>
      </c>
      <c r="G3998">
        <v>-231</v>
      </c>
      <c r="H3998" t="s">
        <v>57</v>
      </c>
    </row>
    <row r="3999" spans="1:8" x14ac:dyDescent="0.3">
      <c r="A3999">
        <v>339</v>
      </c>
      <c r="B3999" s="5">
        <v>43885</v>
      </c>
      <c r="C3999" t="s">
        <v>10</v>
      </c>
      <c r="D3999">
        <v>222</v>
      </c>
      <c r="E3999">
        <v>550</v>
      </c>
      <c r="F3999" s="5">
        <v>43862</v>
      </c>
      <c r="G3999">
        <v>222</v>
      </c>
      <c r="H3999" t="s">
        <v>57</v>
      </c>
    </row>
    <row r="4000" spans="1:8" x14ac:dyDescent="0.3">
      <c r="A4000">
        <v>339</v>
      </c>
      <c r="B4000" s="5">
        <v>43885</v>
      </c>
      <c r="C4000" t="s">
        <v>10</v>
      </c>
      <c r="D4000">
        <v>538</v>
      </c>
      <c r="E4000">
        <v>1088</v>
      </c>
      <c r="F4000" s="5">
        <v>43862</v>
      </c>
      <c r="G4000">
        <v>538</v>
      </c>
      <c r="H4000" t="s">
        <v>57</v>
      </c>
    </row>
    <row r="4001" spans="1:8" x14ac:dyDescent="0.3">
      <c r="A4001">
        <v>339</v>
      </c>
      <c r="B4001" s="5">
        <v>43896</v>
      </c>
      <c r="C4001" t="s">
        <v>11</v>
      </c>
      <c r="D4001">
        <v>68</v>
      </c>
      <c r="E4001">
        <v>1020</v>
      </c>
      <c r="F4001" s="5">
        <v>43891</v>
      </c>
      <c r="G4001">
        <v>-68</v>
      </c>
      <c r="H4001" t="s">
        <v>57</v>
      </c>
    </row>
    <row r="4002" spans="1:8" x14ac:dyDescent="0.3">
      <c r="A4002">
        <v>339</v>
      </c>
      <c r="B4002" s="5">
        <v>43897</v>
      </c>
      <c r="C4002" t="s">
        <v>10</v>
      </c>
      <c r="D4002">
        <v>548</v>
      </c>
      <c r="E4002">
        <v>1568</v>
      </c>
      <c r="F4002" s="5">
        <v>43891</v>
      </c>
      <c r="G4002">
        <v>548</v>
      </c>
      <c r="H4002" t="s">
        <v>57</v>
      </c>
    </row>
    <row r="4003" spans="1:8" x14ac:dyDescent="0.3">
      <c r="A4003">
        <v>339</v>
      </c>
      <c r="B4003" s="5">
        <v>43899</v>
      </c>
      <c r="C4003" t="s">
        <v>11</v>
      </c>
      <c r="D4003">
        <v>85</v>
      </c>
      <c r="E4003">
        <v>1483</v>
      </c>
      <c r="F4003" s="5">
        <v>43891</v>
      </c>
      <c r="G4003">
        <v>-85</v>
      </c>
      <c r="H4003" t="s">
        <v>57</v>
      </c>
    </row>
    <row r="4004" spans="1:8" x14ac:dyDescent="0.3">
      <c r="A4004">
        <v>339</v>
      </c>
      <c r="B4004" s="5">
        <v>43905</v>
      </c>
      <c r="C4004" t="s">
        <v>12</v>
      </c>
      <c r="D4004">
        <v>45</v>
      </c>
      <c r="E4004">
        <v>1438</v>
      </c>
      <c r="F4004" s="5">
        <v>43891</v>
      </c>
      <c r="G4004">
        <v>-45</v>
      </c>
      <c r="H4004" t="s">
        <v>57</v>
      </c>
    </row>
    <row r="4005" spans="1:8" x14ac:dyDescent="0.3">
      <c r="A4005">
        <v>339</v>
      </c>
      <c r="B4005" s="5">
        <v>43913</v>
      </c>
      <c r="C4005" t="s">
        <v>12</v>
      </c>
      <c r="D4005">
        <v>813</v>
      </c>
      <c r="E4005">
        <v>625</v>
      </c>
      <c r="F4005" s="5">
        <v>43891</v>
      </c>
      <c r="G4005">
        <v>-813</v>
      </c>
      <c r="H4005" t="s">
        <v>57</v>
      </c>
    </row>
    <row r="4006" spans="1:8" x14ac:dyDescent="0.3">
      <c r="A4006">
        <v>340</v>
      </c>
      <c r="B4006" s="5">
        <v>43836</v>
      </c>
      <c r="C4006" t="s">
        <v>10</v>
      </c>
      <c r="D4006">
        <v>56</v>
      </c>
      <c r="E4006">
        <v>56</v>
      </c>
      <c r="F4006" s="5">
        <v>43831</v>
      </c>
      <c r="G4006">
        <v>56</v>
      </c>
      <c r="H4006" t="s">
        <v>57</v>
      </c>
    </row>
    <row r="4007" spans="1:8" x14ac:dyDescent="0.3">
      <c r="A4007">
        <v>340</v>
      </c>
      <c r="B4007" s="5">
        <v>43848</v>
      </c>
      <c r="C4007" t="s">
        <v>12</v>
      </c>
      <c r="D4007">
        <v>699</v>
      </c>
      <c r="E4007">
        <v>-643</v>
      </c>
      <c r="F4007" s="5">
        <v>43831</v>
      </c>
      <c r="G4007">
        <v>-699</v>
      </c>
      <c r="H4007" t="s">
        <v>58</v>
      </c>
    </row>
    <row r="4008" spans="1:8" x14ac:dyDescent="0.3">
      <c r="A4008">
        <v>340</v>
      </c>
      <c r="B4008" s="5">
        <v>43848</v>
      </c>
      <c r="C4008" t="s">
        <v>11</v>
      </c>
      <c r="D4008">
        <v>443</v>
      </c>
      <c r="E4008">
        <v>-1086</v>
      </c>
      <c r="F4008" s="5">
        <v>43831</v>
      </c>
      <c r="G4008">
        <v>-443</v>
      </c>
      <c r="H4008" t="s">
        <v>58</v>
      </c>
    </row>
    <row r="4009" spans="1:8" x14ac:dyDescent="0.3">
      <c r="A4009">
        <v>340</v>
      </c>
      <c r="B4009" s="5">
        <v>43865</v>
      </c>
      <c r="C4009" t="s">
        <v>11</v>
      </c>
      <c r="D4009">
        <v>17</v>
      </c>
      <c r="E4009">
        <v>-1103</v>
      </c>
      <c r="F4009" s="5">
        <v>43862</v>
      </c>
      <c r="G4009">
        <v>-17</v>
      </c>
      <c r="H4009" t="s">
        <v>58</v>
      </c>
    </row>
    <row r="4010" spans="1:8" x14ac:dyDescent="0.3">
      <c r="A4010">
        <v>340</v>
      </c>
      <c r="B4010" s="5">
        <v>43867</v>
      </c>
      <c r="C4010" t="s">
        <v>10</v>
      </c>
      <c r="D4010">
        <v>644</v>
      </c>
      <c r="E4010">
        <v>-459</v>
      </c>
      <c r="F4010" s="5">
        <v>43862</v>
      </c>
      <c r="G4010">
        <v>644</v>
      </c>
      <c r="H4010" t="s">
        <v>58</v>
      </c>
    </row>
    <row r="4011" spans="1:8" x14ac:dyDescent="0.3">
      <c r="A4011">
        <v>340</v>
      </c>
      <c r="B4011" s="5">
        <v>43874</v>
      </c>
      <c r="C4011" t="s">
        <v>10</v>
      </c>
      <c r="D4011">
        <v>880</v>
      </c>
      <c r="E4011">
        <v>421</v>
      </c>
      <c r="F4011" s="5">
        <v>43862</v>
      </c>
      <c r="G4011">
        <v>880</v>
      </c>
      <c r="H4011" t="s">
        <v>57</v>
      </c>
    </row>
    <row r="4012" spans="1:8" x14ac:dyDescent="0.3">
      <c r="A4012">
        <v>340</v>
      </c>
      <c r="B4012" s="5">
        <v>43875</v>
      </c>
      <c r="C4012" t="s">
        <v>11</v>
      </c>
      <c r="D4012">
        <v>529</v>
      </c>
      <c r="E4012">
        <v>-108</v>
      </c>
      <c r="F4012" s="5">
        <v>43862</v>
      </c>
      <c r="G4012">
        <v>-529</v>
      </c>
      <c r="H4012" t="s">
        <v>58</v>
      </c>
    </row>
    <row r="4013" spans="1:8" x14ac:dyDescent="0.3">
      <c r="A4013">
        <v>340</v>
      </c>
      <c r="B4013" s="5">
        <v>43879</v>
      </c>
      <c r="C4013" t="s">
        <v>11</v>
      </c>
      <c r="D4013">
        <v>546</v>
      </c>
      <c r="E4013">
        <v>-654</v>
      </c>
      <c r="F4013" s="5">
        <v>43862</v>
      </c>
      <c r="G4013">
        <v>-546</v>
      </c>
      <c r="H4013" t="s">
        <v>58</v>
      </c>
    </row>
    <row r="4014" spans="1:8" x14ac:dyDescent="0.3">
      <c r="A4014">
        <v>340</v>
      </c>
      <c r="B4014" s="5">
        <v>43880</v>
      </c>
      <c r="C4014" t="s">
        <v>10</v>
      </c>
      <c r="D4014">
        <v>930</v>
      </c>
      <c r="E4014">
        <v>276</v>
      </c>
      <c r="F4014" s="5">
        <v>43862</v>
      </c>
      <c r="G4014">
        <v>930</v>
      </c>
      <c r="H4014" t="s">
        <v>57</v>
      </c>
    </row>
    <row r="4015" spans="1:8" x14ac:dyDescent="0.3">
      <c r="A4015">
        <v>340</v>
      </c>
      <c r="B4015" s="5">
        <v>43892</v>
      </c>
      <c r="C4015" t="s">
        <v>10</v>
      </c>
      <c r="D4015">
        <v>154</v>
      </c>
      <c r="E4015">
        <v>430</v>
      </c>
      <c r="F4015" s="5">
        <v>43891</v>
      </c>
      <c r="G4015">
        <v>154</v>
      </c>
      <c r="H4015" t="s">
        <v>57</v>
      </c>
    </row>
    <row r="4016" spans="1:8" x14ac:dyDescent="0.3">
      <c r="A4016">
        <v>340</v>
      </c>
      <c r="B4016" s="5">
        <v>43903</v>
      </c>
      <c r="C4016" t="s">
        <v>12</v>
      </c>
      <c r="D4016">
        <v>874</v>
      </c>
      <c r="E4016">
        <v>-444</v>
      </c>
      <c r="F4016" s="5">
        <v>43891</v>
      </c>
      <c r="G4016">
        <v>-874</v>
      </c>
      <c r="H4016" t="s">
        <v>58</v>
      </c>
    </row>
    <row r="4017" spans="1:8" x14ac:dyDescent="0.3">
      <c r="A4017">
        <v>340</v>
      </c>
      <c r="B4017" s="5">
        <v>43905</v>
      </c>
      <c r="C4017" t="s">
        <v>10</v>
      </c>
      <c r="D4017">
        <v>665</v>
      </c>
      <c r="E4017">
        <v>221</v>
      </c>
      <c r="F4017" s="5">
        <v>43891</v>
      </c>
      <c r="G4017">
        <v>665</v>
      </c>
      <c r="H4017" t="s">
        <v>57</v>
      </c>
    </row>
    <row r="4018" spans="1:8" x14ac:dyDescent="0.3">
      <c r="A4018">
        <v>340</v>
      </c>
      <c r="B4018" s="5">
        <v>43907</v>
      </c>
      <c r="C4018" t="s">
        <v>10</v>
      </c>
      <c r="D4018">
        <v>203</v>
      </c>
      <c r="E4018">
        <v>424</v>
      </c>
      <c r="F4018" s="5">
        <v>43891</v>
      </c>
      <c r="G4018">
        <v>203</v>
      </c>
      <c r="H4018" t="s">
        <v>57</v>
      </c>
    </row>
    <row r="4019" spans="1:8" x14ac:dyDescent="0.3">
      <c r="A4019">
        <v>340</v>
      </c>
      <c r="B4019" s="5">
        <v>43908</v>
      </c>
      <c r="C4019" t="s">
        <v>12</v>
      </c>
      <c r="D4019">
        <v>756</v>
      </c>
      <c r="E4019">
        <v>-332</v>
      </c>
      <c r="F4019" s="5">
        <v>43891</v>
      </c>
      <c r="G4019">
        <v>-756</v>
      </c>
      <c r="H4019" t="s">
        <v>58</v>
      </c>
    </row>
    <row r="4020" spans="1:8" x14ac:dyDescent="0.3">
      <c r="A4020">
        <v>340</v>
      </c>
      <c r="B4020" s="5">
        <v>43908</v>
      </c>
      <c r="C4020" t="s">
        <v>10</v>
      </c>
      <c r="D4020">
        <v>356</v>
      </c>
      <c r="E4020">
        <v>24</v>
      </c>
      <c r="F4020" s="5">
        <v>43891</v>
      </c>
      <c r="G4020">
        <v>356</v>
      </c>
      <c r="H4020" t="s">
        <v>57</v>
      </c>
    </row>
    <row r="4021" spans="1:8" x14ac:dyDescent="0.3">
      <c r="A4021">
        <v>340</v>
      </c>
      <c r="B4021" s="5">
        <v>43911</v>
      </c>
      <c r="C4021" t="s">
        <v>10</v>
      </c>
      <c r="D4021">
        <v>619</v>
      </c>
      <c r="E4021">
        <v>643</v>
      </c>
      <c r="F4021" s="5">
        <v>43891</v>
      </c>
      <c r="G4021">
        <v>619</v>
      </c>
      <c r="H4021" t="s">
        <v>57</v>
      </c>
    </row>
    <row r="4022" spans="1:8" x14ac:dyDescent="0.3">
      <c r="A4022">
        <v>340</v>
      </c>
      <c r="B4022" s="5">
        <v>43914</v>
      </c>
      <c r="C4022" t="s">
        <v>10</v>
      </c>
      <c r="D4022">
        <v>547</v>
      </c>
      <c r="E4022">
        <v>1190</v>
      </c>
      <c r="F4022" s="5">
        <v>43891</v>
      </c>
      <c r="G4022">
        <v>547</v>
      </c>
      <c r="H4022" t="s">
        <v>57</v>
      </c>
    </row>
    <row r="4023" spans="1:8" x14ac:dyDescent="0.3">
      <c r="A4023">
        <v>340</v>
      </c>
      <c r="B4023" s="5">
        <v>43920</v>
      </c>
      <c r="C4023" t="s">
        <v>11</v>
      </c>
      <c r="D4023">
        <v>631</v>
      </c>
      <c r="E4023">
        <v>559</v>
      </c>
      <c r="F4023" s="5">
        <v>43891</v>
      </c>
      <c r="G4023">
        <v>-631</v>
      </c>
      <c r="H4023" t="s">
        <v>57</v>
      </c>
    </row>
    <row r="4024" spans="1:8" x14ac:dyDescent="0.3">
      <c r="A4024">
        <v>340</v>
      </c>
      <c r="B4024" s="5">
        <v>43922</v>
      </c>
      <c r="C4024" t="s">
        <v>10</v>
      </c>
      <c r="D4024">
        <v>831</v>
      </c>
      <c r="E4024">
        <v>1390</v>
      </c>
      <c r="F4024" s="5">
        <v>43922</v>
      </c>
      <c r="G4024">
        <v>831</v>
      </c>
      <c r="H4024" t="s">
        <v>57</v>
      </c>
    </row>
    <row r="4025" spans="1:8" x14ac:dyDescent="0.3">
      <c r="A4025">
        <v>341</v>
      </c>
      <c r="B4025" s="5">
        <v>43856</v>
      </c>
      <c r="C4025" t="s">
        <v>10</v>
      </c>
      <c r="D4025">
        <v>345</v>
      </c>
      <c r="E4025">
        <v>345</v>
      </c>
      <c r="F4025" s="5">
        <v>43831</v>
      </c>
      <c r="G4025">
        <v>345</v>
      </c>
      <c r="H4025" t="s">
        <v>57</v>
      </c>
    </row>
    <row r="4026" spans="1:8" x14ac:dyDescent="0.3">
      <c r="A4026">
        <v>341</v>
      </c>
      <c r="B4026" s="5">
        <v>43873</v>
      </c>
      <c r="C4026" t="s">
        <v>10</v>
      </c>
      <c r="D4026">
        <v>77</v>
      </c>
      <c r="E4026">
        <v>422</v>
      </c>
      <c r="F4026" s="5">
        <v>43862</v>
      </c>
      <c r="G4026">
        <v>77</v>
      </c>
      <c r="H4026" t="s">
        <v>57</v>
      </c>
    </row>
    <row r="4027" spans="1:8" x14ac:dyDescent="0.3">
      <c r="A4027">
        <v>341</v>
      </c>
      <c r="B4027" s="5">
        <v>43887</v>
      </c>
      <c r="C4027" t="s">
        <v>12</v>
      </c>
      <c r="D4027">
        <v>576</v>
      </c>
      <c r="E4027">
        <v>-154</v>
      </c>
      <c r="F4027" s="5">
        <v>43862</v>
      </c>
      <c r="G4027">
        <v>-576</v>
      </c>
      <c r="H4027" t="s">
        <v>58</v>
      </c>
    </row>
    <row r="4028" spans="1:8" x14ac:dyDescent="0.3">
      <c r="A4028">
        <v>341</v>
      </c>
      <c r="B4028" s="5">
        <v>43888</v>
      </c>
      <c r="C4028" t="s">
        <v>11</v>
      </c>
      <c r="D4028">
        <v>719</v>
      </c>
      <c r="E4028">
        <v>-873</v>
      </c>
      <c r="F4028" s="5">
        <v>43862</v>
      </c>
      <c r="G4028">
        <v>-719</v>
      </c>
      <c r="H4028" t="s">
        <v>58</v>
      </c>
    </row>
    <row r="4029" spans="1:8" x14ac:dyDescent="0.3">
      <c r="A4029">
        <v>341</v>
      </c>
      <c r="B4029" s="5">
        <v>43900</v>
      </c>
      <c r="C4029" t="s">
        <v>12</v>
      </c>
      <c r="D4029">
        <v>310</v>
      </c>
      <c r="E4029">
        <v>-1183</v>
      </c>
      <c r="F4029" s="5">
        <v>43891</v>
      </c>
      <c r="G4029">
        <v>-310</v>
      </c>
      <c r="H4029" t="s">
        <v>58</v>
      </c>
    </row>
    <row r="4030" spans="1:8" x14ac:dyDescent="0.3">
      <c r="A4030">
        <v>341</v>
      </c>
      <c r="B4030" s="5">
        <v>43909</v>
      </c>
      <c r="C4030" t="s">
        <v>12</v>
      </c>
      <c r="D4030">
        <v>958</v>
      </c>
      <c r="E4030">
        <v>-2141</v>
      </c>
      <c r="F4030" s="5">
        <v>43891</v>
      </c>
      <c r="G4030">
        <v>-958</v>
      </c>
      <c r="H4030" t="s">
        <v>58</v>
      </c>
    </row>
    <row r="4031" spans="1:8" x14ac:dyDescent="0.3">
      <c r="A4031">
        <v>341</v>
      </c>
      <c r="B4031" s="5">
        <v>43920</v>
      </c>
      <c r="C4031" t="s">
        <v>10</v>
      </c>
      <c r="D4031">
        <v>8</v>
      </c>
      <c r="E4031">
        <v>-2133</v>
      </c>
      <c r="F4031" s="5">
        <v>43891</v>
      </c>
      <c r="G4031">
        <v>8</v>
      </c>
      <c r="H4031" t="s">
        <v>58</v>
      </c>
    </row>
    <row r="4032" spans="1:8" x14ac:dyDescent="0.3">
      <c r="A4032">
        <v>341</v>
      </c>
      <c r="B4032" s="5">
        <v>43939</v>
      </c>
      <c r="C4032" t="s">
        <v>12</v>
      </c>
      <c r="D4032">
        <v>168</v>
      </c>
      <c r="E4032">
        <v>-2301</v>
      </c>
      <c r="F4032" s="5">
        <v>43922</v>
      </c>
      <c r="G4032">
        <v>-168</v>
      </c>
      <c r="H4032" t="s">
        <v>58</v>
      </c>
    </row>
    <row r="4033" spans="1:8" x14ac:dyDescent="0.3">
      <c r="A4033">
        <v>341</v>
      </c>
      <c r="B4033" s="5">
        <v>43945</v>
      </c>
      <c r="C4033" t="s">
        <v>10</v>
      </c>
      <c r="D4033">
        <v>207</v>
      </c>
      <c r="E4033">
        <v>-2094</v>
      </c>
      <c r="F4033" s="5">
        <v>43922</v>
      </c>
      <c r="G4033">
        <v>207</v>
      </c>
      <c r="H4033" t="s">
        <v>58</v>
      </c>
    </row>
    <row r="4034" spans="1:8" x14ac:dyDescent="0.3">
      <c r="A4034">
        <v>342</v>
      </c>
      <c r="B4034" s="5">
        <v>43855</v>
      </c>
      <c r="C4034" t="s">
        <v>10</v>
      </c>
      <c r="D4034">
        <v>347</v>
      </c>
      <c r="E4034">
        <v>347</v>
      </c>
      <c r="F4034" s="5">
        <v>43831</v>
      </c>
      <c r="G4034">
        <v>347</v>
      </c>
      <c r="H4034" t="s">
        <v>57</v>
      </c>
    </row>
    <row r="4035" spans="1:8" x14ac:dyDescent="0.3">
      <c r="A4035">
        <v>342</v>
      </c>
      <c r="B4035" s="5">
        <v>43873</v>
      </c>
      <c r="C4035" t="s">
        <v>10</v>
      </c>
      <c r="D4035">
        <v>910</v>
      </c>
      <c r="E4035">
        <v>1257</v>
      </c>
      <c r="F4035" s="5">
        <v>43862</v>
      </c>
      <c r="G4035">
        <v>910</v>
      </c>
      <c r="H4035" t="s">
        <v>57</v>
      </c>
    </row>
    <row r="4036" spans="1:8" x14ac:dyDescent="0.3">
      <c r="A4036">
        <v>342</v>
      </c>
      <c r="B4036" s="5">
        <v>43878</v>
      </c>
      <c r="C4036" t="s">
        <v>11</v>
      </c>
      <c r="D4036">
        <v>715</v>
      </c>
      <c r="E4036">
        <v>542</v>
      </c>
      <c r="F4036" s="5">
        <v>43862</v>
      </c>
      <c r="G4036">
        <v>-715</v>
      </c>
      <c r="H4036" t="s">
        <v>57</v>
      </c>
    </row>
    <row r="4037" spans="1:8" x14ac:dyDescent="0.3">
      <c r="A4037">
        <v>342</v>
      </c>
      <c r="B4037" s="5">
        <v>43885</v>
      </c>
      <c r="C4037" t="s">
        <v>11</v>
      </c>
      <c r="D4037">
        <v>887</v>
      </c>
      <c r="E4037">
        <v>-345</v>
      </c>
      <c r="F4037" s="5">
        <v>43862</v>
      </c>
      <c r="G4037">
        <v>-887</v>
      </c>
      <c r="H4037" t="s">
        <v>58</v>
      </c>
    </row>
    <row r="4038" spans="1:8" x14ac:dyDescent="0.3">
      <c r="A4038">
        <v>342</v>
      </c>
      <c r="B4038" s="5">
        <v>43888</v>
      </c>
      <c r="C4038" t="s">
        <v>10</v>
      </c>
      <c r="D4038">
        <v>60</v>
      </c>
      <c r="E4038">
        <v>-285</v>
      </c>
      <c r="F4038" s="5">
        <v>43862</v>
      </c>
      <c r="G4038">
        <v>60</v>
      </c>
      <c r="H4038" t="s">
        <v>58</v>
      </c>
    </row>
    <row r="4039" spans="1:8" x14ac:dyDescent="0.3">
      <c r="A4039">
        <v>342</v>
      </c>
      <c r="B4039" s="5">
        <v>43898</v>
      </c>
      <c r="C4039" t="s">
        <v>12</v>
      </c>
      <c r="D4039">
        <v>947</v>
      </c>
      <c r="E4039">
        <v>-1232</v>
      </c>
      <c r="F4039" s="5">
        <v>43891</v>
      </c>
      <c r="G4039">
        <v>-947</v>
      </c>
      <c r="H4039" t="s">
        <v>58</v>
      </c>
    </row>
    <row r="4040" spans="1:8" x14ac:dyDescent="0.3">
      <c r="A4040">
        <v>342</v>
      </c>
      <c r="B4040" s="5">
        <v>43915</v>
      </c>
      <c r="C4040" t="s">
        <v>10</v>
      </c>
      <c r="D4040">
        <v>990</v>
      </c>
      <c r="E4040">
        <v>-242</v>
      </c>
      <c r="F4040" s="5">
        <v>43891</v>
      </c>
      <c r="G4040">
        <v>990</v>
      </c>
      <c r="H4040" t="s">
        <v>58</v>
      </c>
    </row>
    <row r="4041" spans="1:8" x14ac:dyDescent="0.3">
      <c r="A4041">
        <v>342</v>
      </c>
      <c r="B4041" s="5">
        <v>43916</v>
      </c>
      <c r="C4041" t="s">
        <v>10</v>
      </c>
      <c r="D4041">
        <v>745</v>
      </c>
      <c r="E4041">
        <v>503</v>
      </c>
      <c r="F4041" s="5">
        <v>43891</v>
      </c>
      <c r="G4041">
        <v>745</v>
      </c>
      <c r="H4041" t="s">
        <v>57</v>
      </c>
    </row>
    <row r="4042" spans="1:8" x14ac:dyDescent="0.3">
      <c r="A4042">
        <v>342</v>
      </c>
      <c r="B4042" s="5">
        <v>43928</v>
      </c>
      <c r="C4042" t="s">
        <v>11</v>
      </c>
      <c r="D4042">
        <v>688</v>
      </c>
      <c r="E4042">
        <v>-185</v>
      </c>
      <c r="F4042" s="5">
        <v>43922</v>
      </c>
      <c r="G4042">
        <v>-688</v>
      </c>
      <c r="H4042" t="s">
        <v>58</v>
      </c>
    </row>
    <row r="4043" spans="1:8" x14ac:dyDescent="0.3">
      <c r="A4043">
        <v>342</v>
      </c>
      <c r="B4043" s="5">
        <v>43941</v>
      </c>
      <c r="C4043" t="s">
        <v>10</v>
      </c>
      <c r="D4043">
        <v>624</v>
      </c>
      <c r="E4043">
        <v>439</v>
      </c>
      <c r="F4043" s="5">
        <v>43922</v>
      </c>
      <c r="G4043">
        <v>624</v>
      </c>
      <c r="H4043" t="s">
        <v>57</v>
      </c>
    </row>
    <row r="4044" spans="1:8" x14ac:dyDescent="0.3">
      <c r="A4044">
        <v>342</v>
      </c>
      <c r="B4044" s="5">
        <v>43943</v>
      </c>
      <c r="C4044" t="s">
        <v>12</v>
      </c>
      <c r="D4044">
        <v>574</v>
      </c>
      <c r="E4044">
        <v>-135</v>
      </c>
      <c r="F4044" s="5">
        <v>43922</v>
      </c>
      <c r="G4044">
        <v>-574</v>
      </c>
      <c r="H4044" t="s">
        <v>58</v>
      </c>
    </row>
    <row r="4045" spans="1:8" x14ac:dyDescent="0.3">
      <c r="A4045">
        <v>343</v>
      </c>
      <c r="B4045" s="5">
        <v>43831</v>
      </c>
      <c r="C4045" t="s">
        <v>10</v>
      </c>
      <c r="D4045">
        <v>859</v>
      </c>
      <c r="E4045">
        <v>859</v>
      </c>
      <c r="F4045" s="5">
        <v>43831</v>
      </c>
      <c r="G4045">
        <v>859</v>
      </c>
      <c r="H4045" t="s">
        <v>57</v>
      </c>
    </row>
    <row r="4046" spans="1:8" x14ac:dyDescent="0.3">
      <c r="A4046">
        <v>343</v>
      </c>
      <c r="B4046" s="5">
        <v>43839</v>
      </c>
      <c r="C4046" t="s">
        <v>12</v>
      </c>
      <c r="D4046">
        <v>426</v>
      </c>
      <c r="E4046">
        <v>433</v>
      </c>
      <c r="F4046" s="5">
        <v>43831</v>
      </c>
      <c r="G4046">
        <v>-426</v>
      </c>
      <c r="H4046" t="s">
        <v>57</v>
      </c>
    </row>
    <row r="4047" spans="1:8" x14ac:dyDescent="0.3">
      <c r="A4047">
        <v>343</v>
      </c>
      <c r="B4047" s="5">
        <v>43844</v>
      </c>
      <c r="C4047" t="s">
        <v>12</v>
      </c>
      <c r="D4047">
        <v>30</v>
      </c>
      <c r="E4047">
        <v>403</v>
      </c>
      <c r="F4047" s="5">
        <v>43831</v>
      </c>
      <c r="G4047">
        <v>-30</v>
      </c>
      <c r="H4047" t="s">
        <v>57</v>
      </c>
    </row>
    <row r="4048" spans="1:8" x14ac:dyDescent="0.3">
      <c r="A4048">
        <v>343</v>
      </c>
      <c r="B4048" s="5">
        <v>43850</v>
      </c>
      <c r="C4048" t="s">
        <v>10</v>
      </c>
      <c r="D4048">
        <v>936</v>
      </c>
      <c r="E4048">
        <v>1339</v>
      </c>
      <c r="F4048" s="5">
        <v>43831</v>
      </c>
      <c r="G4048">
        <v>936</v>
      </c>
      <c r="H4048" t="s">
        <v>57</v>
      </c>
    </row>
    <row r="4049" spans="1:8" x14ac:dyDescent="0.3">
      <c r="A4049">
        <v>343</v>
      </c>
      <c r="B4049" s="5">
        <v>43862</v>
      </c>
      <c r="C4049" t="s">
        <v>10</v>
      </c>
      <c r="D4049">
        <v>214</v>
      </c>
      <c r="E4049">
        <v>1553</v>
      </c>
      <c r="F4049" s="5">
        <v>43862</v>
      </c>
      <c r="G4049">
        <v>214</v>
      </c>
      <c r="H4049" t="s">
        <v>57</v>
      </c>
    </row>
    <row r="4050" spans="1:8" x14ac:dyDescent="0.3">
      <c r="A4050">
        <v>343</v>
      </c>
      <c r="B4050" s="5">
        <v>43862</v>
      </c>
      <c r="C4050" t="s">
        <v>10</v>
      </c>
      <c r="D4050">
        <v>411</v>
      </c>
      <c r="E4050">
        <v>1964</v>
      </c>
      <c r="F4050" s="5">
        <v>43862</v>
      </c>
      <c r="G4050">
        <v>411</v>
      </c>
      <c r="H4050" t="s">
        <v>57</v>
      </c>
    </row>
    <row r="4051" spans="1:8" x14ac:dyDescent="0.3">
      <c r="A4051">
        <v>343</v>
      </c>
      <c r="B4051" s="5">
        <v>43866</v>
      </c>
      <c r="C4051" t="s">
        <v>10</v>
      </c>
      <c r="D4051">
        <v>150</v>
      </c>
      <c r="E4051">
        <v>2114</v>
      </c>
      <c r="F4051" s="5">
        <v>43862</v>
      </c>
      <c r="G4051">
        <v>150</v>
      </c>
      <c r="H4051" t="s">
        <v>57</v>
      </c>
    </row>
    <row r="4052" spans="1:8" x14ac:dyDescent="0.3">
      <c r="A4052">
        <v>343</v>
      </c>
      <c r="B4052" s="5">
        <v>43874</v>
      </c>
      <c r="C4052" t="s">
        <v>12</v>
      </c>
      <c r="D4052">
        <v>286</v>
      </c>
      <c r="E4052">
        <v>1828</v>
      </c>
      <c r="F4052" s="5">
        <v>43862</v>
      </c>
      <c r="G4052">
        <v>-286</v>
      </c>
      <c r="H4052" t="s">
        <v>57</v>
      </c>
    </row>
    <row r="4053" spans="1:8" x14ac:dyDescent="0.3">
      <c r="A4053">
        <v>343</v>
      </c>
      <c r="B4053" s="5">
        <v>43885</v>
      </c>
      <c r="C4053" t="s">
        <v>11</v>
      </c>
      <c r="D4053">
        <v>303</v>
      </c>
      <c r="E4053">
        <v>1525</v>
      </c>
      <c r="F4053" s="5">
        <v>43862</v>
      </c>
      <c r="G4053">
        <v>-303</v>
      </c>
      <c r="H4053" t="s">
        <v>57</v>
      </c>
    </row>
    <row r="4054" spans="1:8" x14ac:dyDescent="0.3">
      <c r="A4054">
        <v>343</v>
      </c>
      <c r="B4054" s="5">
        <v>43887</v>
      </c>
      <c r="C4054" t="s">
        <v>10</v>
      </c>
      <c r="D4054">
        <v>128</v>
      </c>
      <c r="E4054">
        <v>1653</v>
      </c>
      <c r="F4054" s="5">
        <v>43862</v>
      </c>
      <c r="G4054">
        <v>128</v>
      </c>
      <c r="H4054" t="s">
        <v>57</v>
      </c>
    </row>
    <row r="4055" spans="1:8" x14ac:dyDescent="0.3">
      <c r="A4055">
        <v>343</v>
      </c>
      <c r="B4055" s="5">
        <v>43891</v>
      </c>
      <c r="C4055" t="s">
        <v>10</v>
      </c>
      <c r="D4055">
        <v>267</v>
      </c>
      <c r="E4055">
        <v>1920</v>
      </c>
      <c r="F4055" s="5">
        <v>43891</v>
      </c>
      <c r="G4055">
        <v>267</v>
      </c>
      <c r="H4055" t="s">
        <v>57</v>
      </c>
    </row>
    <row r="4056" spans="1:8" x14ac:dyDescent="0.3">
      <c r="A4056">
        <v>343</v>
      </c>
      <c r="B4056" s="5">
        <v>43899</v>
      </c>
      <c r="C4056" t="s">
        <v>12</v>
      </c>
      <c r="D4056">
        <v>832</v>
      </c>
      <c r="E4056">
        <v>1088</v>
      </c>
      <c r="F4056" s="5">
        <v>43891</v>
      </c>
      <c r="G4056">
        <v>-832</v>
      </c>
      <c r="H4056" t="s">
        <v>57</v>
      </c>
    </row>
    <row r="4057" spans="1:8" x14ac:dyDescent="0.3">
      <c r="A4057">
        <v>343</v>
      </c>
      <c r="B4057" s="5">
        <v>43913</v>
      </c>
      <c r="C4057" t="s">
        <v>10</v>
      </c>
      <c r="D4057">
        <v>753</v>
      </c>
      <c r="E4057">
        <v>1841</v>
      </c>
      <c r="F4057" s="5">
        <v>43891</v>
      </c>
      <c r="G4057">
        <v>753</v>
      </c>
      <c r="H4057" t="s">
        <v>57</v>
      </c>
    </row>
    <row r="4058" spans="1:8" x14ac:dyDescent="0.3">
      <c r="A4058">
        <v>344</v>
      </c>
      <c r="B4058" s="5">
        <v>43837</v>
      </c>
      <c r="C4058" t="s">
        <v>10</v>
      </c>
      <c r="D4058">
        <v>816</v>
      </c>
      <c r="E4058">
        <v>816</v>
      </c>
      <c r="F4058" s="5">
        <v>43831</v>
      </c>
      <c r="G4058">
        <v>816</v>
      </c>
      <c r="H4058" t="s">
        <v>57</v>
      </c>
    </row>
    <row r="4059" spans="1:8" x14ac:dyDescent="0.3">
      <c r="A4059">
        <v>344</v>
      </c>
      <c r="B4059" s="5">
        <v>43841</v>
      </c>
      <c r="C4059" t="s">
        <v>12</v>
      </c>
      <c r="D4059">
        <v>148</v>
      </c>
      <c r="E4059">
        <v>668</v>
      </c>
      <c r="F4059" s="5">
        <v>43831</v>
      </c>
      <c r="G4059">
        <v>-148</v>
      </c>
      <c r="H4059" t="s">
        <v>57</v>
      </c>
    </row>
    <row r="4060" spans="1:8" x14ac:dyDescent="0.3">
      <c r="A4060">
        <v>344</v>
      </c>
      <c r="B4060" s="5">
        <v>43845</v>
      </c>
      <c r="C4060" t="s">
        <v>10</v>
      </c>
      <c r="D4060">
        <v>368</v>
      </c>
      <c r="E4060">
        <v>1036</v>
      </c>
      <c r="F4060" s="5">
        <v>43831</v>
      </c>
      <c r="G4060">
        <v>368</v>
      </c>
      <c r="H4060" t="s">
        <v>57</v>
      </c>
    </row>
    <row r="4061" spans="1:8" x14ac:dyDescent="0.3">
      <c r="A4061">
        <v>344</v>
      </c>
      <c r="B4061" s="5">
        <v>43846</v>
      </c>
      <c r="C4061" t="s">
        <v>12</v>
      </c>
      <c r="D4061">
        <v>282</v>
      </c>
      <c r="E4061">
        <v>754</v>
      </c>
      <c r="F4061" s="5">
        <v>43831</v>
      </c>
      <c r="G4061">
        <v>-282</v>
      </c>
      <c r="H4061" t="s">
        <v>57</v>
      </c>
    </row>
    <row r="4062" spans="1:8" x14ac:dyDescent="0.3">
      <c r="A4062">
        <v>344</v>
      </c>
      <c r="B4062" s="5">
        <v>43850</v>
      </c>
      <c r="C4062" t="s">
        <v>12</v>
      </c>
      <c r="D4062">
        <v>855</v>
      </c>
      <c r="E4062">
        <v>-101</v>
      </c>
      <c r="F4062" s="5">
        <v>43831</v>
      </c>
      <c r="G4062">
        <v>-855</v>
      </c>
      <c r="H4062" t="s">
        <v>58</v>
      </c>
    </row>
    <row r="4063" spans="1:8" x14ac:dyDescent="0.3">
      <c r="A4063">
        <v>344</v>
      </c>
      <c r="B4063" s="5">
        <v>43856</v>
      </c>
      <c r="C4063" t="s">
        <v>12</v>
      </c>
      <c r="D4063">
        <v>831</v>
      </c>
      <c r="E4063">
        <v>-932</v>
      </c>
      <c r="F4063" s="5">
        <v>43831</v>
      </c>
      <c r="G4063">
        <v>-831</v>
      </c>
      <c r="H4063" t="s">
        <v>58</v>
      </c>
    </row>
    <row r="4064" spans="1:8" x14ac:dyDescent="0.3">
      <c r="A4064">
        <v>344</v>
      </c>
      <c r="B4064" s="5">
        <v>43866</v>
      </c>
      <c r="C4064" t="s">
        <v>12</v>
      </c>
      <c r="D4064">
        <v>459</v>
      </c>
      <c r="E4064">
        <v>-1391</v>
      </c>
      <c r="F4064" s="5">
        <v>43862</v>
      </c>
      <c r="G4064">
        <v>-459</v>
      </c>
      <c r="H4064" t="s">
        <v>58</v>
      </c>
    </row>
    <row r="4065" spans="1:8" x14ac:dyDescent="0.3">
      <c r="A4065">
        <v>344</v>
      </c>
      <c r="B4065" s="5">
        <v>43868</v>
      </c>
      <c r="C4065" t="s">
        <v>10</v>
      </c>
      <c r="D4065">
        <v>937</v>
      </c>
      <c r="E4065">
        <v>-454</v>
      </c>
      <c r="F4065" s="5">
        <v>43862</v>
      </c>
      <c r="G4065">
        <v>937</v>
      </c>
      <c r="H4065" t="s">
        <v>58</v>
      </c>
    </row>
    <row r="4066" spans="1:8" x14ac:dyDescent="0.3">
      <c r="A4066">
        <v>344</v>
      </c>
      <c r="B4066" s="5">
        <v>43870</v>
      </c>
      <c r="C4066" t="s">
        <v>10</v>
      </c>
      <c r="D4066">
        <v>553</v>
      </c>
      <c r="E4066">
        <v>99</v>
      </c>
      <c r="F4066" s="5">
        <v>43862</v>
      </c>
      <c r="G4066">
        <v>553</v>
      </c>
      <c r="H4066" t="s">
        <v>57</v>
      </c>
    </row>
    <row r="4067" spans="1:8" x14ac:dyDescent="0.3">
      <c r="A4067">
        <v>344</v>
      </c>
      <c r="B4067" s="5">
        <v>43874</v>
      </c>
      <c r="C4067" t="s">
        <v>11</v>
      </c>
      <c r="D4067">
        <v>596</v>
      </c>
      <c r="E4067">
        <v>-497</v>
      </c>
      <c r="F4067" s="5">
        <v>43862</v>
      </c>
      <c r="G4067">
        <v>-596</v>
      </c>
      <c r="H4067" t="s">
        <v>58</v>
      </c>
    </row>
    <row r="4068" spans="1:8" x14ac:dyDescent="0.3">
      <c r="A4068">
        <v>344</v>
      </c>
      <c r="B4068" s="5">
        <v>43880</v>
      </c>
      <c r="C4068" t="s">
        <v>11</v>
      </c>
      <c r="D4068">
        <v>591</v>
      </c>
      <c r="E4068">
        <v>-1088</v>
      </c>
      <c r="F4068" s="5">
        <v>43862</v>
      </c>
      <c r="G4068">
        <v>-591</v>
      </c>
      <c r="H4068" t="s">
        <v>58</v>
      </c>
    </row>
    <row r="4069" spans="1:8" x14ac:dyDescent="0.3">
      <c r="A4069">
        <v>344</v>
      </c>
      <c r="B4069" s="5">
        <v>43882</v>
      </c>
      <c r="C4069" t="s">
        <v>10</v>
      </c>
      <c r="D4069">
        <v>945</v>
      </c>
      <c r="E4069">
        <v>-143</v>
      </c>
      <c r="F4069" s="5">
        <v>43862</v>
      </c>
      <c r="G4069">
        <v>945</v>
      </c>
      <c r="H4069" t="s">
        <v>58</v>
      </c>
    </row>
    <row r="4070" spans="1:8" x14ac:dyDescent="0.3">
      <c r="A4070">
        <v>344</v>
      </c>
      <c r="B4070" s="5">
        <v>43884</v>
      </c>
      <c r="C4070" t="s">
        <v>10</v>
      </c>
      <c r="D4070">
        <v>558</v>
      </c>
      <c r="E4070">
        <v>415</v>
      </c>
      <c r="F4070" s="5">
        <v>43862</v>
      </c>
      <c r="G4070">
        <v>558</v>
      </c>
      <c r="H4070" t="s">
        <v>57</v>
      </c>
    </row>
    <row r="4071" spans="1:8" x14ac:dyDescent="0.3">
      <c r="A4071">
        <v>344</v>
      </c>
      <c r="B4071" s="5">
        <v>43890</v>
      </c>
      <c r="C4071" t="s">
        <v>10</v>
      </c>
      <c r="D4071">
        <v>90</v>
      </c>
      <c r="E4071">
        <v>505</v>
      </c>
      <c r="F4071" s="5">
        <v>43862</v>
      </c>
      <c r="G4071">
        <v>90</v>
      </c>
      <c r="H4071" t="s">
        <v>57</v>
      </c>
    </row>
    <row r="4072" spans="1:8" x14ac:dyDescent="0.3">
      <c r="A4072">
        <v>344</v>
      </c>
      <c r="B4072" s="5">
        <v>43893</v>
      </c>
      <c r="C4072" t="s">
        <v>12</v>
      </c>
      <c r="D4072">
        <v>981</v>
      </c>
      <c r="E4072">
        <v>-476</v>
      </c>
      <c r="F4072" s="5">
        <v>43891</v>
      </c>
      <c r="G4072">
        <v>-981</v>
      </c>
      <c r="H4072" t="s">
        <v>58</v>
      </c>
    </row>
    <row r="4073" spans="1:8" x14ac:dyDescent="0.3">
      <c r="A4073">
        <v>344</v>
      </c>
      <c r="B4073" s="5">
        <v>43897</v>
      </c>
      <c r="C4073" t="s">
        <v>11</v>
      </c>
      <c r="D4073">
        <v>3</v>
      </c>
      <c r="E4073">
        <v>-479</v>
      </c>
      <c r="F4073" s="5">
        <v>43891</v>
      </c>
      <c r="G4073">
        <v>-3</v>
      </c>
      <c r="H4073" t="s">
        <v>58</v>
      </c>
    </row>
    <row r="4074" spans="1:8" x14ac:dyDescent="0.3">
      <c r="A4074">
        <v>344</v>
      </c>
      <c r="B4074" s="5">
        <v>43902</v>
      </c>
      <c r="C4074" t="s">
        <v>10</v>
      </c>
      <c r="D4074">
        <v>416</v>
      </c>
      <c r="E4074">
        <v>-63</v>
      </c>
      <c r="F4074" s="5">
        <v>43891</v>
      </c>
      <c r="G4074">
        <v>416</v>
      </c>
      <c r="H4074" t="s">
        <v>58</v>
      </c>
    </row>
    <row r="4075" spans="1:8" x14ac:dyDescent="0.3">
      <c r="A4075">
        <v>344</v>
      </c>
      <c r="B4075" s="5">
        <v>43903</v>
      </c>
      <c r="C4075" t="s">
        <v>10</v>
      </c>
      <c r="D4075">
        <v>629</v>
      </c>
      <c r="E4075">
        <v>566</v>
      </c>
      <c r="F4075" s="5">
        <v>43891</v>
      </c>
      <c r="G4075">
        <v>629</v>
      </c>
      <c r="H4075" t="s">
        <v>57</v>
      </c>
    </row>
    <row r="4076" spans="1:8" x14ac:dyDescent="0.3">
      <c r="A4076">
        <v>344</v>
      </c>
      <c r="B4076" s="5">
        <v>43909</v>
      </c>
      <c r="C4076" t="s">
        <v>10</v>
      </c>
      <c r="D4076">
        <v>704</v>
      </c>
      <c r="E4076">
        <v>1270</v>
      </c>
      <c r="F4076" s="5">
        <v>43891</v>
      </c>
      <c r="G4076">
        <v>704</v>
      </c>
      <c r="H4076" t="s">
        <v>57</v>
      </c>
    </row>
    <row r="4077" spans="1:8" x14ac:dyDescent="0.3">
      <c r="A4077">
        <v>344</v>
      </c>
      <c r="B4077" s="5">
        <v>43917</v>
      </c>
      <c r="C4077" t="s">
        <v>10</v>
      </c>
      <c r="D4077">
        <v>308</v>
      </c>
      <c r="E4077">
        <v>1578</v>
      </c>
      <c r="F4077" s="5">
        <v>43891</v>
      </c>
      <c r="G4077">
        <v>308</v>
      </c>
      <c r="H4077" t="s">
        <v>57</v>
      </c>
    </row>
    <row r="4078" spans="1:8" x14ac:dyDescent="0.3">
      <c r="A4078">
        <v>344</v>
      </c>
      <c r="B4078" s="5">
        <v>43917</v>
      </c>
      <c r="C4078" t="s">
        <v>12</v>
      </c>
      <c r="D4078">
        <v>103</v>
      </c>
      <c r="E4078">
        <v>1475</v>
      </c>
      <c r="F4078" s="5">
        <v>43891</v>
      </c>
      <c r="G4078">
        <v>-103</v>
      </c>
      <c r="H4078" t="s">
        <v>57</v>
      </c>
    </row>
    <row r="4079" spans="1:8" x14ac:dyDescent="0.3">
      <c r="A4079">
        <v>345</v>
      </c>
      <c r="B4079" s="5">
        <v>43831</v>
      </c>
      <c r="C4079" t="s">
        <v>11</v>
      </c>
      <c r="D4079">
        <v>964</v>
      </c>
      <c r="E4079">
        <v>-964</v>
      </c>
      <c r="F4079" s="5">
        <v>43831</v>
      </c>
      <c r="G4079">
        <v>-964</v>
      </c>
      <c r="H4079" t="s">
        <v>58</v>
      </c>
    </row>
    <row r="4080" spans="1:8" x14ac:dyDescent="0.3">
      <c r="A4080">
        <v>345</v>
      </c>
      <c r="B4080" s="5">
        <v>43831</v>
      </c>
      <c r="C4080" t="s">
        <v>10</v>
      </c>
      <c r="D4080">
        <v>555</v>
      </c>
      <c r="E4080">
        <v>-409</v>
      </c>
      <c r="F4080" s="5">
        <v>43831</v>
      </c>
      <c r="G4080">
        <v>555</v>
      </c>
      <c r="H4080" t="s">
        <v>58</v>
      </c>
    </row>
    <row r="4081" spans="1:8" x14ac:dyDescent="0.3">
      <c r="A4081">
        <v>345</v>
      </c>
      <c r="B4081" s="5">
        <v>43838</v>
      </c>
      <c r="C4081" t="s">
        <v>11</v>
      </c>
      <c r="D4081">
        <v>289</v>
      </c>
      <c r="E4081">
        <v>-698</v>
      </c>
      <c r="F4081" s="5">
        <v>43831</v>
      </c>
      <c r="G4081">
        <v>-289</v>
      </c>
      <c r="H4081" t="s">
        <v>58</v>
      </c>
    </row>
    <row r="4082" spans="1:8" x14ac:dyDescent="0.3">
      <c r="A4082">
        <v>345</v>
      </c>
      <c r="B4082" s="5">
        <v>43855</v>
      </c>
      <c r="C4082" t="s">
        <v>10</v>
      </c>
      <c r="D4082">
        <v>598</v>
      </c>
      <c r="E4082">
        <v>-100</v>
      </c>
      <c r="F4082" s="5">
        <v>43831</v>
      </c>
      <c r="G4082">
        <v>598</v>
      </c>
      <c r="H4082" t="s">
        <v>58</v>
      </c>
    </row>
    <row r="4083" spans="1:8" x14ac:dyDescent="0.3">
      <c r="A4083">
        <v>345</v>
      </c>
      <c r="B4083" s="5">
        <v>43865</v>
      </c>
      <c r="C4083" t="s">
        <v>11</v>
      </c>
      <c r="D4083">
        <v>550</v>
      </c>
      <c r="E4083">
        <v>-650</v>
      </c>
      <c r="F4083" s="5">
        <v>43862</v>
      </c>
      <c r="G4083">
        <v>-550</v>
      </c>
      <c r="H4083" t="s">
        <v>58</v>
      </c>
    </row>
    <row r="4084" spans="1:8" x14ac:dyDescent="0.3">
      <c r="A4084">
        <v>345</v>
      </c>
      <c r="B4084" s="5">
        <v>43895</v>
      </c>
      <c r="C4084" t="s">
        <v>11</v>
      </c>
      <c r="D4084">
        <v>936</v>
      </c>
      <c r="E4084">
        <v>-1586</v>
      </c>
      <c r="F4084" s="5">
        <v>43891</v>
      </c>
      <c r="G4084">
        <v>-936</v>
      </c>
      <c r="H4084" t="s">
        <v>58</v>
      </c>
    </row>
    <row r="4085" spans="1:8" x14ac:dyDescent="0.3">
      <c r="A4085">
        <v>345</v>
      </c>
      <c r="B4085" s="5">
        <v>43918</v>
      </c>
      <c r="C4085" t="s">
        <v>11</v>
      </c>
      <c r="D4085">
        <v>702</v>
      </c>
      <c r="E4085">
        <v>-2288</v>
      </c>
      <c r="F4085" s="5">
        <v>43891</v>
      </c>
      <c r="G4085">
        <v>-702</v>
      </c>
      <c r="H4085" t="s">
        <v>58</v>
      </c>
    </row>
    <row r="4086" spans="1:8" x14ac:dyDescent="0.3">
      <c r="A4086">
        <v>346</v>
      </c>
      <c r="B4086" s="5">
        <v>43851</v>
      </c>
      <c r="C4086" t="s">
        <v>10</v>
      </c>
      <c r="D4086">
        <v>916</v>
      </c>
      <c r="E4086">
        <v>916</v>
      </c>
      <c r="F4086" s="5">
        <v>43831</v>
      </c>
      <c r="G4086">
        <v>916</v>
      </c>
      <c r="H4086" t="s">
        <v>57</v>
      </c>
    </row>
    <row r="4087" spans="1:8" x14ac:dyDescent="0.3">
      <c r="A4087">
        <v>346</v>
      </c>
      <c r="B4087" s="5">
        <v>43873</v>
      </c>
      <c r="C4087" t="s">
        <v>12</v>
      </c>
      <c r="D4087">
        <v>805</v>
      </c>
      <c r="E4087">
        <v>111</v>
      </c>
      <c r="F4087" s="5">
        <v>43862</v>
      </c>
      <c r="G4087">
        <v>-805</v>
      </c>
      <c r="H4087" t="s">
        <v>57</v>
      </c>
    </row>
    <row r="4088" spans="1:8" x14ac:dyDescent="0.3">
      <c r="A4088">
        <v>346</v>
      </c>
      <c r="B4088" s="5">
        <v>43875</v>
      </c>
      <c r="C4088" t="s">
        <v>12</v>
      </c>
      <c r="D4088">
        <v>563</v>
      </c>
      <c r="E4088">
        <v>-452</v>
      </c>
      <c r="F4088" s="5">
        <v>43862</v>
      </c>
      <c r="G4088">
        <v>-563</v>
      </c>
      <c r="H4088" t="s">
        <v>58</v>
      </c>
    </row>
    <row r="4089" spans="1:8" x14ac:dyDescent="0.3">
      <c r="A4089">
        <v>346</v>
      </c>
      <c r="B4089" s="5">
        <v>43884</v>
      </c>
      <c r="C4089" t="s">
        <v>12</v>
      </c>
      <c r="D4089">
        <v>600</v>
      </c>
      <c r="E4089">
        <v>-1052</v>
      </c>
      <c r="F4089" s="5">
        <v>43862</v>
      </c>
      <c r="G4089">
        <v>-600</v>
      </c>
      <c r="H4089" t="s">
        <v>58</v>
      </c>
    </row>
    <row r="4090" spans="1:8" x14ac:dyDescent="0.3">
      <c r="A4090">
        <v>346</v>
      </c>
      <c r="B4090" s="5">
        <v>43922</v>
      </c>
      <c r="C4090" t="s">
        <v>12</v>
      </c>
      <c r="D4090">
        <v>790</v>
      </c>
      <c r="E4090">
        <v>-1842</v>
      </c>
      <c r="F4090" s="5">
        <v>43922</v>
      </c>
      <c r="G4090">
        <v>-790</v>
      </c>
      <c r="H4090" t="s">
        <v>58</v>
      </c>
    </row>
    <row r="4091" spans="1:8" x14ac:dyDescent="0.3">
      <c r="A4091">
        <v>346</v>
      </c>
      <c r="B4091" s="5">
        <v>43923</v>
      </c>
      <c r="C4091" t="s">
        <v>12</v>
      </c>
      <c r="D4091">
        <v>124</v>
      </c>
      <c r="E4091">
        <v>-1966</v>
      </c>
      <c r="F4091" s="5">
        <v>43922</v>
      </c>
      <c r="G4091">
        <v>-124</v>
      </c>
      <c r="H4091" t="s">
        <v>58</v>
      </c>
    </row>
    <row r="4092" spans="1:8" x14ac:dyDescent="0.3">
      <c r="A4092">
        <v>346</v>
      </c>
      <c r="B4092" s="5">
        <v>43923</v>
      </c>
      <c r="C4092" t="s">
        <v>10</v>
      </c>
      <c r="D4092">
        <v>538</v>
      </c>
      <c r="E4092">
        <v>-1428</v>
      </c>
      <c r="F4092" s="5">
        <v>43922</v>
      </c>
      <c r="G4092">
        <v>538</v>
      </c>
      <c r="H4092" t="s">
        <v>58</v>
      </c>
    </row>
    <row r="4093" spans="1:8" x14ac:dyDescent="0.3">
      <c r="A4093">
        <v>346</v>
      </c>
      <c r="B4093" s="5">
        <v>43924</v>
      </c>
      <c r="C4093" t="s">
        <v>10</v>
      </c>
      <c r="D4093">
        <v>605</v>
      </c>
      <c r="E4093">
        <v>-823</v>
      </c>
      <c r="F4093" s="5">
        <v>43922</v>
      </c>
      <c r="G4093">
        <v>605</v>
      </c>
      <c r="H4093" t="s">
        <v>58</v>
      </c>
    </row>
    <row r="4094" spans="1:8" x14ac:dyDescent="0.3">
      <c r="A4094">
        <v>346</v>
      </c>
      <c r="B4094" s="5">
        <v>43924</v>
      </c>
      <c r="C4094" t="s">
        <v>11</v>
      </c>
      <c r="D4094">
        <v>993</v>
      </c>
      <c r="E4094">
        <v>-1816</v>
      </c>
      <c r="F4094" s="5">
        <v>43922</v>
      </c>
      <c r="G4094">
        <v>-993</v>
      </c>
      <c r="H4094" t="s">
        <v>58</v>
      </c>
    </row>
    <row r="4095" spans="1:8" x14ac:dyDescent="0.3">
      <c r="A4095">
        <v>346</v>
      </c>
      <c r="B4095" s="5">
        <v>43925</v>
      </c>
      <c r="C4095" t="s">
        <v>10</v>
      </c>
      <c r="D4095">
        <v>91</v>
      </c>
      <c r="E4095">
        <v>-1725</v>
      </c>
      <c r="F4095" s="5">
        <v>43922</v>
      </c>
      <c r="G4095">
        <v>91</v>
      </c>
      <c r="H4095" t="s">
        <v>58</v>
      </c>
    </row>
    <row r="4096" spans="1:8" x14ac:dyDescent="0.3">
      <c r="A4096">
        <v>346</v>
      </c>
      <c r="B4096" s="5">
        <v>43925</v>
      </c>
      <c r="C4096" t="s">
        <v>12</v>
      </c>
      <c r="D4096">
        <v>440</v>
      </c>
      <c r="E4096">
        <v>-2165</v>
      </c>
      <c r="F4096" s="5">
        <v>43922</v>
      </c>
      <c r="G4096">
        <v>-440</v>
      </c>
      <c r="H4096" t="s">
        <v>58</v>
      </c>
    </row>
    <row r="4097" spans="1:8" x14ac:dyDescent="0.3">
      <c r="A4097">
        <v>346</v>
      </c>
      <c r="B4097" s="5">
        <v>43930</v>
      </c>
      <c r="C4097" t="s">
        <v>12</v>
      </c>
      <c r="D4097">
        <v>505</v>
      </c>
      <c r="E4097">
        <v>-2670</v>
      </c>
      <c r="F4097" s="5">
        <v>43922</v>
      </c>
      <c r="G4097">
        <v>-505</v>
      </c>
      <c r="H4097" t="s">
        <v>58</v>
      </c>
    </row>
    <row r="4098" spans="1:8" x14ac:dyDescent="0.3">
      <c r="A4098">
        <v>346</v>
      </c>
      <c r="B4098" s="5">
        <v>43936</v>
      </c>
      <c r="C4098" t="s">
        <v>12</v>
      </c>
      <c r="D4098">
        <v>850</v>
      </c>
      <c r="E4098">
        <v>-3520</v>
      </c>
      <c r="F4098" s="5">
        <v>43922</v>
      </c>
      <c r="G4098">
        <v>-850</v>
      </c>
      <c r="H4098" t="s">
        <v>58</v>
      </c>
    </row>
    <row r="4099" spans="1:8" x14ac:dyDescent="0.3">
      <c r="A4099">
        <v>346</v>
      </c>
      <c r="B4099" s="5">
        <v>43939</v>
      </c>
      <c r="C4099" t="s">
        <v>11</v>
      </c>
      <c r="D4099">
        <v>282</v>
      </c>
      <c r="E4099">
        <v>-3802</v>
      </c>
      <c r="F4099" s="5">
        <v>43922</v>
      </c>
      <c r="G4099">
        <v>-282</v>
      </c>
      <c r="H4099" t="s">
        <v>58</v>
      </c>
    </row>
    <row r="4100" spans="1:8" x14ac:dyDescent="0.3">
      <c r="A4100">
        <v>347</v>
      </c>
      <c r="B4100" s="5">
        <v>43834</v>
      </c>
      <c r="C4100" t="s">
        <v>10</v>
      </c>
      <c r="D4100">
        <v>626</v>
      </c>
      <c r="E4100">
        <v>626</v>
      </c>
      <c r="F4100" s="5">
        <v>43831</v>
      </c>
      <c r="G4100">
        <v>626</v>
      </c>
      <c r="H4100" t="s">
        <v>57</v>
      </c>
    </row>
    <row r="4101" spans="1:8" x14ac:dyDescent="0.3">
      <c r="A4101">
        <v>347</v>
      </c>
      <c r="B4101" s="5">
        <v>43843</v>
      </c>
      <c r="C4101" t="s">
        <v>11</v>
      </c>
      <c r="D4101">
        <v>232</v>
      </c>
      <c r="E4101">
        <v>394</v>
      </c>
      <c r="F4101" s="5">
        <v>43831</v>
      </c>
      <c r="G4101">
        <v>-232</v>
      </c>
      <c r="H4101" t="s">
        <v>57</v>
      </c>
    </row>
    <row r="4102" spans="1:8" x14ac:dyDescent="0.3">
      <c r="A4102">
        <v>347</v>
      </c>
      <c r="B4102" s="5">
        <v>43884</v>
      </c>
      <c r="C4102" t="s">
        <v>12</v>
      </c>
      <c r="D4102">
        <v>942</v>
      </c>
      <c r="E4102">
        <v>-548</v>
      </c>
      <c r="F4102" s="5">
        <v>43862</v>
      </c>
      <c r="G4102">
        <v>-942</v>
      </c>
      <c r="H4102" t="s">
        <v>58</v>
      </c>
    </row>
    <row r="4103" spans="1:8" x14ac:dyDescent="0.3">
      <c r="A4103">
        <v>347</v>
      </c>
      <c r="B4103" s="5">
        <v>43890</v>
      </c>
      <c r="C4103" t="s">
        <v>12</v>
      </c>
      <c r="D4103">
        <v>227</v>
      </c>
      <c r="E4103">
        <v>-775</v>
      </c>
      <c r="F4103" s="5">
        <v>43862</v>
      </c>
      <c r="G4103">
        <v>-227</v>
      </c>
      <c r="H4103" t="s">
        <v>58</v>
      </c>
    </row>
    <row r="4104" spans="1:8" x14ac:dyDescent="0.3">
      <c r="A4104">
        <v>347</v>
      </c>
      <c r="B4104" s="5">
        <v>43896</v>
      </c>
      <c r="C4104" t="s">
        <v>12</v>
      </c>
      <c r="D4104">
        <v>194</v>
      </c>
      <c r="E4104">
        <v>-969</v>
      </c>
      <c r="F4104" s="5">
        <v>43891</v>
      </c>
      <c r="G4104">
        <v>-194</v>
      </c>
      <c r="H4104" t="s">
        <v>58</v>
      </c>
    </row>
    <row r="4105" spans="1:8" x14ac:dyDescent="0.3">
      <c r="A4105">
        <v>347</v>
      </c>
      <c r="B4105" s="5">
        <v>43906</v>
      </c>
      <c r="C4105" t="s">
        <v>10</v>
      </c>
      <c r="D4105">
        <v>68</v>
      </c>
      <c r="E4105">
        <v>-901</v>
      </c>
      <c r="F4105" s="5">
        <v>43891</v>
      </c>
      <c r="G4105">
        <v>68</v>
      </c>
      <c r="H4105" t="s">
        <v>58</v>
      </c>
    </row>
    <row r="4106" spans="1:8" x14ac:dyDescent="0.3">
      <c r="A4106">
        <v>347</v>
      </c>
      <c r="B4106" s="5">
        <v>43910</v>
      </c>
      <c r="C4106" t="s">
        <v>11</v>
      </c>
      <c r="D4106">
        <v>737</v>
      </c>
      <c r="E4106">
        <v>-1638</v>
      </c>
      <c r="F4106" s="5">
        <v>43891</v>
      </c>
      <c r="G4106">
        <v>-737</v>
      </c>
      <c r="H4106" t="s">
        <v>58</v>
      </c>
    </row>
    <row r="4107" spans="1:8" x14ac:dyDescent="0.3">
      <c r="A4107">
        <v>347</v>
      </c>
      <c r="B4107" s="5">
        <v>43914</v>
      </c>
      <c r="C4107" t="s">
        <v>11</v>
      </c>
      <c r="D4107">
        <v>705</v>
      </c>
      <c r="E4107">
        <v>-2343</v>
      </c>
      <c r="F4107" s="5">
        <v>43891</v>
      </c>
      <c r="G4107">
        <v>-705</v>
      </c>
      <c r="H4107" t="s">
        <v>58</v>
      </c>
    </row>
    <row r="4108" spans="1:8" x14ac:dyDescent="0.3">
      <c r="A4108">
        <v>347</v>
      </c>
      <c r="B4108" s="5">
        <v>43914</v>
      </c>
      <c r="C4108" t="s">
        <v>10</v>
      </c>
      <c r="D4108">
        <v>970</v>
      </c>
      <c r="E4108">
        <v>-1373</v>
      </c>
      <c r="F4108" s="5">
        <v>43891</v>
      </c>
      <c r="G4108">
        <v>970</v>
      </c>
      <c r="H4108" t="s">
        <v>58</v>
      </c>
    </row>
    <row r="4109" spans="1:8" x14ac:dyDescent="0.3">
      <c r="A4109">
        <v>347</v>
      </c>
      <c r="B4109" s="5">
        <v>43921</v>
      </c>
      <c r="C4109" t="s">
        <v>11</v>
      </c>
      <c r="D4109">
        <v>395</v>
      </c>
      <c r="E4109">
        <v>-1768</v>
      </c>
      <c r="F4109" s="5">
        <v>43891</v>
      </c>
      <c r="G4109">
        <v>-395</v>
      </c>
      <c r="H4109" t="s">
        <v>58</v>
      </c>
    </row>
    <row r="4110" spans="1:8" x14ac:dyDescent="0.3">
      <c r="A4110">
        <v>348</v>
      </c>
      <c r="B4110" s="5">
        <v>43852</v>
      </c>
      <c r="C4110" t="s">
        <v>10</v>
      </c>
      <c r="D4110">
        <v>26</v>
      </c>
      <c r="E4110">
        <v>26</v>
      </c>
      <c r="F4110" s="5">
        <v>43831</v>
      </c>
      <c r="G4110">
        <v>26</v>
      </c>
      <c r="H4110" t="s">
        <v>57</v>
      </c>
    </row>
    <row r="4111" spans="1:8" x14ac:dyDescent="0.3">
      <c r="A4111">
        <v>348</v>
      </c>
      <c r="B4111" s="5">
        <v>43860</v>
      </c>
      <c r="C4111" t="s">
        <v>11</v>
      </c>
      <c r="D4111">
        <v>797</v>
      </c>
      <c r="E4111">
        <v>-771</v>
      </c>
      <c r="F4111" s="5">
        <v>43831</v>
      </c>
      <c r="G4111">
        <v>-797</v>
      </c>
      <c r="H4111" t="s">
        <v>58</v>
      </c>
    </row>
    <row r="4112" spans="1:8" x14ac:dyDescent="0.3">
      <c r="A4112">
        <v>348</v>
      </c>
      <c r="B4112" s="5">
        <v>43867</v>
      </c>
      <c r="C4112" t="s">
        <v>10</v>
      </c>
      <c r="D4112">
        <v>885</v>
      </c>
      <c r="E4112">
        <v>114</v>
      </c>
      <c r="F4112" s="5">
        <v>43862</v>
      </c>
      <c r="G4112">
        <v>885</v>
      </c>
      <c r="H4112" t="s">
        <v>57</v>
      </c>
    </row>
    <row r="4113" spans="1:8" x14ac:dyDescent="0.3">
      <c r="A4113">
        <v>348</v>
      </c>
      <c r="B4113" s="5">
        <v>43902</v>
      </c>
      <c r="C4113" t="s">
        <v>10</v>
      </c>
      <c r="D4113">
        <v>454</v>
      </c>
      <c r="E4113">
        <v>568</v>
      </c>
      <c r="F4113" s="5">
        <v>43891</v>
      </c>
      <c r="G4113">
        <v>454</v>
      </c>
      <c r="H4113" t="s">
        <v>57</v>
      </c>
    </row>
    <row r="4114" spans="1:8" x14ac:dyDescent="0.3">
      <c r="A4114">
        <v>348</v>
      </c>
      <c r="B4114" s="5">
        <v>43903</v>
      </c>
      <c r="C4114" t="s">
        <v>12</v>
      </c>
      <c r="D4114">
        <v>468</v>
      </c>
      <c r="E4114">
        <v>100</v>
      </c>
      <c r="F4114" s="5">
        <v>43891</v>
      </c>
      <c r="G4114">
        <v>-468</v>
      </c>
      <c r="H4114" t="s">
        <v>57</v>
      </c>
    </row>
    <row r="4115" spans="1:8" x14ac:dyDescent="0.3">
      <c r="A4115">
        <v>348</v>
      </c>
      <c r="B4115" s="5">
        <v>43906</v>
      </c>
      <c r="C4115" t="s">
        <v>11</v>
      </c>
      <c r="D4115">
        <v>255</v>
      </c>
      <c r="E4115">
        <v>-155</v>
      </c>
      <c r="F4115" s="5">
        <v>43891</v>
      </c>
      <c r="G4115">
        <v>-255</v>
      </c>
      <c r="H4115" t="s">
        <v>58</v>
      </c>
    </row>
    <row r="4116" spans="1:8" x14ac:dyDescent="0.3">
      <c r="A4116">
        <v>348</v>
      </c>
      <c r="B4116" s="5">
        <v>43935</v>
      </c>
      <c r="C4116" t="s">
        <v>10</v>
      </c>
      <c r="D4116">
        <v>329</v>
      </c>
      <c r="E4116">
        <v>174</v>
      </c>
      <c r="F4116" s="5">
        <v>43922</v>
      </c>
      <c r="G4116">
        <v>329</v>
      </c>
      <c r="H4116" t="s">
        <v>57</v>
      </c>
    </row>
    <row r="4117" spans="1:8" x14ac:dyDescent="0.3">
      <c r="A4117">
        <v>348</v>
      </c>
      <c r="B4117" s="5">
        <v>43936</v>
      </c>
      <c r="C4117" t="s">
        <v>10</v>
      </c>
      <c r="D4117">
        <v>719</v>
      </c>
      <c r="E4117">
        <v>893</v>
      </c>
      <c r="F4117" s="5">
        <v>43922</v>
      </c>
      <c r="G4117">
        <v>719</v>
      </c>
      <c r="H4117" t="s">
        <v>57</v>
      </c>
    </row>
    <row r="4118" spans="1:8" x14ac:dyDescent="0.3">
      <c r="A4118">
        <v>348</v>
      </c>
      <c r="B4118" s="5">
        <v>43937</v>
      </c>
      <c r="C4118" t="s">
        <v>11</v>
      </c>
      <c r="D4118">
        <v>845</v>
      </c>
      <c r="E4118">
        <v>48</v>
      </c>
      <c r="F4118" s="5">
        <v>43922</v>
      </c>
      <c r="G4118">
        <v>-845</v>
      </c>
      <c r="H4118" t="s">
        <v>57</v>
      </c>
    </row>
    <row r="4119" spans="1:8" x14ac:dyDescent="0.3">
      <c r="A4119">
        <v>349</v>
      </c>
      <c r="B4119" s="5">
        <v>43847</v>
      </c>
      <c r="C4119" t="s">
        <v>10</v>
      </c>
      <c r="D4119">
        <v>573</v>
      </c>
      <c r="E4119">
        <v>573</v>
      </c>
      <c r="F4119" s="5">
        <v>43831</v>
      </c>
      <c r="G4119">
        <v>573</v>
      </c>
      <c r="H4119" t="s">
        <v>57</v>
      </c>
    </row>
    <row r="4120" spans="1:8" x14ac:dyDescent="0.3">
      <c r="A4120">
        <v>349</v>
      </c>
      <c r="B4120" s="5">
        <v>43848</v>
      </c>
      <c r="C4120" t="s">
        <v>11</v>
      </c>
      <c r="D4120">
        <v>981</v>
      </c>
      <c r="E4120">
        <v>-408</v>
      </c>
      <c r="F4120" s="5">
        <v>43831</v>
      </c>
      <c r="G4120">
        <v>-981</v>
      </c>
      <c r="H4120" t="s">
        <v>58</v>
      </c>
    </row>
    <row r="4121" spans="1:8" x14ac:dyDescent="0.3">
      <c r="A4121">
        <v>349</v>
      </c>
      <c r="B4121" s="5">
        <v>43861</v>
      </c>
      <c r="C4121" t="s">
        <v>12</v>
      </c>
      <c r="D4121">
        <v>436</v>
      </c>
      <c r="E4121">
        <v>-844</v>
      </c>
      <c r="F4121" s="5">
        <v>43831</v>
      </c>
      <c r="G4121">
        <v>-436</v>
      </c>
      <c r="H4121" t="s">
        <v>58</v>
      </c>
    </row>
    <row r="4122" spans="1:8" x14ac:dyDescent="0.3">
      <c r="A4122">
        <v>349</v>
      </c>
      <c r="B4122" s="5">
        <v>43862</v>
      </c>
      <c r="C4122" t="s">
        <v>10</v>
      </c>
      <c r="D4122">
        <v>498</v>
      </c>
      <c r="E4122">
        <v>-346</v>
      </c>
      <c r="F4122" s="5">
        <v>43862</v>
      </c>
      <c r="G4122">
        <v>498</v>
      </c>
      <c r="H4122" t="s">
        <v>58</v>
      </c>
    </row>
    <row r="4123" spans="1:8" x14ac:dyDescent="0.3">
      <c r="A4123">
        <v>349</v>
      </c>
      <c r="B4123" s="5">
        <v>43869</v>
      </c>
      <c r="C4123" t="s">
        <v>10</v>
      </c>
      <c r="D4123">
        <v>362</v>
      </c>
      <c r="E4123">
        <v>16</v>
      </c>
      <c r="F4123" s="5">
        <v>43862</v>
      </c>
      <c r="G4123">
        <v>362</v>
      </c>
      <c r="H4123" t="s">
        <v>57</v>
      </c>
    </row>
    <row r="4124" spans="1:8" x14ac:dyDescent="0.3">
      <c r="A4124">
        <v>349</v>
      </c>
      <c r="B4124" s="5">
        <v>43876</v>
      </c>
      <c r="C4124" t="s">
        <v>11</v>
      </c>
      <c r="D4124">
        <v>171</v>
      </c>
      <c r="E4124">
        <v>-155</v>
      </c>
      <c r="F4124" s="5">
        <v>43862</v>
      </c>
      <c r="G4124">
        <v>-171</v>
      </c>
      <c r="H4124" t="s">
        <v>58</v>
      </c>
    </row>
    <row r="4125" spans="1:8" x14ac:dyDescent="0.3">
      <c r="A4125">
        <v>349</v>
      </c>
      <c r="B4125" s="5">
        <v>43887</v>
      </c>
      <c r="C4125" t="s">
        <v>12</v>
      </c>
      <c r="D4125">
        <v>885</v>
      </c>
      <c r="E4125">
        <v>-1040</v>
      </c>
      <c r="F4125" s="5">
        <v>43862</v>
      </c>
      <c r="G4125">
        <v>-885</v>
      </c>
      <c r="H4125" t="s">
        <v>58</v>
      </c>
    </row>
    <row r="4126" spans="1:8" x14ac:dyDescent="0.3">
      <c r="A4126">
        <v>349</v>
      </c>
      <c r="B4126" s="5">
        <v>43892</v>
      </c>
      <c r="C4126" t="s">
        <v>10</v>
      </c>
      <c r="D4126">
        <v>49</v>
      </c>
      <c r="E4126">
        <v>-991</v>
      </c>
      <c r="F4126" s="5">
        <v>43891</v>
      </c>
      <c r="G4126">
        <v>49</v>
      </c>
      <c r="H4126" t="s">
        <v>58</v>
      </c>
    </row>
    <row r="4127" spans="1:8" x14ac:dyDescent="0.3">
      <c r="A4127">
        <v>349</v>
      </c>
      <c r="B4127" s="5">
        <v>43893</v>
      </c>
      <c r="C4127" t="s">
        <v>10</v>
      </c>
      <c r="D4127">
        <v>747</v>
      </c>
      <c r="E4127">
        <v>-244</v>
      </c>
      <c r="F4127" s="5">
        <v>43891</v>
      </c>
      <c r="G4127">
        <v>747</v>
      </c>
      <c r="H4127" t="s">
        <v>58</v>
      </c>
    </row>
    <row r="4128" spans="1:8" x14ac:dyDescent="0.3">
      <c r="A4128">
        <v>349</v>
      </c>
      <c r="B4128" s="5">
        <v>43900</v>
      </c>
      <c r="C4128" t="s">
        <v>12</v>
      </c>
      <c r="D4128">
        <v>818</v>
      </c>
      <c r="E4128">
        <v>-1062</v>
      </c>
      <c r="F4128" s="5">
        <v>43891</v>
      </c>
      <c r="G4128">
        <v>-818</v>
      </c>
      <c r="H4128" t="s">
        <v>58</v>
      </c>
    </row>
    <row r="4129" spans="1:8" x14ac:dyDescent="0.3">
      <c r="A4129">
        <v>349</v>
      </c>
      <c r="B4129" s="5">
        <v>43910</v>
      </c>
      <c r="C4129" t="s">
        <v>10</v>
      </c>
      <c r="D4129">
        <v>934</v>
      </c>
      <c r="E4129">
        <v>-128</v>
      </c>
      <c r="F4129" s="5">
        <v>43891</v>
      </c>
      <c r="G4129">
        <v>934</v>
      </c>
      <c r="H4129" t="s">
        <v>58</v>
      </c>
    </row>
    <row r="4130" spans="1:8" x14ac:dyDescent="0.3">
      <c r="A4130">
        <v>349</v>
      </c>
      <c r="B4130" s="5">
        <v>43917</v>
      </c>
      <c r="C4130" t="s">
        <v>12</v>
      </c>
      <c r="D4130">
        <v>109</v>
      </c>
      <c r="E4130">
        <v>-237</v>
      </c>
      <c r="F4130" s="5">
        <v>43891</v>
      </c>
      <c r="G4130">
        <v>-109</v>
      </c>
      <c r="H4130" t="s">
        <v>58</v>
      </c>
    </row>
    <row r="4131" spans="1:8" x14ac:dyDescent="0.3">
      <c r="A4131">
        <v>349</v>
      </c>
      <c r="B4131" s="5">
        <v>43917</v>
      </c>
      <c r="C4131" t="s">
        <v>10</v>
      </c>
      <c r="D4131">
        <v>881</v>
      </c>
      <c r="E4131">
        <v>644</v>
      </c>
      <c r="F4131" s="5">
        <v>43891</v>
      </c>
      <c r="G4131">
        <v>881</v>
      </c>
      <c r="H4131" t="s">
        <v>57</v>
      </c>
    </row>
    <row r="4132" spans="1:8" x14ac:dyDescent="0.3">
      <c r="A4132">
        <v>349</v>
      </c>
      <c r="B4132" s="5">
        <v>43918</v>
      </c>
      <c r="C4132" t="s">
        <v>10</v>
      </c>
      <c r="D4132">
        <v>665</v>
      </c>
      <c r="E4132">
        <v>1309</v>
      </c>
      <c r="F4132" s="5">
        <v>43891</v>
      </c>
      <c r="G4132">
        <v>665</v>
      </c>
      <c r="H4132" t="s">
        <v>57</v>
      </c>
    </row>
    <row r="4133" spans="1:8" x14ac:dyDescent="0.3">
      <c r="A4133">
        <v>349</v>
      </c>
      <c r="B4133" s="5">
        <v>43924</v>
      </c>
      <c r="C4133" t="s">
        <v>10</v>
      </c>
      <c r="D4133">
        <v>110</v>
      </c>
      <c r="E4133">
        <v>1419</v>
      </c>
      <c r="F4133" s="5">
        <v>43922</v>
      </c>
      <c r="G4133">
        <v>110</v>
      </c>
      <c r="H4133" t="s">
        <v>57</v>
      </c>
    </row>
    <row r="4134" spans="1:8" x14ac:dyDescent="0.3">
      <c r="A4134">
        <v>349</v>
      </c>
      <c r="B4134" s="5">
        <v>43935</v>
      </c>
      <c r="C4134" t="s">
        <v>10</v>
      </c>
      <c r="D4134">
        <v>545</v>
      </c>
      <c r="E4134">
        <v>1964</v>
      </c>
      <c r="F4134" s="5">
        <v>43922</v>
      </c>
      <c r="G4134">
        <v>545</v>
      </c>
      <c r="H4134" t="s">
        <v>57</v>
      </c>
    </row>
    <row r="4135" spans="1:8" x14ac:dyDescent="0.3">
      <c r="A4135">
        <v>350</v>
      </c>
      <c r="B4135" s="5">
        <v>43843</v>
      </c>
      <c r="C4135" t="s">
        <v>10</v>
      </c>
      <c r="D4135">
        <v>167</v>
      </c>
      <c r="E4135">
        <v>167</v>
      </c>
      <c r="F4135" s="5">
        <v>43831</v>
      </c>
      <c r="G4135">
        <v>167</v>
      </c>
      <c r="H4135" t="s">
        <v>57</v>
      </c>
    </row>
    <row r="4136" spans="1:8" x14ac:dyDescent="0.3">
      <c r="A4136">
        <v>350</v>
      </c>
      <c r="B4136" s="5">
        <v>43848</v>
      </c>
      <c r="C4136" t="s">
        <v>10</v>
      </c>
      <c r="D4136">
        <v>726</v>
      </c>
      <c r="E4136">
        <v>893</v>
      </c>
      <c r="F4136" s="5">
        <v>43831</v>
      </c>
      <c r="G4136">
        <v>726</v>
      </c>
      <c r="H4136" t="s">
        <v>57</v>
      </c>
    </row>
    <row r="4137" spans="1:8" x14ac:dyDescent="0.3">
      <c r="A4137">
        <v>350</v>
      </c>
      <c r="B4137" s="5">
        <v>43853</v>
      </c>
      <c r="C4137" t="s">
        <v>10</v>
      </c>
      <c r="D4137">
        <v>924</v>
      </c>
      <c r="E4137">
        <v>1817</v>
      </c>
      <c r="F4137" s="5">
        <v>43831</v>
      </c>
      <c r="G4137">
        <v>924</v>
      </c>
      <c r="H4137" t="s">
        <v>57</v>
      </c>
    </row>
    <row r="4138" spans="1:8" x14ac:dyDescent="0.3">
      <c r="A4138">
        <v>350</v>
      </c>
      <c r="B4138" s="5">
        <v>43857</v>
      </c>
      <c r="C4138" t="s">
        <v>10</v>
      </c>
      <c r="D4138">
        <v>383</v>
      </c>
      <c r="E4138">
        <v>2200</v>
      </c>
      <c r="F4138" s="5">
        <v>43831</v>
      </c>
      <c r="G4138">
        <v>383</v>
      </c>
      <c r="H4138" t="s">
        <v>57</v>
      </c>
    </row>
    <row r="4139" spans="1:8" x14ac:dyDescent="0.3">
      <c r="A4139">
        <v>350</v>
      </c>
      <c r="B4139" s="5">
        <v>43863</v>
      </c>
      <c r="C4139" t="s">
        <v>11</v>
      </c>
      <c r="D4139">
        <v>440</v>
      </c>
      <c r="E4139">
        <v>1760</v>
      </c>
      <c r="F4139" s="5">
        <v>43862</v>
      </c>
      <c r="G4139">
        <v>-440</v>
      </c>
      <c r="H4139" t="s">
        <v>57</v>
      </c>
    </row>
    <row r="4140" spans="1:8" x14ac:dyDescent="0.3">
      <c r="A4140">
        <v>350</v>
      </c>
      <c r="B4140" s="5">
        <v>43873</v>
      </c>
      <c r="C4140" t="s">
        <v>10</v>
      </c>
      <c r="D4140">
        <v>261</v>
      </c>
      <c r="E4140">
        <v>2021</v>
      </c>
      <c r="F4140" s="5">
        <v>43862</v>
      </c>
      <c r="G4140">
        <v>261</v>
      </c>
      <c r="H4140" t="s">
        <v>57</v>
      </c>
    </row>
    <row r="4141" spans="1:8" x14ac:dyDescent="0.3">
      <c r="A4141">
        <v>350</v>
      </c>
      <c r="B4141" s="5">
        <v>43874</v>
      </c>
      <c r="C4141" t="s">
        <v>12</v>
      </c>
      <c r="D4141">
        <v>165</v>
      </c>
      <c r="E4141">
        <v>1856</v>
      </c>
      <c r="F4141" s="5">
        <v>43862</v>
      </c>
      <c r="G4141">
        <v>-165</v>
      </c>
      <c r="H4141" t="s">
        <v>57</v>
      </c>
    </row>
    <row r="4142" spans="1:8" x14ac:dyDescent="0.3">
      <c r="A4142">
        <v>350</v>
      </c>
      <c r="B4142" s="5">
        <v>43874</v>
      </c>
      <c r="C4142" t="s">
        <v>12</v>
      </c>
      <c r="D4142">
        <v>149</v>
      </c>
      <c r="E4142">
        <v>1707</v>
      </c>
      <c r="F4142" s="5">
        <v>43862</v>
      </c>
      <c r="G4142">
        <v>-149</v>
      </c>
      <c r="H4142" t="s">
        <v>57</v>
      </c>
    </row>
    <row r="4143" spans="1:8" x14ac:dyDescent="0.3">
      <c r="A4143">
        <v>350</v>
      </c>
      <c r="B4143" s="5">
        <v>43877</v>
      </c>
      <c r="C4143" t="s">
        <v>11</v>
      </c>
      <c r="D4143">
        <v>144</v>
      </c>
      <c r="E4143">
        <v>1563</v>
      </c>
      <c r="F4143" s="5">
        <v>43862</v>
      </c>
      <c r="G4143">
        <v>-144</v>
      </c>
      <c r="H4143" t="s">
        <v>57</v>
      </c>
    </row>
    <row r="4144" spans="1:8" x14ac:dyDescent="0.3">
      <c r="A4144">
        <v>350</v>
      </c>
      <c r="B4144" s="5">
        <v>43889</v>
      </c>
      <c r="C4144" t="s">
        <v>12</v>
      </c>
      <c r="D4144">
        <v>483</v>
      </c>
      <c r="E4144">
        <v>1080</v>
      </c>
      <c r="F4144" s="5">
        <v>43862</v>
      </c>
      <c r="G4144">
        <v>-483</v>
      </c>
      <c r="H4144" t="s">
        <v>57</v>
      </c>
    </row>
    <row r="4145" spans="1:8" x14ac:dyDescent="0.3">
      <c r="A4145">
        <v>350</v>
      </c>
      <c r="B4145" s="5">
        <v>43892</v>
      </c>
      <c r="C4145" t="s">
        <v>12</v>
      </c>
      <c r="D4145">
        <v>352</v>
      </c>
      <c r="E4145">
        <v>728</v>
      </c>
      <c r="F4145" s="5">
        <v>43891</v>
      </c>
      <c r="G4145">
        <v>-352</v>
      </c>
      <c r="H4145" t="s">
        <v>57</v>
      </c>
    </row>
    <row r="4146" spans="1:8" x14ac:dyDescent="0.3">
      <c r="A4146">
        <v>350</v>
      </c>
      <c r="B4146" s="5">
        <v>43895</v>
      </c>
      <c r="C4146" t="s">
        <v>11</v>
      </c>
      <c r="D4146">
        <v>171</v>
      </c>
      <c r="E4146">
        <v>557</v>
      </c>
      <c r="F4146" s="5">
        <v>43891</v>
      </c>
      <c r="G4146">
        <v>-171</v>
      </c>
      <c r="H4146" t="s">
        <v>57</v>
      </c>
    </row>
    <row r="4147" spans="1:8" x14ac:dyDescent="0.3">
      <c r="A4147">
        <v>350</v>
      </c>
      <c r="B4147" s="5">
        <v>43906</v>
      </c>
      <c r="C4147" t="s">
        <v>10</v>
      </c>
      <c r="D4147">
        <v>154</v>
      </c>
      <c r="E4147">
        <v>711</v>
      </c>
      <c r="F4147" s="5">
        <v>43891</v>
      </c>
      <c r="G4147">
        <v>154</v>
      </c>
      <c r="H4147" t="s">
        <v>57</v>
      </c>
    </row>
    <row r="4148" spans="1:8" x14ac:dyDescent="0.3">
      <c r="A4148">
        <v>350</v>
      </c>
      <c r="B4148" s="5">
        <v>43913</v>
      </c>
      <c r="C4148" t="s">
        <v>11</v>
      </c>
      <c r="D4148">
        <v>947</v>
      </c>
      <c r="E4148">
        <v>-236</v>
      </c>
      <c r="F4148" s="5">
        <v>43891</v>
      </c>
      <c r="G4148">
        <v>-947</v>
      </c>
      <c r="H4148" t="s">
        <v>58</v>
      </c>
    </row>
    <row r="4149" spans="1:8" x14ac:dyDescent="0.3">
      <c r="A4149">
        <v>350</v>
      </c>
      <c r="B4149" s="5">
        <v>43913</v>
      </c>
      <c r="C4149" t="s">
        <v>10</v>
      </c>
      <c r="D4149">
        <v>724</v>
      </c>
      <c r="E4149">
        <v>488</v>
      </c>
      <c r="F4149" s="5">
        <v>43891</v>
      </c>
      <c r="G4149">
        <v>724</v>
      </c>
      <c r="H4149" t="s">
        <v>57</v>
      </c>
    </row>
    <row r="4150" spans="1:8" x14ac:dyDescent="0.3">
      <c r="A4150">
        <v>350</v>
      </c>
      <c r="B4150" s="5">
        <v>43917</v>
      </c>
      <c r="C4150" t="s">
        <v>11</v>
      </c>
      <c r="D4150">
        <v>662</v>
      </c>
      <c r="E4150">
        <v>-174</v>
      </c>
      <c r="F4150" s="5">
        <v>43891</v>
      </c>
      <c r="G4150">
        <v>-662</v>
      </c>
      <c r="H4150" t="s">
        <v>58</v>
      </c>
    </row>
    <row r="4151" spans="1:8" x14ac:dyDescent="0.3">
      <c r="A4151">
        <v>350</v>
      </c>
      <c r="B4151" s="5">
        <v>43926</v>
      </c>
      <c r="C4151" t="s">
        <v>11</v>
      </c>
      <c r="D4151">
        <v>345</v>
      </c>
      <c r="E4151">
        <v>-519</v>
      </c>
      <c r="F4151" s="5">
        <v>43922</v>
      </c>
      <c r="G4151">
        <v>-345</v>
      </c>
      <c r="H4151" t="s">
        <v>58</v>
      </c>
    </row>
    <row r="4152" spans="1:8" x14ac:dyDescent="0.3">
      <c r="A4152">
        <v>350</v>
      </c>
      <c r="B4152" s="5">
        <v>43928</v>
      </c>
      <c r="C4152" t="s">
        <v>12</v>
      </c>
      <c r="D4152">
        <v>714</v>
      </c>
      <c r="E4152">
        <v>-1233</v>
      </c>
      <c r="F4152" s="5">
        <v>43922</v>
      </c>
      <c r="G4152">
        <v>-714</v>
      </c>
      <c r="H4152" t="s">
        <v>58</v>
      </c>
    </row>
    <row r="4153" spans="1:8" x14ac:dyDescent="0.3">
      <c r="A4153">
        <v>351</v>
      </c>
      <c r="B4153" s="5">
        <v>43833</v>
      </c>
      <c r="C4153" t="s">
        <v>10</v>
      </c>
      <c r="D4153">
        <v>371</v>
      </c>
      <c r="E4153">
        <v>371</v>
      </c>
      <c r="F4153" s="5">
        <v>43831</v>
      </c>
      <c r="G4153">
        <v>371</v>
      </c>
      <c r="H4153" t="s">
        <v>57</v>
      </c>
    </row>
    <row r="4154" spans="1:8" x14ac:dyDescent="0.3">
      <c r="A4154">
        <v>351</v>
      </c>
      <c r="B4154" s="5">
        <v>43833</v>
      </c>
      <c r="C4154" t="s">
        <v>10</v>
      </c>
      <c r="D4154">
        <v>951</v>
      </c>
      <c r="E4154">
        <v>1322</v>
      </c>
      <c r="F4154" s="5">
        <v>43831</v>
      </c>
      <c r="G4154">
        <v>951</v>
      </c>
      <c r="H4154" t="s">
        <v>57</v>
      </c>
    </row>
    <row r="4155" spans="1:8" x14ac:dyDescent="0.3">
      <c r="A4155">
        <v>351</v>
      </c>
      <c r="B4155" s="5">
        <v>43842</v>
      </c>
      <c r="C4155" t="s">
        <v>11</v>
      </c>
      <c r="D4155">
        <v>583</v>
      </c>
      <c r="E4155">
        <v>739</v>
      </c>
      <c r="F4155" s="5">
        <v>43831</v>
      </c>
      <c r="G4155">
        <v>-583</v>
      </c>
      <c r="H4155" t="s">
        <v>57</v>
      </c>
    </row>
    <row r="4156" spans="1:8" x14ac:dyDescent="0.3">
      <c r="A4156">
        <v>351</v>
      </c>
      <c r="B4156" s="5">
        <v>43861</v>
      </c>
      <c r="C4156" t="s">
        <v>12</v>
      </c>
      <c r="D4156">
        <v>649</v>
      </c>
      <c r="E4156">
        <v>90</v>
      </c>
      <c r="F4156" s="5">
        <v>43831</v>
      </c>
      <c r="G4156">
        <v>-649</v>
      </c>
      <c r="H4156" t="s">
        <v>57</v>
      </c>
    </row>
    <row r="4157" spans="1:8" x14ac:dyDescent="0.3">
      <c r="A4157">
        <v>351</v>
      </c>
      <c r="B4157" s="5">
        <v>43874</v>
      </c>
      <c r="C4157" t="s">
        <v>12</v>
      </c>
      <c r="D4157">
        <v>729</v>
      </c>
      <c r="E4157">
        <v>-639</v>
      </c>
      <c r="F4157" s="5">
        <v>43862</v>
      </c>
      <c r="G4157">
        <v>-729</v>
      </c>
      <c r="H4157" t="s">
        <v>58</v>
      </c>
    </row>
    <row r="4158" spans="1:8" x14ac:dyDescent="0.3">
      <c r="A4158">
        <v>351</v>
      </c>
      <c r="B4158" s="5">
        <v>43879</v>
      </c>
      <c r="C4158" t="s">
        <v>10</v>
      </c>
      <c r="D4158">
        <v>228</v>
      </c>
      <c r="E4158">
        <v>-411</v>
      </c>
      <c r="F4158" s="5">
        <v>43862</v>
      </c>
      <c r="G4158">
        <v>228</v>
      </c>
      <c r="H4158" t="s">
        <v>58</v>
      </c>
    </row>
    <row r="4159" spans="1:8" x14ac:dyDescent="0.3">
      <c r="A4159">
        <v>351</v>
      </c>
      <c r="B4159" s="5">
        <v>43880</v>
      </c>
      <c r="C4159" t="s">
        <v>11</v>
      </c>
      <c r="D4159">
        <v>578</v>
      </c>
      <c r="E4159">
        <v>-989</v>
      </c>
      <c r="F4159" s="5">
        <v>43862</v>
      </c>
      <c r="G4159">
        <v>-578</v>
      </c>
      <c r="H4159" t="s">
        <v>58</v>
      </c>
    </row>
    <row r="4160" spans="1:8" x14ac:dyDescent="0.3">
      <c r="A4160">
        <v>351</v>
      </c>
      <c r="B4160" s="5">
        <v>43886</v>
      </c>
      <c r="C4160" t="s">
        <v>12</v>
      </c>
      <c r="D4160">
        <v>544</v>
      </c>
      <c r="E4160">
        <v>-1533</v>
      </c>
      <c r="F4160" s="5">
        <v>43862</v>
      </c>
      <c r="G4160">
        <v>-544</v>
      </c>
      <c r="H4160" t="s">
        <v>58</v>
      </c>
    </row>
    <row r="4161" spans="1:8" x14ac:dyDescent="0.3">
      <c r="A4161">
        <v>351</v>
      </c>
      <c r="B4161" s="5">
        <v>43917</v>
      </c>
      <c r="C4161" t="s">
        <v>12</v>
      </c>
      <c r="D4161">
        <v>327</v>
      </c>
      <c r="E4161">
        <v>-1860</v>
      </c>
      <c r="F4161" s="5">
        <v>43891</v>
      </c>
      <c r="G4161">
        <v>-327</v>
      </c>
      <c r="H4161" t="s">
        <v>58</v>
      </c>
    </row>
    <row r="4162" spans="1:8" x14ac:dyDescent="0.3">
      <c r="A4162">
        <v>352</v>
      </c>
      <c r="B4162" s="5">
        <v>43851</v>
      </c>
      <c r="C4162" t="s">
        <v>10</v>
      </c>
      <c r="D4162">
        <v>416</v>
      </c>
      <c r="E4162">
        <v>416</v>
      </c>
      <c r="F4162" s="5">
        <v>43831</v>
      </c>
      <c r="G4162">
        <v>416</v>
      </c>
      <c r="H4162" t="s">
        <v>57</v>
      </c>
    </row>
    <row r="4163" spans="1:8" x14ac:dyDescent="0.3">
      <c r="A4163">
        <v>352</v>
      </c>
      <c r="B4163" s="5">
        <v>43868</v>
      </c>
      <c r="C4163" t="s">
        <v>12</v>
      </c>
      <c r="D4163">
        <v>989</v>
      </c>
      <c r="E4163">
        <v>-573</v>
      </c>
      <c r="F4163" s="5">
        <v>43862</v>
      </c>
      <c r="G4163">
        <v>-989</v>
      </c>
      <c r="H4163" t="s">
        <v>58</v>
      </c>
    </row>
    <row r="4164" spans="1:8" x14ac:dyDescent="0.3">
      <c r="A4164">
        <v>352</v>
      </c>
      <c r="B4164" s="5">
        <v>43874</v>
      </c>
      <c r="C4164" t="s">
        <v>11</v>
      </c>
      <c r="D4164">
        <v>579</v>
      </c>
      <c r="E4164">
        <v>-1152</v>
      </c>
      <c r="F4164" s="5">
        <v>43862</v>
      </c>
      <c r="G4164">
        <v>-579</v>
      </c>
      <c r="H4164" t="s">
        <v>58</v>
      </c>
    </row>
    <row r="4165" spans="1:8" x14ac:dyDescent="0.3">
      <c r="A4165">
        <v>352</v>
      </c>
      <c r="B4165" s="5">
        <v>43881</v>
      </c>
      <c r="C4165" t="s">
        <v>11</v>
      </c>
      <c r="D4165">
        <v>460</v>
      </c>
      <c r="E4165">
        <v>-1612</v>
      </c>
      <c r="F4165" s="5">
        <v>43862</v>
      </c>
      <c r="G4165">
        <v>-460</v>
      </c>
      <c r="H4165" t="s">
        <v>58</v>
      </c>
    </row>
    <row r="4166" spans="1:8" x14ac:dyDescent="0.3">
      <c r="A4166">
        <v>352</v>
      </c>
      <c r="B4166" s="5">
        <v>43902</v>
      </c>
      <c r="C4166" t="s">
        <v>12</v>
      </c>
      <c r="D4166">
        <v>699</v>
      </c>
      <c r="E4166">
        <v>-2311</v>
      </c>
      <c r="F4166" s="5">
        <v>43891</v>
      </c>
      <c r="G4166">
        <v>-699</v>
      </c>
      <c r="H4166" t="s">
        <v>58</v>
      </c>
    </row>
    <row r="4167" spans="1:8" x14ac:dyDescent="0.3">
      <c r="A4167">
        <v>352</v>
      </c>
      <c r="B4167" s="5">
        <v>43904</v>
      </c>
      <c r="C4167" t="s">
        <v>11</v>
      </c>
      <c r="D4167">
        <v>250</v>
      </c>
      <c r="E4167">
        <v>-2561</v>
      </c>
      <c r="F4167" s="5">
        <v>43891</v>
      </c>
      <c r="G4167">
        <v>-250</v>
      </c>
      <c r="H4167" t="s">
        <v>58</v>
      </c>
    </row>
    <row r="4168" spans="1:8" x14ac:dyDescent="0.3">
      <c r="A4168">
        <v>352</v>
      </c>
      <c r="B4168" s="5">
        <v>43910</v>
      </c>
      <c r="C4168" t="s">
        <v>10</v>
      </c>
      <c r="D4168">
        <v>787</v>
      </c>
      <c r="E4168">
        <v>-1774</v>
      </c>
      <c r="F4168" s="5">
        <v>43891</v>
      </c>
      <c r="G4168">
        <v>787</v>
      </c>
      <c r="H4168" t="s">
        <v>58</v>
      </c>
    </row>
    <row r="4169" spans="1:8" x14ac:dyDescent="0.3">
      <c r="A4169">
        <v>352</v>
      </c>
      <c r="B4169" s="5">
        <v>43932</v>
      </c>
      <c r="C4169" t="s">
        <v>11</v>
      </c>
      <c r="D4169">
        <v>874</v>
      </c>
      <c r="E4169">
        <v>-2648</v>
      </c>
      <c r="F4169" s="5">
        <v>43922</v>
      </c>
      <c r="G4169">
        <v>-874</v>
      </c>
      <c r="H4169" t="s">
        <v>58</v>
      </c>
    </row>
    <row r="4170" spans="1:8" x14ac:dyDescent="0.3">
      <c r="A4170">
        <v>352</v>
      </c>
      <c r="B4170" s="5">
        <v>43935</v>
      </c>
      <c r="C4170" t="s">
        <v>10</v>
      </c>
      <c r="D4170">
        <v>379</v>
      </c>
      <c r="E4170">
        <v>-2269</v>
      </c>
      <c r="F4170" s="5">
        <v>43922</v>
      </c>
      <c r="G4170">
        <v>379</v>
      </c>
      <c r="H4170" t="s">
        <v>58</v>
      </c>
    </row>
    <row r="4171" spans="1:8" x14ac:dyDescent="0.3">
      <c r="A4171">
        <v>353</v>
      </c>
      <c r="B4171" s="5">
        <v>43831</v>
      </c>
      <c r="C4171" t="s">
        <v>10</v>
      </c>
      <c r="D4171">
        <v>57</v>
      </c>
      <c r="E4171">
        <v>57</v>
      </c>
      <c r="F4171" s="5">
        <v>43831</v>
      </c>
      <c r="G4171">
        <v>57</v>
      </c>
      <c r="H4171" t="s">
        <v>57</v>
      </c>
    </row>
    <row r="4172" spans="1:8" x14ac:dyDescent="0.3">
      <c r="A4172">
        <v>353</v>
      </c>
      <c r="B4172" s="5">
        <v>43843</v>
      </c>
      <c r="C4172" t="s">
        <v>11</v>
      </c>
      <c r="D4172">
        <v>935</v>
      </c>
      <c r="E4172">
        <v>-878</v>
      </c>
      <c r="F4172" s="5">
        <v>43831</v>
      </c>
      <c r="G4172">
        <v>-935</v>
      </c>
      <c r="H4172" t="s">
        <v>58</v>
      </c>
    </row>
    <row r="4173" spans="1:8" x14ac:dyDescent="0.3">
      <c r="A4173">
        <v>353</v>
      </c>
      <c r="B4173" s="5">
        <v>43849</v>
      </c>
      <c r="C4173" t="s">
        <v>10</v>
      </c>
      <c r="D4173">
        <v>898</v>
      </c>
      <c r="E4173">
        <v>20</v>
      </c>
      <c r="F4173" s="5">
        <v>43831</v>
      </c>
      <c r="G4173">
        <v>898</v>
      </c>
      <c r="H4173" t="s">
        <v>57</v>
      </c>
    </row>
    <row r="4174" spans="1:8" x14ac:dyDescent="0.3">
      <c r="A4174">
        <v>353</v>
      </c>
      <c r="B4174" s="5">
        <v>43856</v>
      </c>
      <c r="C4174" t="s">
        <v>12</v>
      </c>
      <c r="D4174">
        <v>575</v>
      </c>
      <c r="E4174">
        <v>-555</v>
      </c>
      <c r="F4174" s="5">
        <v>43831</v>
      </c>
      <c r="G4174">
        <v>-575</v>
      </c>
      <c r="H4174" t="s">
        <v>58</v>
      </c>
    </row>
    <row r="4175" spans="1:8" x14ac:dyDescent="0.3">
      <c r="A4175">
        <v>353</v>
      </c>
      <c r="B4175" s="5">
        <v>43865</v>
      </c>
      <c r="C4175" t="s">
        <v>11</v>
      </c>
      <c r="D4175">
        <v>523</v>
      </c>
      <c r="E4175">
        <v>-1078</v>
      </c>
      <c r="F4175" s="5">
        <v>43862</v>
      </c>
      <c r="G4175">
        <v>-523</v>
      </c>
      <c r="H4175" t="s">
        <v>58</v>
      </c>
    </row>
    <row r="4176" spans="1:8" x14ac:dyDescent="0.3">
      <c r="A4176">
        <v>353</v>
      </c>
      <c r="B4176" s="5">
        <v>43882</v>
      </c>
      <c r="C4176" t="s">
        <v>11</v>
      </c>
      <c r="D4176">
        <v>741</v>
      </c>
      <c r="E4176">
        <v>-1819</v>
      </c>
      <c r="F4176" s="5">
        <v>43862</v>
      </c>
      <c r="G4176">
        <v>-741</v>
      </c>
      <c r="H4176" t="s">
        <v>58</v>
      </c>
    </row>
    <row r="4177" spans="1:8" x14ac:dyDescent="0.3">
      <c r="A4177">
        <v>353</v>
      </c>
      <c r="B4177" s="5">
        <v>43901</v>
      </c>
      <c r="C4177" t="s">
        <v>12</v>
      </c>
      <c r="D4177">
        <v>738</v>
      </c>
      <c r="E4177">
        <v>-2557</v>
      </c>
      <c r="F4177" s="5">
        <v>43891</v>
      </c>
      <c r="G4177">
        <v>-738</v>
      </c>
      <c r="H4177" t="s">
        <v>58</v>
      </c>
    </row>
    <row r="4178" spans="1:8" x14ac:dyDescent="0.3">
      <c r="A4178">
        <v>353</v>
      </c>
      <c r="B4178" s="5">
        <v>43902</v>
      </c>
      <c r="C4178" t="s">
        <v>10</v>
      </c>
      <c r="D4178">
        <v>846</v>
      </c>
      <c r="E4178">
        <v>-1711</v>
      </c>
      <c r="F4178" s="5">
        <v>43891</v>
      </c>
      <c r="G4178">
        <v>846</v>
      </c>
      <c r="H4178" t="s">
        <v>58</v>
      </c>
    </row>
    <row r="4179" spans="1:8" x14ac:dyDescent="0.3">
      <c r="A4179">
        <v>353</v>
      </c>
      <c r="B4179" s="5">
        <v>43902</v>
      </c>
      <c r="C4179" t="s">
        <v>10</v>
      </c>
      <c r="D4179">
        <v>760</v>
      </c>
      <c r="E4179">
        <v>-951</v>
      </c>
      <c r="F4179" s="5">
        <v>43891</v>
      </c>
      <c r="G4179">
        <v>760</v>
      </c>
      <c r="H4179" t="s">
        <v>58</v>
      </c>
    </row>
    <row r="4180" spans="1:8" x14ac:dyDescent="0.3">
      <c r="A4180">
        <v>353</v>
      </c>
      <c r="B4180" s="5">
        <v>43911</v>
      </c>
      <c r="C4180" t="s">
        <v>10</v>
      </c>
      <c r="D4180">
        <v>435</v>
      </c>
      <c r="E4180">
        <v>-516</v>
      </c>
      <c r="F4180" s="5">
        <v>43891</v>
      </c>
      <c r="G4180">
        <v>435</v>
      </c>
      <c r="H4180" t="s">
        <v>58</v>
      </c>
    </row>
    <row r="4181" spans="1:8" x14ac:dyDescent="0.3">
      <c r="A4181">
        <v>354</v>
      </c>
      <c r="B4181" s="5">
        <v>43853</v>
      </c>
      <c r="C4181" t="s">
        <v>10</v>
      </c>
      <c r="D4181">
        <v>822</v>
      </c>
      <c r="E4181">
        <v>822</v>
      </c>
      <c r="F4181" s="5">
        <v>43831</v>
      </c>
      <c r="G4181">
        <v>822</v>
      </c>
      <c r="H4181" t="s">
        <v>57</v>
      </c>
    </row>
    <row r="4182" spans="1:8" x14ac:dyDescent="0.3">
      <c r="A4182">
        <v>354</v>
      </c>
      <c r="B4182" s="5">
        <v>43907</v>
      </c>
      <c r="C4182" t="s">
        <v>11</v>
      </c>
      <c r="D4182">
        <v>664</v>
      </c>
      <c r="E4182">
        <v>158</v>
      </c>
      <c r="F4182" s="5">
        <v>43891</v>
      </c>
      <c r="G4182">
        <v>-664</v>
      </c>
      <c r="H4182" t="s">
        <v>57</v>
      </c>
    </row>
    <row r="4183" spans="1:8" x14ac:dyDescent="0.3">
      <c r="A4183">
        <v>355</v>
      </c>
      <c r="B4183" s="5">
        <v>43851</v>
      </c>
      <c r="C4183" t="s">
        <v>10</v>
      </c>
      <c r="D4183">
        <v>367</v>
      </c>
      <c r="E4183">
        <v>367</v>
      </c>
      <c r="F4183" s="5">
        <v>43831</v>
      </c>
      <c r="G4183">
        <v>367</v>
      </c>
      <c r="H4183" t="s">
        <v>57</v>
      </c>
    </row>
    <row r="4184" spans="1:8" x14ac:dyDescent="0.3">
      <c r="A4184">
        <v>355</v>
      </c>
      <c r="B4184" s="5">
        <v>43854</v>
      </c>
      <c r="C4184" t="s">
        <v>11</v>
      </c>
      <c r="D4184">
        <v>612</v>
      </c>
      <c r="E4184">
        <v>-245</v>
      </c>
      <c r="F4184" s="5">
        <v>43831</v>
      </c>
      <c r="G4184">
        <v>-612</v>
      </c>
      <c r="H4184" t="s">
        <v>58</v>
      </c>
    </row>
    <row r="4185" spans="1:8" x14ac:dyDescent="0.3">
      <c r="A4185">
        <v>355</v>
      </c>
      <c r="B4185" s="5">
        <v>43870</v>
      </c>
      <c r="C4185" t="s">
        <v>10</v>
      </c>
      <c r="D4185">
        <v>767</v>
      </c>
      <c r="E4185">
        <v>522</v>
      </c>
      <c r="F4185" s="5">
        <v>43862</v>
      </c>
      <c r="G4185">
        <v>767</v>
      </c>
      <c r="H4185" t="s">
        <v>57</v>
      </c>
    </row>
    <row r="4186" spans="1:8" x14ac:dyDescent="0.3">
      <c r="A4186">
        <v>355</v>
      </c>
      <c r="B4186" s="5">
        <v>43879</v>
      </c>
      <c r="C4186" t="s">
        <v>11</v>
      </c>
      <c r="D4186">
        <v>716</v>
      </c>
      <c r="E4186">
        <v>-194</v>
      </c>
      <c r="F4186" s="5">
        <v>43862</v>
      </c>
      <c r="G4186">
        <v>-716</v>
      </c>
      <c r="H4186" t="s">
        <v>58</v>
      </c>
    </row>
    <row r="4187" spans="1:8" x14ac:dyDescent="0.3">
      <c r="A4187">
        <v>355</v>
      </c>
      <c r="B4187" s="5">
        <v>43914</v>
      </c>
      <c r="C4187" t="s">
        <v>11</v>
      </c>
      <c r="D4187">
        <v>943</v>
      </c>
      <c r="E4187">
        <v>-1137</v>
      </c>
      <c r="F4187" s="5">
        <v>43891</v>
      </c>
      <c r="G4187">
        <v>-943</v>
      </c>
      <c r="H4187" t="s">
        <v>58</v>
      </c>
    </row>
    <row r="4188" spans="1:8" x14ac:dyDescent="0.3">
      <c r="A4188">
        <v>355</v>
      </c>
      <c r="B4188" s="5">
        <v>43929</v>
      </c>
      <c r="C4188" t="s">
        <v>12</v>
      </c>
      <c r="D4188">
        <v>630</v>
      </c>
      <c r="E4188">
        <v>-1767</v>
      </c>
      <c r="F4188" s="5">
        <v>43922</v>
      </c>
      <c r="G4188">
        <v>-630</v>
      </c>
      <c r="H4188" t="s">
        <v>58</v>
      </c>
    </row>
    <row r="4189" spans="1:8" x14ac:dyDescent="0.3">
      <c r="A4189">
        <v>355</v>
      </c>
      <c r="B4189" s="5">
        <v>43940</v>
      </c>
      <c r="C4189" t="s">
        <v>10</v>
      </c>
      <c r="D4189">
        <v>915</v>
      </c>
      <c r="E4189">
        <v>-852</v>
      </c>
      <c r="F4189" s="5">
        <v>43922</v>
      </c>
      <c r="G4189">
        <v>915</v>
      </c>
      <c r="H4189" t="s">
        <v>58</v>
      </c>
    </row>
    <row r="4190" spans="1:8" x14ac:dyDescent="0.3">
      <c r="A4190">
        <v>356</v>
      </c>
      <c r="B4190" s="5">
        <v>43841</v>
      </c>
      <c r="C4190" t="s">
        <v>10</v>
      </c>
      <c r="D4190">
        <v>568</v>
      </c>
      <c r="E4190">
        <v>568</v>
      </c>
      <c r="F4190" s="5">
        <v>43831</v>
      </c>
      <c r="G4190">
        <v>568</v>
      </c>
      <c r="H4190" t="s">
        <v>57</v>
      </c>
    </row>
    <row r="4191" spans="1:8" x14ac:dyDescent="0.3">
      <c r="A4191">
        <v>356</v>
      </c>
      <c r="B4191" s="5">
        <v>43843</v>
      </c>
      <c r="C4191" t="s">
        <v>12</v>
      </c>
      <c r="D4191">
        <v>532</v>
      </c>
      <c r="E4191">
        <v>36</v>
      </c>
      <c r="F4191" s="5">
        <v>43831</v>
      </c>
      <c r="G4191">
        <v>-532</v>
      </c>
      <c r="H4191" t="s">
        <v>57</v>
      </c>
    </row>
    <row r="4192" spans="1:8" x14ac:dyDescent="0.3">
      <c r="A4192">
        <v>356</v>
      </c>
      <c r="B4192" s="5">
        <v>43847</v>
      </c>
      <c r="C4192" t="s">
        <v>11</v>
      </c>
      <c r="D4192">
        <v>733</v>
      </c>
      <c r="E4192">
        <v>-697</v>
      </c>
      <c r="F4192" s="5">
        <v>43831</v>
      </c>
      <c r="G4192">
        <v>-733</v>
      </c>
      <c r="H4192" t="s">
        <v>58</v>
      </c>
    </row>
    <row r="4193" spans="1:8" x14ac:dyDescent="0.3">
      <c r="A4193">
        <v>356</v>
      </c>
      <c r="B4193" s="5">
        <v>43849</v>
      </c>
      <c r="C4193" t="s">
        <v>12</v>
      </c>
      <c r="D4193">
        <v>553</v>
      </c>
      <c r="E4193">
        <v>-1250</v>
      </c>
      <c r="F4193" s="5">
        <v>43831</v>
      </c>
      <c r="G4193">
        <v>-553</v>
      </c>
      <c r="H4193" t="s">
        <v>58</v>
      </c>
    </row>
    <row r="4194" spans="1:8" x14ac:dyDescent="0.3">
      <c r="A4194">
        <v>356</v>
      </c>
      <c r="B4194" s="5">
        <v>43852</v>
      </c>
      <c r="C4194" t="s">
        <v>10</v>
      </c>
      <c r="D4194">
        <v>607</v>
      </c>
      <c r="E4194">
        <v>-643</v>
      </c>
      <c r="F4194" s="5">
        <v>43831</v>
      </c>
      <c r="G4194">
        <v>607</v>
      </c>
      <c r="H4194" t="s">
        <v>58</v>
      </c>
    </row>
    <row r="4195" spans="1:8" x14ac:dyDescent="0.3">
      <c r="A4195">
        <v>356</v>
      </c>
      <c r="B4195" s="5">
        <v>43859</v>
      </c>
      <c r="C4195" t="s">
        <v>12</v>
      </c>
      <c r="D4195">
        <v>783</v>
      </c>
      <c r="E4195">
        <v>-1426</v>
      </c>
      <c r="F4195" s="5">
        <v>43831</v>
      </c>
      <c r="G4195">
        <v>-783</v>
      </c>
      <c r="H4195" t="s">
        <v>58</v>
      </c>
    </row>
    <row r="4196" spans="1:8" x14ac:dyDescent="0.3">
      <c r="A4196">
        <v>356</v>
      </c>
      <c r="B4196" s="5">
        <v>43861</v>
      </c>
      <c r="C4196" t="s">
        <v>11</v>
      </c>
      <c r="D4196">
        <v>444</v>
      </c>
      <c r="E4196">
        <v>-1870</v>
      </c>
      <c r="F4196" s="5">
        <v>43831</v>
      </c>
      <c r="G4196">
        <v>-444</v>
      </c>
      <c r="H4196" t="s">
        <v>58</v>
      </c>
    </row>
    <row r="4197" spans="1:8" x14ac:dyDescent="0.3">
      <c r="A4197">
        <v>356</v>
      </c>
      <c r="B4197" s="5">
        <v>43862</v>
      </c>
      <c r="C4197" t="s">
        <v>12</v>
      </c>
      <c r="D4197">
        <v>752</v>
      </c>
      <c r="E4197">
        <v>-2622</v>
      </c>
      <c r="F4197" s="5">
        <v>43862</v>
      </c>
      <c r="G4197">
        <v>-752</v>
      </c>
      <c r="H4197" t="s">
        <v>58</v>
      </c>
    </row>
    <row r="4198" spans="1:8" x14ac:dyDescent="0.3">
      <c r="A4198">
        <v>356</v>
      </c>
      <c r="B4198" s="5">
        <v>43872</v>
      </c>
      <c r="C4198" t="s">
        <v>11</v>
      </c>
      <c r="D4198">
        <v>349</v>
      </c>
      <c r="E4198">
        <v>-2971</v>
      </c>
      <c r="F4198" s="5">
        <v>43862</v>
      </c>
      <c r="G4198">
        <v>-349</v>
      </c>
      <c r="H4198" t="s">
        <v>58</v>
      </c>
    </row>
    <row r="4199" spans="1:8" x14ac:dyDescent="0.3">
      <c r="A4199">
        <v>356</v>
      </c>
      <c r="B4199" s="5">
        <v>43876</v>
      </c>
      <c r="C4199" t="s">
        <v>11</v>
      </c>
      <c r="D4199">
        <v>681</v>
      </c>
      <c r="E4199">
        <v>-3652</v>
      </c>
      <c r="F4199" s="5">
        <v>43862</v>
      </c>
      <c r="G4199">
        <v>-681</v>
      </c>
      <c r="H4199" t="s">
        <v>58</v>
      </c>
    </row>
    <row r="4200" spans="1:8" x14ac:dyDescent="0.3">
      <c r="A4200">
        <v>356</v>
      </c>
      <c r="B4200" s="5">
        <v>43883</v>
      </c>
      <c r="C4200" t="s">
        <v>12</v>
      </c>
      <c r="D4200">
        <v>277</v>
      </c>
      <c r="E4200">
        <v>-3929</v>
      </c>
      <c r="F4200" s="5">
        <v>43862</v>
      </c>
      <c r="G4200">
        <v>-277</v>
      </c>
      <c r="H4200" t="s">
        <v>58</v>
      </c>
    </row>
    <row r="4201" spans="1:8" x14ac:dyDescent="0.3">
      <c r="A4201">
        <v>356</v>
      </c>
      <c r="B4201" s="5">
        <v>43903</v>
      </c>
      <c r="C4201" t="s">
        <v>12</v>
      </c>
      <c r="D4201">
        <v>828</v>
      </c>
      <c r="E4201">
        <v>-4757</v>
      </c>
      <c r="F4201" s="5">
        <v>43891</v>
      </c>
      <c r="G4201">
        <v>-828</v>
      </c>
      <c r="H4201" t="s">
        <v>58</v>
      </c>
    </row>
    <row r="4202" spans="1:8" x14ac:dyDescent="0.3">
      <c r="A4202">
        <v>356</v>
      </c>
      <c r="B4202" s="5">
        <v>43912</v>
      </c>
      <c r="C4202" t="s">
        <v>11</v>
      </c>
      <c r="D4202">
        <v>654</v>
      </c>
      <c r="E4202">
        <v>-5411</v>
      </c>
      <c r="F4202" s="5">
        <v>43891</v>
      </c>
      <c r="G4202">
        <v>-654</v>
      </c>
      <c r="H4202" t="s">
        <v>58</v>
      </c>
    </row>
    <row r="4203" spans="1:8" x14ac:dyDescent="0.3">
      <c r="A4203">
        <v>356</v>
      </c>
      <c r="B4203" s="5">
        <v>43915</v>
      </c>
      <c r="C4203" t="s">
        <v>12</v>
      </c>
      <c r="D4203">
        <v>568</v>
      </c>
      <c r="E4203">
        <v>-5979</v>
      </c>
      <c r="F4203" s="5">
        <v>43891</v>
      </c>
      <c r="G4203">
        <v>-568</v>
      </c>
      <c r="H4203" t="s">
        <v>58</v>
      </c>
    </row>
    <row r="4204" spans="1:8" x14ac:dyDescent="0.3">
      <c r="A4204">
        <v>356</v>
      </c>
      <c r="B4204" s="5">
        <v>43916</v>
      </c>
      <c r="C4204" t="s">
        <v>11</v>
      </c>
      <c r="D4204">
        <v>539</v>
      </c>
      <c r="E4204">
        <v>-6518</v>
      </c>
      <c r="F4204" s="5">
        <v>43891</v>
      </c>
      <c r="G4204">
        <v>-539</v>
      </c>
      <c r="H4204" t="s">
        <v>58</v>
      </c>
    </row>
    <row r="4205" spans="1:8" x14ac:dyDescent="0.3">
      <c r="A4205">
        <v>356</v>
      </c>
      <c r="B4205" s="5">
        <v>43927</v>
      </c>
      <c r="C4205" t="s">
        <v>10</v>
      </c>
      <c r="D4205">
        <v>953</v>
      </c>
      <c r="E4205">
        <v>-5565</v>
      </c>
      <c r="F4205" s="5">
        <v>43922</v>
      </c>
      <c r="G4205">
        <v>953</v>
      </c>
      <c r="H4205" t="s">
        <v>58</v>
      </c>
    </row>
    <row r="4206" spans="1:8" x14ac:dyDescent="0.3">
      <c r="A4206">
        <v>356</v>
      </c>
      <c r="B4206" s="5">
        <v>43930</v>
      </c>
      <c r="C4206" t="s">
        <v>12</v>
      </c>
      <c r="D4206">
        <v>673</v>
      </c>
      <c r="E4206">
        <v>-6238</v>
      </c>
      <c r="F4206" s="5">
        <v>43922</v>
      </c>
      <c r="G4206">
        <v>-673</v>
      </c>
      <c r="H4206" t="s">
        <v>58</v>
      </c>
    </row>
    <row r="4207" spans="1:8" x14ac:dyDescent="0.3">
      <c r="A4207">
        <v>356</v>
      </c>
      <c r="B4207" s="5">
        <v>43930</v>
      </c>
      <c r="C4207" t="s">
        <v>12</v>
      </c>
      <c r="D4207">
        <v>644</v>
      </c>
      <c r="E4207">
        <v>-6882</v>
      </c>
      <c r="F4207" s="5">
        <v>43922</v>
      </c>
      <c r="G4207">
        <v>-644</v>
      </c>
      <c r="H4207" t="s">
        <v>58</v>
      </c>
    </row>
    <row r="4208" spans="1:8" x14ac:dyDescent="0.3">
      <c r="A4208">
        <v>357</v>
      </c>
      <c r="B4208" s="5">
        <v>43850</v>
      </c>
      <c r="C4208" t="s">
        <v>10</v>
      </c>
      <c r="D4208">
        <v>780</v>
      </c>
      <c r="E4208">
        <v>780</v>
      </c>
      <c r="F4208" s="5">
        <v>43831</v>
      </c>
      <c r="G4208">
        <v>780</v>
      </c>
      <c r="H4208" t="s">
        <v>57</v>
      </c>
    </row>
    <row r="4209" spans="1:8" x14ac:dyDescent="0.3">
      <c r="A4209">
        <v>357</v>
      </c>
      <c r="B4209" s="5">
        <v>43866</v>
      </c>
      <c r="C4209" t="s">
        <v>12</v>
      </c>
      <c r="D4209">
        <v>136</v>
      </c>
      <c r="E4209">
        <v>644</v>
      </c>
      <c r="F4209" s="5">
        <v>43862</v>
      </c>
      <c r="G4209">
        <v>-136</v>
      </c>
      <c r="H4209" t="s">
        <v>57</v>
      </c>
    </row>
    <row r="4210" spans="1:8" x14ac:dyDescent="0.3">
      <c r="A4210">
        <v>357</v>
      </c>
      <c r="B4210" s="5">
        <v>43880</v>
      </c>
      <c r="C4210" t="s">
        <v>10</v>
      </c>
      <c r="D4210">
        <v>138</v>
      </c>
      <c r="E4210">
        <v>782</v>
      </c>
      <c r="F4210" s="5">
        <v>43862</v>
      </c>
      <c r="G4210">
        <v>138</v>
      </c>
      <c r="H4210" t="s">
        <v>57</v>
      </c>
    </row>
    <row r="4211" spans="1:8" x14ac:dyDescent="0.3">
      <c r="A4211">
        <v>357</v>
      </c>
      <c r="B4211" s="5">
        <v>43888</v>
      </c>
      <c r="C4211" t="s">
        <v>10</v>
      </c>
      <c r="D4211">
        <v>96</v>
      </c>
      <c r="E4211">
        <v>878</v>
      </c>
      <c r="F4211" s="5">
        <v>43862</v>
      </c>
      <c r="G4211">
        <v>96</v>
      </c>
      <c r="H4211" t="s">
        <v>57</v>
      </c>
    </row>
    <row r="4212" spans="1:8" x14ac:dyDescent="0.3">
      <c r="A4212">
        <v>357</v>
      </c>
      <c r="B4212" s="5">
        <v>43918</v>
      </c>
      <c r="C4212" t="s">
        <v>12</v>
      </c>
      <c r="D4212">
        <v>382</v>
      </c>
      <c r="E4212">
        <v>496</v>
      </c>
      <c r="F4212" s="5">
        <v>43891</v>
      </c>
      <c r="G4212">
        <v>-382</v>
      </c>
      <c r="H4212" t="s">
        <v>57</v>
      </c>
    </row>
    <row r="4213" spans="1:8" x14ac:dyDescent="0.3">
      <c r="A4213">
        <v>357</v>
      </c>
      <c r="B4213" s="5">
        <v>43937</v>
      </c>
      <c r="C4213" t="s">
        <v>12</v>
      </c>
      <c r="D4213">
        <v>684</v>
      </c>
      <c r="E4213">
        <v>-188</v>
      </c>
      <c r="F4213" s="5">
        <v>43922</v>
      </c>
      <c r="G4213">
        <v>-684</v>
      </c>
      <c r="H4213" t="s">
        <v>58</v>
      </c>
    </row>
    <row r="4214" spans="1:8" x14ac:dyDescent="0.3">
      <c r="A4214">
        <v>358</v>
      </c>
      <c r="B4214" s="5">
        <v>43845</v>
      </c>
      <c r="C4214" t="s">
        <v>10</v>
      </c>
      <c r="D4214">
        <v>129</v>
      </c>
      <c r="E4214">
        <v>129</v>
      </c>
      <c r="F4214" s="5">
        <v>43831</v>
      </c>
      <c r="G4214">
        <v>129</v>
      </c>
      <c r="H4214" t="s">
        <v>57</v>
      </c>
    </row>
    <row r="4215" spans="1:8" x14ac:dyDescent="0.3">
      <c r="A4215">
        <v>358</v>
      </c>
      <c r="B4215" s="5">
        <v>43846</v>
      </c>
      <c r="C4215" t="s">
        <v>11</v>
      </c>
      <c r="D4215">
        <v>582</v>
      </c>
      <c r="E4215">
        <v>-453</v>
      </c>
      <c r="F4215" s="5">
        <v>43831</v>
      </c>
      <c r="G4215">
        <v>-582</v>
      </c>
      <c r="H4215" t="s">
        <v>58</v>
      </c>
    </row>
    <row r="4216" spans="1:8" x14ac:dyDescent="0.3">
      <c r="A4216">
        <v>358</v>
      </c>
      <c r="B4216" s="5">
        <v>43855</v>
      </c>
      <c r="C4216" t="s">
        <v>12</v>
      </c>
      <c r="D4216">
        <v>992</v>
      </c>
      <c r="E4216">
        <v>-1445</v>
      </c>
      <c r="F4216" s="5">
        <v>43831</v>
      </c>
      <c r="G4216">
        <v>-992</v>
      </c>
      <c r="H4216" t="s">
        <v>58</v>
      </c>
    </row>
    <row r="4217" spans="1:8" x14ac:dyDescent="0.3">
      <c r="A4217">
        <v>358</v>
      </c>
      <c r="B4217" s="5">
        <v>43859</v>
      </c>
      <c r="C4217" t="s">
        <v>10</v>
      </c>
      <c r="D4217">
        <v>383</v>
      </c>
      <c r="E4217">
        <v>-1062</v>
      </c>
      <c r="F4217" s="5">
        <v>43831</v>
      </c>
      <c r="G4217">
        <v>383</v>
      </c>
      <c r="H4217" t="s">
        <v>58</v>
      </c>
    </row>
    <row r="4218" spans="1:8" x14ac:dyDescent="0.3">
      <c r="A4218">
        <v>358</v>
      </c>
      <c r="B4218" s="5">
        <v>43863</v>
      </c>
      <c r="C4218" t="s">
        <v>10</v>
      </c>
      <c r="D4218">
        <v>443</v>
      </c>
      <c r="E4218">
        <v>-619</v>
      </c>
      <c r="F4218" s="5">
        <v>43862</v>
      </c>
      <c r="G4218">
        <v>443</v>
      </c>
      <c r="H4218" t="s">
        <v>58</v>
      </c>
    </row>
    <row r="4219" spans="1:8" x14ac:dyDescent="0.3">
      <c r="A4219">
        <v>358</v>
      </c>
      <c r="B4219" s="5">
        <v>43892</v>
      </c>
      <c r="C4219" t="s">
        <v>11</v>
      </c>
      <c r="D4219">
        <v>340</v>
      </c>
      <c r="E4219">
        <v>-959</v>
      </c>
      <c r="F4219" s="5">
        <v>43891</v>
      </c>
      <c r="G4219">
        <v>-340</v>
      </c>
      <c r="H4219" t="s">
        <v>58</v>
      </c>
    </row>
    <row r="4220" spans="1:8" x14ac:dyDescent="0.3">
      <c r="A4220">
        <v>358</v>
      </c>
      <c r="B4220" s="5">
        <v>43897</v>
      </c>
      <c r="C4220" t="s">
        <v>10</v>
      </c>
      <c r="D4220">
        <v>906</v>
      </c>
      <c r="E4220">
        <v>-53</v>
      </c>
      <c r="F4220" s="5">
        <v>43891</v>
      </c>
      <c r="G4220">
        <v>906</v>
      </c>
      <c r="H4220" t="s">
        <v>58</v>
      </c>
    </row>
    <row r="4221" spans="1:8" x14ac:dyDescent="0.3">
      <c r="A4221">
        <v>358</v>
      </c>
      <c r="B4221" s="5">
        <v>43920</v>
      </c>
      <c r="C4221" t="s">
        <v>11</v>
      </c>
      <c r="D4221">
        <v>830</v>
      </c>
      <c r="E4221">
        <v>-883</v>
      </c>
      <c r="F4221" s="5">
        <v>43891</v>
      </c>
      <c r="G4221">
        <v>-830</v>
      </c>
      <c r="H4221" t="s">
        <v>58</v>
      </c>
    </row>
    <row r="4222" spans="1:8" x14ac:dyDescent="0.3">
      <c r="A4222">
        <v>358</v>
      </c>
      <c r="B4222" s="5">
        <v>43923</v>
      </c>
      <c r="C4222" t="s">
        <v>10</v>
      </c>
      <c r="D4222">
        <v>175</v>
      </c>
      <c r="E4222">
        <v>-708</v>
      </c>
      <c r="F4222" s="5">
        <v>43922</v>
      </c>
      <c r="G4222">
        <v>175</v>
      </c>
      <c r="H4222" t="s">
        <v>58</v>
      </c>
    </row>
    <row r="4223" spans="1:8" x14ac:dyDescent="0.3">
      <c r="A4223">
        <v>359</v>
      </c>
      <c r="B4223" s="5">
        <v>43839</v>
      </c>
      <c r="C4223" t="s">
        <v>10</v>
      </c>
      <c r="D4223">
        <v>10</v>
      </c>
      <c r="E4223">
        <v>10</v>
      </c>
      <c r="F4223" s="5">
        <v>43831</v>
      </c>
      <c r="G4223">
        <v>10</v>
      </c>
      <c r="H4223" t="s">
        <v>57</v>
      </c>
    </row>
    <row r="4224" spans="1:8" x14ac:dyDescent="0.3">
      <c r="A4224">
        <v>359</v>
      </c>
      <c r="B4224" s="5">
        <v>43840</v>
      </c>
      <c r="C4224" t="s">
        <v>10</v>
      </c>
      <c r="D4224">
        <v>915</v>
      </c>
      <c r="E4224">
        <v>925</v>
      </c>
      <c r="F4224" s="5">
        <v>43831</v>
      </c>
      <c r="G4224">
        <v>915</v>
      </c>
      <c r="H4224" t="s">
        <v>57</v>
      </c>
    </row>
    <row r="4225" spans="1:8" x14ac:dyDescent="0.3">
      <c r="A4225">
        <v>359</v>
      </c>
      <c r="B4225" s="5">
        <v>43850</v>
      </c>
      <c r="C4225" t="s">
        <v>10</v>
      </c>
      <c r="D4225">
        <v>136</v>
      </c>
      <c r="E4225">
        <v>1061</v>
      </c>
      <c r="F4225" s="5">
        <v>43831</v>
      </c>
      <c r="G4225">
        <v>136</v>
      </c>
      <c r="H4225" t="s">
        <v>57</v>
      </c>
    </row>
    <row r="4226" spans="1:8" x14ac:dyDescent="0.3">
      <c r="A4226">
        <v>359</v>
      </c>
      <c r="B4226" s="5">
        <v>43859</v>
      </c>
      <c r="C4226" t="s">
        <v>11</v>
      </c>
      <c r="D4226">
        <v>171</v>
      </c>
      <c r="E4226">
        <v>890</v>
      </c>
      <c r="F4226" s="5">
        <v>43831</v>
      </c>
      <c r="G4226">
        <v>-171</v>
      </c>
      <c r="H4226" t="s">
        <v>57</v>
      </c>
    </row>
    <row r="4227" spans="1:8" x14ac:dyDescent="0.3">
      <c r="A4227">
        <v>359</v>
      </c>
      <c r="B4227" s="5">
        <v>43870</v>
      </c>
      <c r="C4227" t="s">
        <v>10</v>
      </c>
      <c r="D4227">
        <v>434</v>
      </c>
      <c r="E4227">
        <v>1324</v>
      </c>
      <c r="F4227" s="5">
        <v>43862</v>
      </c>
      <c r="G4227">
        <v>434</v>
      </c>
      <c r="H4227" t="s">
        <v>57</v>
      </c>
    </row>
    <row r="4228" spans="1:8" x14ac:dyDescent="0.3">
      <c r="A4228">
        <v>359</v>
      </c>
      <c r="B4228" s="5">
        <v>43888</v>
      </c>
      <c r="C4228" t="s">
        <v>12</v>
      </c>
      <c r="D4228">
        <v>40</v>
      </c>
      <c r="E4228">
        <v>1284</v>
      </c>
      <c r="F4228" s="5">
        <v>43862</v>
      </c>
      <c r="G4228">
        <v>-40</v>
      </c>
      <c r="H4228" t="s">
        <v>57</v>
      </c>
    </row>
    <row r="4229" spans="1:8" x14ac:dyDescent="0.3">
      <c r="A4229">
        <v>359</v>
      </c>
      <c r="B4229" s="5">
        <v>43894</v>
      </c>
      <c r="C4229" t="s">
        <v>10</v>
      </c>
      <c r="D4229">
        <v>991</v>
      </c>
      <c r="E4229">
        <v>2275</v>
      </c>
      <c r="F4229" s="5">
        <v>43891</v>
      </c>
      <c r="G4229">
        <v>991</v>
      </c>
      <c r="H4229" t="s">
        <v>57</v>
      </c>
    </row>
    <row r="4230" spans="1:8" x14ac:dyDescent="0.3">
      <c r="A4230">
        <v>359</v>
      </c>
      <c r="B4230" s="5">
        <v>43895</v>
      </c>
      <c r="C4230" t="s">
        <v>10</v>
      </c>
      <c r="D4230">
        <v>845</v>
      </c>
      <c r="E4230">
        <v>3120</v>
      </c>
      <c r="F4230" s="5">
        <v>43891</v>
      </c>
      <c r="G4230">
        <v>845</v>
      </c>
      <c r="H4230" t="s">
        <v>57</v>
      </c>
    </row>
    <row r="4231" spans="1:8" x14ac:dyDescent="0.3">
      <c r="A4231">
        <v>359</v>
      </c>
      <c r="B4231" s="5">
        <v>43908</v>
      </c>
      <c r="C4231" t="s">
        <v>10</v>
      </c>
      <c r="D4231">
        <v>374</v>
      </c>
      <c r="E4231">
        <v>3494</v>
      </c>
      <c r="F4231" s="5">
        <v>43891</v>
      </c>
      <c r="G4231">
        <v>374</v>
      </c>
      <c r="H4231" t="s">
        <v>57</v>
      </c>
    </row>
    <row r="4232" spans="1:8" x14ac:dyDescent="0.3">
      <c r="A4232">
        <v>359</v>
      </c>
      <c r="B4232" s="5">
        <v>43914</v>
      </c>
      <c r="C4232" t="s">
        <v>12</v>
      </c>
      <c r="D4232">
        <v>335</v>
      </c>
      <c r="E4232">
        <v>3159</v>
      </c>
      <c r="F4232" s="5">
        <v>43891</v>
      </c>
      <c r="G4232">
        <v>-335</v>
      </c>
      <c r="H4232" t="s">
        <v>57</v>
      </c>
    </row>
    <row r="4233" spans="1:8" x14ac:dyDescent="0.3">
      <c r="A4233">
        <v>359</v>
      </c>
      <c r="B4233" s="5">
        <v>43928</v>
      </c>
      <c r="C4233" t="s">
        <v>11</v>
      </c>
      <c r="D4233">
        <v>281</v>
      </c>
      <c r="E4233">
        <v>2878</v>
      </c>
      <c r="F4233" s="5">
        <v>43922</v>
      </c>
      <c r="G4233">
        <v>-281</v>
      </c>
      <c r="H4233" t="s">
        <v>57</v>
      </c>
    </row>
    <row r="4234" spans="1:8" x14ac:dyDescent="0.3">
      <c r="A4234">
        <v>360</v>
      </c>
      <c r="B4234" s="5">
        <v>43846</v>
      </c>
      <c r="C4234" t="s">
        <v>10</v>
      </c>
      <c r="D4234">
        <v>385</v>
      </c>
      <c r="E4234">
        <v>385</v>
      </c>
      <c r="F4234" s="5">
        <v>43831</v>
      </c>
      <c r="G4234">
        <v>385</v>
      </c>
      <c r="H4234" t="s">
        <v>57</v>
      </c>
    </row>
    <row r="4235" spans="1:8" x14ac:dyDescent="0.3">
      <c r="A4235">
        <v>360</v>
      </c>
      <c r="B4235" s="5">
        <v>43849</v>
      </c>
      <c r="C4235" t="s">
        <v>12</v>
      </c>
      <c r="D4235">
        <v>77</v>
      </c>
      <c r="E4235">
        <v>308</v>
      </c>
      <c r="F4235" s="5">
        <v>43831</v>
      </c>
      <c r="G4235">
        <v>-77</v>
      </c>
      <c r="H4235" t="s">
        <v>57</v>
      </c>
    </row>
    <row r="4236" spans="1:8" x14ac:dyDescent="0.3">
      <c r="A4236">
        <v>360</v>
      </c>
      <c r="B4236" s="5">
        <v>43850</v>
      </c>
      <c r="C4236" t="s">
        <v>10</v>
      </c>
      <c r="D4236">
        <v>549</v>
      </c>
      <c r="E4236">
        <v>857</v>
      </c>
      <c r="F4236" s="5">
        <v>43831</v>
      </c>
      <c r="G4236">
        <v>549</v>
      </c>
      <c r="H4236" t="s">
        <v>57</v>
      </c>
    </row>
    <row r="4237" spans="1:8" x14ac:dyDescent="0.3">
      <c r="A4237">
        <v>360</v>
      </c>
      <c r="B4237" s="5">
        <v>43855</v>
      </c>
      <c r="C4237" t="s">
        <v>12</v>
      </c>
      <c r="D4237">
        <v>915</v>
      </c>
      <c r="E4237">
        <v>-58</v>
      </c>
      <c r="F4237" s="5">
        <v>43831</v>
      </c>
      <c r="G4237">
        <v>-915</v>
      </c>
      <c r="H4237" t="s">
        <v>58</v>
      </c>
    </row>
    <row r="4238" spans="1:8" x14ac:dyDescent="0.3">
      <c r="A4238">
        <v>360</v>
      </c>
      <c r="B4238" s="5">
        <v>43856</v>
      </c>
      <c r="C4238" t="s">
        <v>11</v>
      </c>
      <c r="D4238">
        <v>159</v>
      </c>
      <c r="E4238">
        <v>-217</v>
      </c>
      <c r="F4238" s="5">
        <v>43831</v>
      </c>
      <c r="G4238">
        <v>-159</v>
      </c>
      <c r="H4238" t="s">
        <v>58</v>
      </c>
    </row>
    <row r="4239" spans="1:8" x14ac:dyDescent="0.3">
      <c r="A4239">
        <v>360</v>
      </c>
      <c r="B4239" s="5">
        <v>43857</v>
      </c>
      <c r="C4239" t="s">
        <v>12</v>
      </c>
      <c r="D4239">
        <v>628</v>
      </c>
      <c r="E4239">
        <v>-845</v>
      </c>
      <c r="F4239" s="5">
        <v>43831</v>
      </c>
      <c r="G4239">
        <v>-628</v>
      </c>
      <c r="H4239" t="s">
        <v>58</v>
      </c>
    </row>
    <row r="4240" spans="1:8" x14ac:dyDescent="0.3">
      <c r="A4240">
        <v>360</v>
      </c>
      <c r="B4240" s="5">
        <v>43861</v>
      </c>
      <c r="C4240" t="s">
        <v>12</v>
      </c>
      <c r="D4240">
        <v>461</v>
      </c>
      <c r="E4240">
        <v>-1306</v>
      </c>
      <c r="F4240" s="5">
        <v>43831</v>
      </c>
      <c r="G4240">
        <v>-461</v>
      </c>
      <c r="H4240" t="s">
        <v>58</v>
      </c>
    </row>
    <row r="4241" spans="1:8" x14ac:dyDescent="0.3">
      <c r="A4241">
        <v>360</v>
      </c>
      <c r="B4241" s="5">
        <v>43871</v>
      </c>
      <c r="C4241" t="s">
        <v>10</v>
      </c>
      <c r="D4241">
        <v>912</v>
      </c>
      <c r="E4241">
        <v>-394</v>
      </c>
      <c r="F4241" s="5">
        <v>43862</v>
      </c>
      <c r="G4241">
        <v>912</v>
      </c>
      <c r="H4241" t="s">
        <v>58</v>
      </c>
    </row>
    <row r="4242" spans="1:8" x14ac:dyDescent="0.3">
      <c r="A4242">
        <v>360</v>
      </c>
      <c r="B4242" s="5">
        <v>43882</v>
      </c>
      <c r="C4242" t="s">
        <v>11</v>
      </c>
      <c r="D4242">
        <v>21</v>
      </c>
      <c r="E4242">
        <v>-415</v>
      </c>
      <c r="F4242" s="5">
        <v>43862</v>
      </c>
      <c r="G4242">
        <v>-21</v>
      </c>
      <c r="H4242" t="s">
        <v>58</v>
      </c>
    </row>
    <row r="4243" spans="1:8" x14ac:dyDescent="0.3">
      <c r="A4243">
        <v>360</v>
      </c>
      <c r="B4243" s="5">
        <v>43884</v>
      </c>
      <c r="C4243" t="s">
        <v>12</v>
      </c>
      <c r="D4243">
        <v>337</v>
      </c>
      <c r="E4243">
        <v>-752</v>
      </c>
      <c r="F4243" s="5">
        <v>43862</v>
      </c>
      <c r="G4243">
        <v>-337</v>
      </c>
      <c r="H4243" t="s">
        <v>58</v>
      </c>
    </row>
    <row r="4244" spans="1:8" x14ac:dyDescent="0.3">
      <c r="A4244">
        <v>360</v>
      </c>
      <c r="B4244" s="5">
        <v>43888</v>
      </c>
      <c r="C4244" t="s">
        <v>12</v>
      </c>
      <c r="D4244">
        <v>654</v>
      </c>
      <c r="E4244">
        <v>-1406</v>
      </c>
      <c r="F4244" s="5">
        <v>43862</v>
      </c>
      <c r="G4244">
        <v>-654</v>
      </c>
      <c r="H4244" t="s">
        <v>58</v>
      </c>
    </row>
    <row r="4245" spans="1:8" x14ac:dyDescent="0.3">
      <c r="A4245">
        <v>360</v>
      </c>
      <c r="B4245" s="5">
        <v>43888</v>
      </c>
      <c r="C4245" t="s">
        <v>10</v>
      </c>
      <c r="D4245">
        <v>979</v>
      </c>
      <c r="E4245">
        <v>-427</v>
      </c>
      <c r="F4245" s="5">
        <v>43862</v>
      </c>
      <c r="G4245">
        <v>979</v>
      </c>
      <c r="H4245" t="s">
        <v>58</v>
      </c>
    </row>
    <row r="4246" spans="1:8" x14ac:dyDescent="0.3">
      <c r="A4246">
        <v>360</v>
      </c>
      <c r="B4246" s="5">
        <v>43902</v>
      </c>
      <c r="C4246" t="s">
        <v>11</v>
      </c>
      <c r="D4246">
        <v>951</v>
      </c>
      <c r="E4246">
        <v>-1378</v>
      </c>
      <c r="F4246" s="5">
        <v>43891</v>
      </c>
      <c r="G4246">
        <v>-951</v>
      </c>
      <c r="H4246" t="s">
        <v>58</v>
      </c>
    </row>
    <row r="4247" spans="1:8" x14ac:dyDescent="0.3">
      <c r="A4247">
        <v>360</v>
      </c>
      <c r="B4247" s="5">
        <v>43907</v>
      </c>
      <c r="C4247" t="s">
        <v>12</v>
      </c>
      <c r="D4247">
        <v>408</v>
      </c>
      <c r="E4247">
        <v>-1786</v>
      </c>
      <c r="F4247" s="5">
        <v>43891</v>
      </c>
      <c r="G4247">
        <v>-408</v>
      </c>
      <c r="H4247" t="s">
        <v>58</v>
      </c>
    </row>
    <row r="4248" spans="1:8" x14ac:dyDescent="0.3">
      <c r="A4248">
        <v>360</v>
      </c>
      <c r="B4248" s="5">
        <v>43918</v>
      </c>
      <c r="C4248" t="s">
        <v>10</v>
      </c>
      <c r="D4248">
        <v>531</v>
      </c>
      <c r="E4248">
        <v>-1255</v>
      </c>
      <c r="F4248" s="5">
        <v>43891</v>
      </c>
      <c r="G4248">
        <v>531</v>
      </c>
      <c r="H4248" t="s">
        <v>58</v>
      </c>
    </row>
    <row r="4249" spans="1:8" x14ac:dyDescent="0.3">
      <c r="A4249">
        <v>360</v>
      </c>
      <c r="B4249" s="5">
        <v>43925</v>
      </c>
      <c r="C4249" t="s">
        <v>10</v>
      </c>
      <c r="D4249">
        <v>977</v>
      </c>
      <c r="E4249">
        <v>-278</v>
      </c>
      <c r="F4249" s="5">
        <v>43922</v>
      </c>
      <c r="G4249">
        <v>977</v>
      </c>
      <c r="H4249" t="s">
        <v>58</v>
      </c>
    </row>
    <row r="4250" spans="1:8" x14ac:dyDescent="0.3">
      <c r="A4250">
        <v>360</v>
      </c>
      <c r="B4250" s="5">
        <v>43927</v>
      </c>
      <c r="C4250" t="s">
        <v>11</v>
      </c>
      <c r="D4250">
        <v>954</v>
      </c>
      <c r="E4250">
        <v>-1232</v>
      </c>
      <c r="F4250" s="5">
        <v>43922</v>
      </c>
      <c r="G4250">
        <v>-954</v>
      </c>
      <c r="H4250" t="s">
        <v>58</v>
      </c>
    </row>
    <row r="4251" spans="1:8" x14ac:dyDescent="0.3">
      <c r="A4251">
        <v>360</v>
      </c>
      <c r="B4251" s="5">
        <v>43932</v>
      </c>
      <c r="C4251" t="s">
        <v>10</v>
      </c>
      <c r="D4251">
        <v>908</v>
      </c>
      <c r="E4251">
        <v>-324</v>
      </c>
      <c r="F4251" s="5">
        <v>43922</v>
      </c>
      <c r="G4251">
        <v>908</v>
      </c>
      <c r="H4251" t="s">
        <v>58</v>
      </c>
    </row>
    <row r="4252" spans="1:8" x14ac:dyDescent="0.3">
      <c r="A4252">
        <v>361</v>
      </c>
      <c r="B4252" s="5">
        <v>43842</v>
      </c>
      <c r="C4252" t="s">
        <v>12</v>
      </c>
      <c r="D4252">
        <v>457</v>
      </c>
      <c r="E4252">
        <v>-457</v>
      </c>
      <c r="F4252" s="5">
        <v>43831</v>
      </c>
      <c r="G4252">
        <v>-457</v>
      </c>
      <c r="H4252" t="s">
        <v>58</v>
      </c>
    </row>
    <row r="4253" spans="1:8" x14ac:dyDescent="0.3">
      <c r="A4253">
        <v>361</v>
      </c>
      <c r="B4253" s="5">
        <v>43842</v>
      </c>
      <c r="C4253" t="s">
        <v>10</v>
      </c>
      <c r="D4253">
        <v>797</v>
      </c>
      <c r="E4253">
        <v>340</v>
      </c>
      <c r="F4253" s="5">
        <v>43831</v>
      </c>
      <c r="G4253">
        <v>797</v>
      </c>
      <c r="H4253" t="s">
        <v>57</v>
      </c>
    </row>
    <row r="4254" spans="1:8" x14ac:dyDescent="0.3">
      <c r="A4254">
        <v>361</v>
      </c>
      <c r="B4254" s="5">
        <v>43873</v>
      </c>
      <c r="C4254" t="s">
        <v>10</v>
      </c>
      <c r="D4254">
        <v>109</v>
      </c>
      <c r="E4254">
        <v>449</v>
      </c>
      <c r="F4254" s="5">
        <v>43862</v>
      </c>
      <c r="G4254">
        <v>109</v>
      </c>
      <c r="H4254" t="s">
        <v>57</v>
      </c>
    </row>
    <row r="4255" spans="1:8" x14ac:dyDescent="0.3">
      <c r="A4255">
        <v>361</v>
      </c>
      <c r="B4255" s="5">
        <v>43882</v>
      </c>
      <c r="C4255" t="s">
        <v>10</v>
      </c>
      <c r="D4255">
        <v>323</v>
      </c>
      <c r="E4255">
        <v>772</v>
      </c>
      <c r="F4255" s="5">
        <v>43862</v>
      </c>
      <c r="G4255">
        <v>323</v>
      </c>
      <c r="H4255" t="s">
        <v>57</v>
      </c>
    </row>
    <row r="4256" spans="1:8" x14ac:dyDescent="0.3">
      <c r="A4256">
        <v>362</v>
      </c>
      <c r="B4256" s="5">
        <v>43858</v>
      </c>
      <c r="C4256" t="s">
        <v>10</v>
      </c>
      <c r="D4256">
        <v>416</v>
      </c>
      <c r="E4256">
        <v>416</v>
      </c>
      <c r="F4256" s="5">
        <v>43831</v>
      </c>
      <c r="G4256">
        <v>416</v>
      </c>
      <c r="H4256" t="s">
        <v>57</v>
      </c>
    </row>
    <row r="4257" spans="1:8" x14ac:dyDescent="0.3">
      <c r="A4257">
        <v>362</v>
      </c>
      <c r="B4257" s="5">
        <v>43874</v>
      </c>
      <c r="C4257" t="s">
        <v>10</v>
      </c>
      <c r="D4257">
        <v>65</v>
      </c>
      <c r="E4257">
        <v>481</v>
      </c>
      <c r="F4257" s="5">
        <v>43862</v>
      </c>
      <c r="G4257">
        <v>65</v>
      </c>
      <c r="H4257" t="s">
        <v>57</v>
      </c>
    </row>
    <row r="4258" spans="1:8" x14ac:dyDescent="0.3">
      <c r="A4258">
        <v>362</v>
      </c>
      <c r="B4258" s="5">
        <v>43916</v>
      </c>
      <c r="C4258" t="s">
        <v>12</v>
      </c>
      <c r="D4258">
        <v>74</v>
      </c>
      <c r="E4258">
        <v>407</v>
      </c>
      <c r="F4258" s="5">
        <v>43891</v>
      </c>
      <c r="G4258">
        <v>-74</v>
      </c>
      <c r="H4258" t="s">
        <v>57</v>
      </c>
    </row>
    <row r="4259" spans="1:8" x14ac:dyDescent="0.3">
      <c r="A4259">
        <v>362</v>
      </c>
      <c r="B4259" s="5">
        <v>43917</v>
      </c>
      <c r="C4259" t="s">
        <v>11</v>
      </c>
      <c r="D4259">
        <v>971</v>
      </c>
      <c r="E4259">
        <v>-564</v>
      </c>
      <c r="F4259" s="5">
        <v>43891</v>
      </c>
      <c r="G4259">
        <v>-971</v>
      </c>
      <c r="H4259" t="s">
        <v>58</v>
      </c>
    </row>
    <row r="4260" spans="1:8" x14ac:dyDescent="0.3">
      <c r="A4260">
        <v>362</v>
      </c>
      <c r="B4260" s="5">
        <v>43931</v>
      </c>
      <c r="C4260" t="s">
        <v>10</v>
      </c>
      <c r="D4260">
        <v>463</v>
      </c>
      <c r="E4260">
        <v>-101</v>
      </c>
      <c r="F4260" s="5">
        <v>43922</v>
      </c>
      <c r="G4260">
        <v>463</v>
      </c>
      <c r="H4260" t="s">
        <v>58</v>
      </c>
    </row>
    <row r="4261" spans="1:8" x14ac:dyDescent="0.3">
      <c r="A4261">
        <v>362</v>
      </c>
      <c r="B4261" s="5">
        <v>43943</v>
      </c>
      <c r="C4261" t="s">
        <v>10</v>
      </c>
      <c r="D4261">
        <v>716</v>
      </c>
      <c r="E4261">
        <v>615</v>
      </c>
      <c r="F4261" s="5">
        <v>43922</v>
      </c>
      <c r="G4261">
        <v>716</v>
      </c>
      <c r="H4261" t="s">
        <v>57</v>
      </c>
    </row>
    <row r="4262" spans="1:8" x14ac:dyDescent="0.3">
      <c r="A4262">
        <v>363</v>
      </c>
      <c r="B4262" s="5">
        <v>43836</v>
      </c>
      <c r="C4262" t="s">
        <v>10</v>
      </c>
      <c r="D4262">
        <v>99</v>
      </c>
      <c r="E4262">
        <v>99</v>
      </c>
      <c r="F4262" s="5">
        <v>43831</v>
      </c>
      <c r="G4262">
        <v>99</v>
      </c>
      <c r="H4262" t="s">
        <v>57</v>
      </c>
    </row>
    <row r="4263" spans="1:8" x14ac:dyDescent="0.3">
      <c r="A4263">
        <v>363</v>
      </c>
      <c r="B4263" s="5">
        <v>43836</v>
      </c>
      <c r="C4263" t="s">
        <v>10</v>
      </c>
      <c r="D4263">
        <v>622</v>
      </c>
      <c r="E4263">
        <v>721</v>
      </c>
      <c r="F4263" s="5">
        <v>43831</v>
      </c>
      <c r="G4263">
        <v>622</v>
      </c>
      <c r="H4263" t="s">
        <v>57</v>
      </c>
    </row>
    <row r="4264" spans="1:8" x14ac:dyDescent="0.3">
      <c r="A4264">
        <v>363</v>
      </c>
      <c r="B4264" s="5">
        <v>43859</v>
      </c>
      <c r="C4264" t="s">
        <v>10</v>
      </c>
      <c r="D4264">
        <v>256</v>
      </c>
      <c r="E4264">
        <v>977</v>
      </c>
      <c r="F4264" s="5">
        <v>43831</v>
      </c>
      <c r="G4264">
        <v>256</v>
      </c>
      <c r="H4264" t="s">
        <v>57</v>
      </c>
    </row>
    <row r="4265" spans="1:8" x14ac:dyDescent="0.3">
      <c r="A4265">
        <v>363</v>
      </c>
      <c r="B4265" s="5">
        <v>43867</v>
      </c>
      <c r="C4265" t="s">
        <v>11</v>
      </c>
      <c r="D4265">
        <v>551</v>
      </c>
      <c r="E4265">
        <v>426</v>
      </c>
      <c r="F4265" s="5">
        <v>43862</v>
      </c>
      <c r="G4265">
        <v>-551</v>
      </c>
      <c r="H4265" t="s">
        <v>57</v>
      </c>
    </row>
    <row r="4266" spans="1:8" x14ac:dyDescent="0.3">
      <c r="A4266">
        <v>363</v>
      </c>
      <c r="B4266" s="5">
        <v>43871</v>
      </c>
      <c r="C4266" t="s">
        <v>12</v>
      </c>
      <c r="D4266">
        <v>533</v>
      </c>
      <c r="E4266">
        <v>-107</v>
      </c>
      <c r="F4266" s="5">
        <v>43862</v>
      </c>
      <c r="G4266">
        <v>-533</v>
      </c>
      <c r="H4266" t="s">
        <v>58</v>
      </c>
    </row>
    <row r="4267" spans="1:8" x14ac:dyDescent="0.3">
      <c r="A4267">
        <v>363</v>
      </c>
      <c r="B4267" s="5">
        <v>43875</v>
      </c>
      <c r="C4267" t="s">
        <v>10</v>
      </c>
      <c r="D4267">
        <v>301</v>
      </c>
      <c r="E4267">
        <v>194</v>
      </c>
      <c r="F4267" s="5">
        <v>43862</v>
      </c>
      <c r="G4267">
        <v>301</v>
      </c>
      <c r="H4267" t="s">
        <v>57</v>
      </c>
    </row>
    <row r="4268" spans="1:8" x14ac:dyDescent="0.3">
      <c r="A4268">
        <v>363</v>
      </c>
      <c r="B4268" s="5">
        <v>43884</v>
      </c>
      <c r="C4268" t="s">
        <v>11</v>
      </c>
      <c r="D4268">
        <v>812</v>
      </c>
      <c r="E4268">
        <v>-618</v>
      </c>
      <c r="F4268" s="5">
        <v>43862</v>
      </c>
      <c r="G4268">
        <v>-812</v>
      </c>
      <c r="H4268" t="s">
        <v>58</v>
      </c>
    </row>
    <row r="4269" spans="1:8" x14ac:dyDescent="0.3">
      <c r="A4269">
        <v>363</v>
      </c>
      <c r="B4269" s="5">
        <v>43891</v>
      </c>
      <c r="C4269" t="s">
        <v>12</v>
      </c>
      <c r="D4269">
        <v>966</v>
      </c>
      <c r="E4269">
        <v>-1584</v>
      </c>
      <c r="F4269" s="5">
        <v>43891</v>
      </c>
      <c r="G4269">
        <v>-966</v>
      </c>
      <c r="H4269" t="s">
        <v>58</v>
      </c>
    </row>
    <row r="4270" spans="1:8" x14ac:dyDescent="0.3">
      <c r="A4270">
        <v>363</v>
      </c>
      <c r="B4270" s="5">
        <v>43894</v>
      </c>
      <c r="C4270" t="s">
        <v>11</v>
      </c>
      <c r="D4270">
        <v>563</v>
      </c>
      <c r="E4270">
        <v>-2147</v>
      </c>
      <c r="F4270" s="5">
        <v>43891</v>
      </c>
      <c r="G4270">
        <v>-563</v>
      </c>
      <c r="H4270" t="s">
        <v>58</v>
      </c>
    </row>
    <row r="4271" spans="1:8" x14ac:dyDescent="0.3">
      <c r="A4271">
        <v>363</v>
      </c>
      <c r="B4271" s="5">
        <v>43896</v>
      </c>
      <c r="C4271" t="s">
        <v>10</v>
      </c>
      <c r="D4271">
        <v>266</v>
      </c>
      <c r="E4271">
        <v>-1881</v>
      </c>
      <c r="F4271" s="5">
        <v>43891</v>
      </c>
      <c r="G4271">
        <v>266</v>
      </c>
      <c r="H4271" t="s">
        <v>58</v>
      </c>
    </row>
    <row r="4272" spans="1:8" x14ac:dyDescent="0.3">
      <c r="A4272">
        <v>363</v>
      </c>
      <c r="B4272" s="5">
        <v>43916</v>
      </c>
      <c r="C4272" t="s">
        <v>12</v>
      </c>
      <c r="D4272">
        <v>462</v>
      </c>
      <c r="E4272">
        <v>-2343</v>
      </c>
      <c r="F4272" s="5">
        <v>43891</v>
      </c>
      <c r="G4272">
        <v>-462</v>
      </c>
      <c r="H4272" t="s">
        <v>58</v>
      </c>
    </row>
    <row r="4273" spans="1:8" x14ac:dyDescent="0.3">
      <c r="A4273">
        <v>363</v>
      </c>
      <c r="B4273" s="5">
        <v>43918</v>
      </c>
      <c r="C4273" t="s">
        <v>12</v>
      </c>
      <c r="D4273">
        <v>722</v>
      </c>
      <c r="E4273">
        <v>-3065</v>
      </c>
      <c r="F4273" s="5">
        <v>43891</v>
      </c>
      <c r="G4273">
        <v>-722</v>
      </c>
      <c r="H4273" t="s">
        <v>58</v>
      </c>
    </row>
    <row r="4274" spans="1:8" x14ac:dyDescent="0.3">
      <c r="A4274">
        <v>363</v>
      </c>
      <c r="B4274" s="5">
        <v>43922</v>
      </c>
      <c r="C4274" t="s">
        <v>10</v>
      </c>
      <c r="D4274">
        <v>179</v>
      </c>
      <c r="E4274">
        <v>-2886</v>
      </c>
      <c r="F4274" s="5">
        <v>43922</v>
      </c>
      <c r="G4274">
        <v>179</v>
      </c>
      <c r="H4274" t="s">
        <v>58</v>
      </c>
    </row>
    <row r="4275" spans="1:8" x14ac:dyDescent="0.3">
      <c r="A4275">
        <v>364</v>
      </c>
      <c r="B4275" s="5">
        <v>43840</v>
      </c>
      <c r="C4275" t="s">
        <v>10</v>
      </c>
      <c r="D4275">
        <v>563</v>
      </c>
      <c r="E4275">
        <v>563</v>
      </c>
      <c r="F4275" s="5">
        <v>43831</v>
      </c>
      <c r="G4275">
        <v>563</v>
      </c>
      <c r="H4275" t="s">
        <v>57</v>
      </c>
    </row>
    <row r="4276" spans="1:8" x14ac:dyDescent="0.3">
      <c r="A4276">
        <v>364</v>
      </c>
      <c r="B4276" s="5">
        <v>43852</v>
      </c>
      <c r="C4276" t="s">
        <v>12</v>
      </c>
      <c r="D4276">
        <v>365</v>
      </c>
      <c r="E4276">
        <v>198</v>
      </c>
      <c r="F4276" s="5">
        <v>43831</v>
      </c>
      <c r="G4276">
        <v>-365</v>
      </c>
      <c r="H4276" t="s">
        <v>57</v>
      </c>
    </row>
    <row r="4277" spans="1:8" x14ac:dyDescent="0.3">
      <c r="A4277">
        <v>364</v>
      </c>
      <c r="B4277" s="5">
        <v>43855</v>
      </c>
      <c r="C4277" t="s">
        <v>11</v>
      </c>
      <c r="D4277">
        <v>255</v>
      </c>
      <c r="E4277">
        <v>-57</v>
      </c>
      <c r="F4277" s="5">
        <v>43831</v>
      </c>
      <c r="G4277">
        <v>-255</v>
      </c>
      <c r="H4277" t="s">
        <v>58</v>
      </c>
    </row>
    <row r="4278" spans="1:8" x14ac:dyDescent="0.3">
      <c r="A4278">
        <v>364</v>
      </c>
      <c r="B4278" s="5">
        <v>43872</v>
      </c>
      <c r="C4278" t="s">
        <v>12</v>
      </c>
      <c r="D4278">
        <v>469</v>
      </c>
      <c r="E4278">
        <v>-526</v>
      </c>
      <c r="F4278" s="5">
        <v>43862</v>
      </c>
      <c r="G4278">
        <v>-469</v>
      </c>
      <c r="H4278" t="s">
        <v>58</v>
      </c>
    </row>
    <row r="4279" spans="1:8" x14ac:dyDescent="0.3">
      <c r="A4279">
        <v>364</v>
      </c>
      <c r="B4279" s="5">
        <v>43874</v>
      </c>
      <c r="C4279" t="s">
        <v>10</v>
      </c>
      <c r="D4279">
        <v>87</v>
      </c>
      <c r="E4279">
        <v>-439</v>
      </c>
      <c r="F4279" s="5">
        <v>43862</v>
      </c>
      <c r="G4279">
        <v>87</v>
      </c>
      <c r="H4279" t="s">
        <v>58</v>
      </c>
    </row>
    <row r="4280" spans="1:8" x14ac:dyDescent="0.3">
      <c r="A4280">
        <v>364</v>
      </c>
      <c r="B4280" s="5">
        <v>43876</v>
      </c>
      <c r="C4280" t="s">
        <v>10</v>
      </c>
      <c r="D4280">
        <v>846</v>
      </c>
      <c r="E4280">
        <v>407</v>
      </c>
      <c r="F4280" s="5">
        <v>43862</v>
      </c>
      <c r="G4280">
        <v>846</v>
      </c>
      <c r="H4280" t="s">
        <v>57</v>
      </c>
    </row>
    <row r="4281" spans="1:8" x14ac:dyDescent="0.3">
      <c r="A4281">
        <v>364</v>
      </c>
      <c r="B4281" s="5">
        <v>43876</v>
      </c>
      <c r="C4281" t="s">
        <v>12</v>
      </c>
      <c r="D4281">
        <v>211</v>
      </c>
      <c r="E4281">
        <v>196</v>
      </c>
      <c r="F4281" s="5">
        <v>43862</v>
      </c>
      <c r="G4281">
        <v>-211</v>
      </c>
      <c r="H4281" t="s">
        <v>57</v>
      </c>
    </row>
    <row r="4282" spans="1:8" x14ac:dyDescent="0.3">
      <c r="A4282">
        <v>364</v>
      </c>
      <c r="B4282" s="5">
        <v>43877</v>
      </c>
      <c r="C4282" t="s">
        <v>10</v>
      </c>
      <c r="D4282">
        <v>127</v>
      </c>
      <c r="E4282">
        <v>323</v>
      </c>
      <c r="F4282" s="5">
        <v>43862</v>
      </c>
      <c r="G4282">
        <v>127</v>
      </c>
      <c r="H4282" t="s">
        <v>57</v>
      </c>
    </row>
    <row r="4283" spans="1:8" x14ac:dyDescent="0.3">
      <c r="A4283">
        <v>364</v>
      </c>
      <c r="B4283" s="5">
        <v>43882</v>
      </c>
      <c r="C4283" t="s">
        <v>11</v>
      </c>
      <c r="D4283">
        <v>704</v>
      </c>
      <c r="E4283">
        <v>-381</v>
      </c>
      <c r="F4283" s="5">
        <v>43862</v>
      </c>
      <c r="G4283">
        <v>-704</v>
      </c>
      <c r="H4283" t="s">
        <v>58</v>
      </c>
    </row>
    <row r="4284" spans="1:8" x14ac:dyDescent="0.3">
      <c r="A4284">
        <v>364</v>
      </c>
      <c r="B4284" s="5">
        <v>43886</v>
      </c>
      <c r="C4284" t="s">
        <v>12</v>
      </c>
      <c r="D4284">
        <v>75</v>
      </c>
      <c r="E4284">
        <v>-456</v>
      </c>
      <c r="F4284" s="5">
        <v>43862</v>
      </c>
      <c r="G4284">
        <v>-75</v>
      </c>
      <c r="H4284" t="s">
        <v>58</v>
      </c>
    </row>
    <row r="4285" spans="1:8" x14ac:dyDescent="0.3">
      <c r="A4285">
        <v>364</v>
      </c>
      <c r="B4285" s="5">
        <v>43892</v>
      </c>
      <c r="C4285" t="s">
        <v>12</v>
      </c>
      <c r="D4285">
        <v>543</v>
      </c>
      <c r="E4285">
        <v>-999</v>
      </c>
      <c r="F4285" s="5">
        <v>43891</v>
      </c>
      <c r="G4285">
        <v>-543</v>
      </c>
      <c r="H4285" t="s">
        <v>58</v>
      </c>
    </row>
    <row r="4286" spans="1:8" x14ac:dyDescent="0.3">
      <c r="A4286">
        <v>364</v>
      </c>
      <c r="B4286" s="5">
        <v>43894</v>
      </c>
      <c r="C4286" t="s">
        <v>10</v>
      </c>
      <c r="D4286">
        <v>615</v>
      </c>
      <c r="E4286">
        <v>-384</v>
      </c>
      <c r="F4286" s="5">
        <v>43891</v>
      </c>
      <c r="G4286">
        <v>615</v>
      </c>
      <c r="H4286" t="s">
        <v>58</v>
      </c>
    </row>
    <row r="4287" spans="1:8" x14ac:dyDescent="0.3">
      <c r="A4287">
        <v>364</v>
      </c>
      <c r="B4287" s="5">
        <v>43894</v>
      </c>
      <c r="C4287" t="s">
        <v>10</v>
      </c>
      <c r="D4287">
        <v>512</v>
      </c>
      <c r="E4287">
        <v>128</v>
      </c>
      <c r="F4287" s="5">
        <v>43891</v>
      </c>
      <c r="G4287">
        <v>512</v>
      </c>
      <c r="H4287" t="s">
        <v>57</v>
      </c>
    </row>
    <row r="4288" spans="1:8" x14ac:dyDescent="0.3">
      <c r="A4288">
        <v>364</v>
      </c>
      <c r="B4288" s="5">
        <v>43903</v>
      </c>
      <c r="C4288" t="s">
        <v>12</v>
      </c>
      <c r="D4288">
        <v>241</v>
      </c>
      <c r="E4288">
        <v>-113</v>
      </c>
      <c r="F4288" s="5">
        <v>43891</v>
      </c>
      <c r="G4288">
        <v>-241</v>
      </c>
      <c r="H4288" t="s">
        <v>58</v>
      </c>
    </row>
    <row r="4289" spans="1:8" x14ac:dyDescent="0.3">
      <c r="A4289">
        <v>364</v>
      </c>
      <c r="B4289" s="5">
        <v>43904</v>
      </c>
      <c r="C4289" t="s">
        <v>10</v>
      </c>
      <c r="D4289">
        <v>736</v>
      </c>
      <c r="E4289">
        <v>623</v>
      </c>
      <c r="F4289" s="5">
        <v>43891</v>
      </c>
      <c r="G4289">
        <v>736</v>
      </c>
      <c r="H4289" t="s">
        <v>57</v>
      </c>
    </row>
    <row r="4290" spans="1:8" x14ac:dyDescent="0.3">
      <c r="A4290">
        <v>364</v>
      </c>
      <c r="B4290" s="5">
        <v>43907</v>
      </c>
      <c r="C4290" t="s">
        <v>10</v>
      </c>
      <c r="D4290">
        <v>550</v>
      </c>
      <c r="E4290">
        <v>1173</v>
      </c>
      <c r="F4290" s="5">
        <v>43891</v>
      </c>
      <c r="G4290">
        <v>550</v>
      </c>
      <c r="H4290" t="s">
        <v>57</v>
      </c>
    </row>
    <row r="4291" spans="1:8" x14ac:dyDescent="0.3">
      <c r="A4291">
        <v>364</v>
      </c>
      <c r="B4291" s="5">
        <v>43927</v>
      </c>
      <c r="C4291" t="s">
        <v>10</v>
      </c>
      <c r="D4291">
        <v>537</v>
      </c>
      <c r="E4291">
        <v>1710</v>
      </c>
      <c r="F4291" s="5">
        <v>43922</v>
      </c>
      <c r="G4291">
        <v>537</v>
      </c>
      <c r="H4291" t="s">
        <v>57</v>
      </c>
    </row>
    <row r="4292" spans="1:8" x14ac:dyDescent="0.3">
      <c r="A4292">
        <v>364</v>
      </c>
      <c r="B4292" s="5">
        <v>43927</v>
      </c>
      <c r="C4292" t="s">
        <v>12</v>
      </c>
      <c r="D4292">
        <v>899</v>
      </c>
      <c r="E4292">
        <v>811</v>
      </c>
      <c r="F4292" s="5">
        <v>43922</v>
      </c>
      <c r="G4292">
        <v>-899</v>
      </c>
      <c r="H4292" t="s">
        <v>57</v>
      </c>
    </row>
    <row r="4293" spans="1:8" x14ac:dyDescent="0.3">
      <c r="A4293">
        <v>365</v>
      </c>
      <c r="B4293" s="5">
        <v>43855</v>
      </c>
      <c r="C4293" t="s">
        <v>10</v>
      </c>
      <c r="D4293">
        <v>595</v>
      </c>
      <c r="E4293">
        <v>595</v>
      </c>
      <c r="F4293" s="5">
        <v>43831</v>
      </c>
      <c r="G4293">
        <v>595</v>
      </c>
      <c r="H4293" t="s">
        <v>57</v>
      </c>
    </row>
    <row r="4294" spans="1:8" x14ac:dyDescent="0.3">
      <c r="A4294">
        <v>365</v>
      </c>
      <c r="B4294" s="5">
        <v>43856</v>
      </c>
      <c r="C4294" t="s">
        <v>12</v>
      </c>
      <c r="D4294">
        <v>412</v>
      </c>
      <c r="E4294">
        <v>183</v>
      </c>
      <c r="F4294" s="5">
        <v>43831</v>
      </c>
      <c r="G4294">
        <v>-412</v>
      </c>
      <c r="H4294" t="s">
        <v>57</v>
      </c>
    </row>
    <row r="4295" spans="1:8" x14ac:dyDescent="0.3">
      <c r="A4295">
        <v>365</v>
      </c>
      <c r="B4295" s="5">
        <v>43858</v>
      </c>
      <c r="C4295" t="s">
        <v>12</v>
      </c>
      <c r="D4295">
        <v>251</v>
      </c>
      <c r="E4295">
        <v>-68</v>
      </c>
      <c r="F4295" s="5">
        <v>43831</v>
      </c>
      <c r="G4295">
        <v>-251</v>
      </c>
      <c r="H4295" t="s">
        <v>58</v>
      </c>
    </row>
    <row r="4296" spans="1:8" x14ac:dyDescent="0.3">
      <c r="A4296">
        <v>365</v>
      </c>
      <c r="B4296" s="5">
        <v>43865</v>
      </c>
      <c r="C4296" t="s">
        <v>10</v>
      </c>
      <c r="D4296">
        <v>355</v>
      </c>
      <c r="E4296">
        <v>287</v>
      </c>
      <c r="F4296" s="5">
        <v>43862</v>
      </c>
      <c r="G4296">
        <v>355</v>
      </c>
      <c r="H4296" t="s">
        <v>57</v>
      </c>
    </row>
    <row r="4297" spans="1:8" x14ac:dyDescent="0.3">
      <c r="A4297">
        <v>365</v>
      </c>
      <c r="B4297" s="5">
        <v>43882</v>
      </c>
      <c r="C4297" t="s">
        <v>10</v>
      </c>
      <c r="D4297">
        <v>715</v>
      </c>
      <c r="E4297">
        <v>1002</v>
      </c>
      <c r="F4297" s="5">
        <v>43862</v>
      </c>
      <c r="G4297">
        <v>715</v>
      </c>
      <c r="H4297" t="s">
        <v>57</v>
      </c>
    </row>
    <row r="4298" spans="1:8" x14ac:dyDescent="0.3">
      <c r="A4298">
        <v>365</v>
      </c>
      <c r="B4298" s="5">
        <v>43886</v>
      </c>
      <c r="C4298" t="s">
        <v>11</v>
      </c>
      <c r="D4298">
        <v>462</v>
      </c>
      <c r="E4298">
        <v>540</v>
      </c>
      <c r="F4298" s="5">
        <v>43862</v>
      </c>
      <c r="G4298">
        <v>-462</v>
      </c>
      <c r="H4298" t="s">
        <v>57</v>
      </c>
    </row>
    <row r="4299" spans="1:8" x14ac:dyDescent="0.3">
      <c r="A4299">
        <v>365</v>
      </c>
      <c r="B4299" s="5">
        <v>43888</v>
      </c>
      <c r="C4299" t="s">
        <v>12</v>
      </c>
      <c r="D4299">
        <v>296</v>
      </c>
      <c r="E4299">
        <v>244</v>
      </c>
      <c r="F4299" s="5">
        <v>43862</v>
      </c>
      <c r="G4299">
        <v>-296</v>
      </c>
      <c r="H4299" t="s">
        <v>57</v>
      </c>
    </row>
    <row r="4300" spans="1:8" x14ac:dyDescent="0.3">
      <c r="A4300">
        <v>365</v>
      </c>
      <c r="B4300" s="5">
        <v>43902</v>
      </c>
      <c r="C4300" t="s">
        <v>12</v>
      </c>
      <c r="D4300">
        <v>750</v>
      </c>
      <c r="E4300">
        <v>-506</v>
      </c>
      <c r="F4300" s="5">
        <v>43891</v>
      </c>
      <c r="G4300">
        <v>-750</v>
      </c>
      <c r="H4300" t="s">
        <v>58</v>
      </c>
    </row>
    <row r="4301" spans="1:8" x14ac:dyDescent="0.3">
      <c r="A4301">
        <v>365</v>
      </c>
      <c r="B4301" s="5">
        <v>43911</v>
      </c>
      <c r="C4301" t="s">
        <v>10</v>
      </c>
      <c r="D4301">
        <v>689</v>
      </c>
      <c r="E4301">
        <v>183</v>
      </c>
      <c r="F4301" s="5">
        <v>43891</v>
      </c>
      <c r="G4301">
        <v>689</v>
      </c>
      <c r="H4301" t="s">
        <v>57</v>
      </c>
    </row>
    <row r="4302" spans="1:8" x14ac:dyDescent="0.3">
      <c r="A4302">
        <v>365</v>
      </c>
      <c r="B4302" s="5">
        <v>43915</v>
      </c>
      <c r="C4302" t="s">
        <v>11</v>
      </c>
      <c r="D4302">
        <v>152</v>
      </c>
      <c r="E4302">
        <v>31</v>
      </c>
      <c r="F4302" s="5">
        <v>43891</v>
      </c>
      <c r="G4302">
        <v>-152</v>
      </c>
      <c r="H4302" t="s">
        <v>57</v>
      </c>
    </row>
    <row r="4303" spans="1:8" x14ac:dyDescent="0.3">
      <c r="A4303">
        <v>365</v>
      </c>
      <c r="B4303" s="5">
        <v>43920</v>
      </c>
      <c r="C4303" t="s">
        <v>11</v>
      </c>
      <c r="D4303">
        <v>106</v>
      </c>
      <c r="E4303">
        <v>-75</v>
      </c>
      <c r="F4303" s="5">
        <v>43891</v>
      </c>
      <c r="G4303">
        <v>-106</v>
      </c>
      <c r="H4303" t="s">
        <v>58</v>
      </c>
    </row>
    <row r="4304" spans="1:8" x14ac:dyDescent="0.3">
      <c r="A4304">
        <v>365</v>
      </c>
      <c r="B4304" s="5">
        <v>43929</v>
      </c>
      <c r="C4304" t="s">
        <v>10</v>
      </c>
      <c r="D4304">
        <v>469</v>
      </c>
      <c r="E4304">
        <v>394</v>
      </c>
      <c r="F4304" s="5">
        <v>43922</v>
      </c>
      <c r="G4304">
        <v>469</v>
      </c>
      <c r="H4304" t="s">
        <v>57</v>
      </c>
    </row>
    <row r="4305" spans="1:8" x14ac:dyDescent="0.3">
      <c r="A4305">
        <v>365</v>
      </c>
      <c r="B4305" s="5">
        <v>43936</v>
      </c>
      <c r="C4305" t="s">
        <v>12</v>
      </c>
      <c r="D4305">
        <v>229</v>
      </c>
      <c r="E4305">
        <v>165</v>
      </c>
      <c r="F4305" s="5">
        <v>43922</v>
      </c>
      <c r="G4305">
        <v>-229</v>
      </c>
      <c r="H4305" t="s">
        <v>57</v>
      </c>
    </row>
    <row r="4306" spans="1:8" x14ac:dyDescent="0.3">
      <c r="A4306">
        <v>365</v>
      </c>
      <c r="B4306" s="5">
        <v>43944</v>
      </c>
      <c r="C4306" t="s">
        <v>11</v>
      </c>
      <c r="D4306">
        <v>925</v>
      </c>
      <c r="E4306">
        <v>-760</v>
      </c>
      <c r="F4306" s="5">
        <v>43922</v>
      </c>
      <c r="G4306">
        <v>-925</v>
      </c>
      <c r="H4306" t="s">
        <v>58</v>
      </c>
    </row>
    <row r="4307" spans="1:8" x14ac:dyDescent="0.3">
      <c r="A4307">
        <v>366</v>
      </c>
      <c r="B4307" s="5">
        <v>43851</v>
      </c>
      <c r="C4307" t="s">
        <v>10</v>
      </c>
      <c r="D4307">
        <v>965</v>
      </c>
      <c r="E4307">
        <v>965</v>
      </c>
      <c r="F4307" s="5">
        <v>43831</v>
      </c>
      <c r="G4307">
        <v>965</v>
      </c>
      <c r="H4307" t="s">
        <v>57</v>
      </c>
    </row>
    <row r="4308" spans="1:8" x14ac:dyDescent="0.3">
      <c r="A4308">
        <v>366</v>
      </c>
      <c r="B4308" s="5">
        <v>43855</v>
      </c>
      <c r="C4308" t="s">
        <v>11</v>
      </c>
      <c r="D4308">
        <v>708</v>
      </c>
      <c r="E4308">
        <v>257</v>
      </c>
      <c r="F4308" s="5">
        <v>43831</v>
      </c>
      <c r="G4308">
        <v>-708</v>
      </c>
      <c r="H4308" t="s">
        <v>57</v>
      </c>
    </row>
    <row r="4309" spans="1:8" x14ac:dyDescent="0.3">
      <c r="A4309">
        <v>366</v>
      </c>
      <c r="B4309" s="5">
        <v>43856</v>
      </c>
      <c r="C4309" t="s">
        <v>12</v>
      </c>
      <c r="D4309">
        <v>308</v>
      </c>
      <c r="E4309">
        <v>-51</v>
      </c>
      <c r="F4309" s="5">
        <v>43831</v>
      </c>
      <c r="G4309">
        <v>-308</v>
      </c>
      <c r="H4309" t="s">
        <v>58</v>
      </c>
    </row>
    <row r="4310" spans="1:8" x14ac:dyDescent="0.3">
      <c r="A4310">
        <v>366</v>
      </c>
      <c r="B4310" s="5">
        <v>43864</v>
      </c>
      <c r="C4310" t="s">
        <v>10</v>
      </c>
      <c r="D4310">
        <v>444</v>
      </c>
      <c r="E4310">
        <v>393</v>
      </c>
      <c r="F4310" s="5">
        <v>43862</v>
      </c>
      <c r="G4310">
        <v>444</v>
      </c>
      <c r="H4310" t="s">
        <v>57</v>
      </c>
    </row>
    <row r="4311" spans="1:8" x14ac:dyDescent="0.3">
      <c r="A4311">
        <v>366</v>
      </c>
      <c r="B4311" s="5">
        <v>43865</v>
      </c>
      <c r="C4311" t="s">
        <v>10</v>
      </c>
      <c r="D4311">
        <v>9</v>
      </c>
      <c r="E4311">
        <v>402</v>
      </c>
      <c r="F4311" s="5">
        <v>43862</v>
      </c>
      <c r="G4311">
        <v>9</v>
      </c>
      <c r="H4311" t="s">
        <v>57</v>
      </c>
    </row>
    <row r="4312" spans="1:8" x14ac:dyDescent="0.3">
      <c r="A4312">
        <v>366</v>
      </c>
      <c r="B4312" s="5">
        <v>43866</v>
      </c>
      <c r="C4312" t="s">
        <v>10</v>
      </c>
      <c r="D4312">
        <v>707</v>
      </c>
      <c r="E4312">
        <v>1109</v>
      </c>
      <c r="F4312" s="5">
        <v>43862</v>
      </c>
      <c r="G4312">
        <v>707</v>
      </c>
      <c r="H4312" t="s">
        <v>57</v>
      </c>
    </row>
    <row r="4313" spans="1:8" x14ac:dyDescent="0.3">
      <c r="A4313">
        <v>366</v>
      </c>
      <c r="B4313" s="5">
        <v>43873</v>
      </c>
      <c r="C4313" t="s">
        <v>10</v>
      </c>
      <c r="D4313">
        <v>944</v>
      </c>
      <c r="E4313">
        <v>2053</v>
      </c>
      <c r="F4313" s="5">
        <v>43862</v>
      </c>
      <c r="G4313">
        <v>944</v>
      </c>
      <c r="H4313" t="s">
        <v>57</v>
      </c>
    </row>
    <row r="4314" spans="1:8" x14ac:dyDescent="0.3">
      <c r="A4314">
        <v>366</v>
      </c>
      <c r="B4314" s="5">
        <v>43873</v>
      </c>
      <c r="C4314" t="s">
        <v>12</v>
      </c>
      <c r="D4314">
        <v>530</v>
      </c>
      <c r="E4314">
        <v>1523</v>
      </c>
      <c r="F4314" s="5">
        <v>43862</v>
      </c>
      <c r="G4314">
        <v>-530</v>
      </c>
      <c r="H4314" t="s">
        <v>57</v>
      </c>
    </row>
    <row r="4315" spans="1:8" x14ac:dyDescent="0.3">
      <c r="A4315">
        <v>366</v>
      </c>
      <c r="B4315" s="5">
        <v>43882</v>
      </c>
      <c r="C4315" t="s">
        <v>10</v>
      </c>
      <c r="D4315">
        <v>569</v>
      </c>
      <c r="E4315">
        <v>2092</v>
      </c>
      <c r="F4315" s="5">
        <v>43862</v>
      </c>
      <c r="G4315">
        <v>569</v>
      </c>
      <c r="H4315" t="s">
        <v>57</v>
      </c>
    </row>
    <row r="4316" spans="1:8" x14ac:dyDescent="0.3">
      <c r="A4316">
        <v>366</v>
      </c>
      <c r="B4316" s="5">
        <v>43883</v>
      </c>
      <c r="C4316" t="s">
        <v>12</v>
      </c>
      <c r="D4316">
        <v>756</v>
      </c>
      <c r="E4316">
        <v>1336</v>
      </c>
      <c r="F4316" s="5">
        <v>43862</v>
      </c>
      <c r="G4316">
        <v>-756</v>
      </c>
      <c r="H4316" t="s">
        <v>57</v>
      </c>
    </row>
    <row r="4317" spans="1:8" x14ac:dyDescent="0.3">
      <c r="A4317">
        <v>366</v>
      </c>
      <c r="B4317" s="5">
        <v>43883</v>
      </c>
      <c r="C4317" t="s">
        <v>10</v>
      </c>
      <c r="D4317">
        <v>297</v>
      </c>
      <c r="E4317">
        <v>1633</v>
      </c>
      <c r="F4317" s="5">
        <v>43862</v>
      </c>
      <c r="G4317">
        <v>297</v>
      </c>
      <c r="H4317" t="s">
        <v>57</v>
      </c>
    </row>
    <row r="4318" spans="1:8" x14ac:dyDescent="0.3">
      <c r="A4318">
        <v>366</v>
      </c>
      <c r="B4318" s="5">
        <v>43884</v>
      </c>
      <c r="C4318" t="s">
        <v>11</v>
      </c>
      <c r="D4318">
        <v>760</v>
      </c>
      <c r="E4318">
        <v>873</v>
      </c>
      <c r="F4318" s="5">
        <v>43862</v>
      </c>
      <c r="G4318">
        <v>-760</v>
      </c>
      <c r="H4318" t="s">
        <v>57</v>
      </c>
    </row>
    <row r="4319" spans="1:8" x14ac:dyDescent="0.3">
      <c r="A4319">
        <v>366</v>
      </c>
      <c r="B4319" s="5">
        <v>43884</v>
      </c>
      <c r="C4319" t="s">
        <v>12</v>
      </c>
      <c r="D4319">
        <v>819</v>
      </c>
      <c r="E4319">
        <v>54</v>
      </c>
      <c r="F4319" s="5">
        <v>43862</v>
      </c>
      <c r="G4319">
        <v>-819</v>
      </c>
      <c r="H4319" t="s">
        <v>57</v>
      </c>
    </row>
    <row r="4320" spans="1:8" x14ac:dyDescent="0.3">
      <c r="A4320">
        <v>366</v>
      </c>
      <c r="B4320" s="5">
        <v>43885</v>
      </c>
      <c r="C4320" t="s">
        <v>12</v>
      </c>
      <c r="D4320">
        <v>147</v>
      </c>
      <c r="E4320">
        <v>-93</v>
      </c>
      <c r="F4320" s="5">
        <v>43862</v>
      </c>
      <c r="G4320">
        <v>-147</v>
      </c>
      <c r="H4320" t="s">
        <v>58</v>
      </c>
    </row>
    <row r="4321" spans="1:8" x14ac:dyDescent="0.3">
      <c r="A4321">
        <v>366</v>
      </c>
      <c r="B4321" s="5">
        <v>43893</v>
      </c>
      <c r="C4321" t="s">
        <v>12</v>
      </c>
      <c r="D4321">
        <v>401</v>
      </c>
      <c r="E4321">
        <v>-494</v>
      </c>
      <c r="F4321" s="5">
        <v>43891</v>
      </c>
      <c r="G4321">
        <v>-401</v>
      </c>
      <c r="H4321" t="s">
        <v>58</v>
      </c>
    </row>
    <row r="4322" spans="1:8" x14ac:dyDescent="0.3">
      <c r="A4322">
        <v>366</v>
      </c>
      <c r="B4322" s="5">
        <v>43895</v>
      </c>
      <c r="C4322" t="s">
        <v>11</v>
      </c>
      <c r="D4322">
        <v>19</v>
      </c>
      <c r="E4322">
        <v>-513</v>
      </c>
      <c r="F4322" s="5">
        <v>43891</v>
      </c>
      <c r="G4322">
        <v>-19</v>
      </c>
      <c r="H4322" t="s">
        <v>58</v>
      </c>
    </row>
    <row r="4323" spans="1:8" x14ac:dyDescent="0.3">
      <c r="A4323">
        <v>366</v>
      </c>
      <c r="B4323" s="5">
        <v>43897</v>
      </c>
      <c r="C4323" t="s">
        <v>11</v>
      </c>
      <c r="D4323">
        <v>270</v>
      </c>
      <c r="E4323">
        <v>-783</v>
      </c>
      <c r="F4323" s="5">
        <v>43891</v>
      </c>
      <c r="G4323">
        <v>-270</v>
      </c>
      <c r="H4323" t="s">
        <v>58</v>
      </c>
    </row>
    <row r="4324" spans="1:8" x14ac:dyDescent="0.3">
      <c r="A4324">
        <v>366</v>
      </c>
      <c r="B4324" s="5">
        <v>43904</v>
      </c>
      <c r="C4324" t="s">
        <v>12</v>
      </c>
      <c r="D4324">
        <v>291</v>
      </c>
      <c r="E4324">
        <v>-1074</v>
      </c>
      <c r="F4324" s="5">
        <v>43891</v>
      </c>
      <c r="G4324">
        <v>-291</v>
      </c>
      <c r="H4324" t="s">
        <v>58</v>
      </c>
    </row>
    <row r="4325" spans="1:8" x14ac:dyDescent="0.3">
      <c r="A4325">
        <v>366</v>
      </c>
      <c r="B4325" s="5">
        <v>43917</v>
      </c>
      <c r="C4325" t="s">
        <v>11</v>
      </c>
      <c r="D4325">
        <v>174</v>
      </c>
      <c r="E4325">
        <v>-1248</v>
      </c>
      <c r="F4325" s="5">
        <v>43891</v>
      </c>
      <c r="G4325">
        <v>-174</v>
      </c>
      <c r="H4325" t="s">
        <v>58</v>
      </c>
    </row>
    <row r="4326" spans="1:8" x14ac:dyDescent="0.3">
      <c r="A4326">
        <v>366</v>
      </c>
      <c r="B4326" s="5">
        <v>43918</v>
      </c>
      <c r="C4326" t="s">
        <v>12</v>
      </c>
      <c r="D4326">
        <v>57</v>
      </c>
      <c r="E4326">
        <v>-1305</v>
      </c>
      <c r="F4326" s="5">
        <v>43891</v>
      </c>
      <c r="G4326">
        <v>-57</v>
      </c>
      <c r="H4326" t="s">
        <v>58</v>
      </c>
    </row>
    <row r="4327" spans="1:8" x14ac:dyDescent="0.3">
      <c r="A4327">
        <v>366</v>
      </c>
      <c r="B4327" s="5">
        <v>43924</v>
      </c>
      <c r="C4327" t="s">
        <v>10</v>
      </c>
      <c r="D4327">
        <v>209</v>
      </c>
      <c r="E4327">
        <v>-1096</v>
      </c>
      <c r="F4327" s="5">
        <v>43922</v>
      </c>
      <c r="G4327">
        <v>209</v>
      </c>
      <c r="H4327" t="s">
        <v>58</v>
      </c>
    </row>
    <row r="4328" spans="1:8" x14ac:dyDescent="0.3">
      <c r="A4328">
        <v>367</v>
      </c>
      <c r="B4328" s="5">
        <v>43859</v>
      </c>
      <c r="C4328" t="s">
        <v>10</v>
      </c>
      <c r="D4328">
        <v>239</v>
      </c>
      <c r="E4328">
        <v>239</v>
      </c>
      <c r="F4328" s="5">
        <v>43831</v>
      </c>
      <c r="G4328">
        <v>239</v>
      </c>
      <c r="H4328" t="s">
        <v>57</v>
      </c>
    </row>
    <row r="4329" spans="1:8" x14ac:dyDescent="0.3">
      <c r="A4329">
        <v>367</v>
      </c>
      <c r="B4329" s="5">
        <v>43868</v>
      </c>
      <c r="C4329" t="s">
        <v>11</v>
      </c>
      <c r="D4329">
        <v>693</v>
      </c>
      <c r="E4329">
        <v>-454</v>
      </c>
      <c r="F4329" s="5">
        <v>43862</v>
      </c>
      <c r="G4329">
        <v>-693</v>
      </c>
      <c r="H4329" t="s">
        <v>58</v>
      </c>
    </row>
    <row r="4330" spans="1:8" x14ac:dyDescent="0.3">
      <c r="A4330">
        <v>367</v>
      </c>
      <c r="B4330" s="5">
        <v>43869</v>
      </c>
      <c r="C4330" t="s">
        <v>12</v>
      </c>
      <c r="D4330">
        <v>460</v>
      </c>
      <c r="E4330">
        <v>-914</v>
      </c>
      <c r="F4330" s="5">
        <v>43862</v>
      </c>
      <c r="G4330">
        <v>-460</v>
      </c>
      <c r="H4330" t="s">
        <v>58</v>
      </c>
    </row>
    <row r="4331" spans="1:8" x14ac:dyDescent="0.3">
      <c r="A4331">
        <v>367</v>
      </c>
      <c r="B4331" s="5">
        <v>43877</v>
      </c>
      <c r="C4331" t="s">
        <v>12</v>
      </c>
      <c r="D4331">
        <v>394</v>
      </c>
      <c r="E4331">
        <v>-1308</v>
      </c>
      <c r="F4331" s="5">
        <v>43862</v>
      </c>
      <c r="G4331">
        <v>-394</v>
      </c>
      <c r="H4331" t="s">
        <v>58</v>
      </c>
    </row>
    <row r="4332" spans="1:8" x14ac:dyDescent="0.3">
      <c r="A4332">
        <v>367</v>
      </c>
      <c r="B4332" s="5">
        <v>43877</v>
      </c>
      <c r="C4332" t="s">
        <v>10</v>
      </c>
      <c r="D4332">
        <v>595</v>
      </c>
      <c r="E4332">
        <v>-713</v>
      </c>
      <c r="F4332" s="5">
        <v>43862</v>
      </c>
      <c r="G4332">
        <v>595</v>
      </c>
      <c r="H4332" t="s">
        <v>58</v>
      </c>
    </row>
    <row r="4333" spans="1:8" x14ac:dyDescent="0.3">
      <c r="A4333">
        <v>367</v>
      </c>
      <c r="B4333" s="5">
        <v>43878</v>
      </c>
      <c r="C4333" t="s">
        <v>10</v>
      </c>
      <c r="D4333">
        <v>581</v>
      </c>
      <c r="E4333">
        <v>-132</v>
      </c>
      <c r="F4333" s="5">
        <v>43862</v>
      </c>
      <c r="G4333">
        <v>581</v>
      </c>
      <c r="H4333" t="s">
        <v>58</v>
      </c>
    </row>
    <row r="4334" spans="1:8" x14ac:dyDescent="0.3">
      <c r="A4334">
        <v>367</v>
      </c>
      <c r="B4334" s="5">
        <v>43885</v>
      </c>
      <c r="C4334" t="s">
        <v>11</v>
      </c>
      <c r="D4334">
        <v>335</v>
      </c>
      <c r="E4334">
        <v>-467</v>
      </c>
      <c r="F4334" s="5">
        <v>43862</v>
      </c>
      <c r="G4334">
        <v>-335</v>
      </c>
      <c r="H4334" t="s">
        <v>58</v>
      </c>
    </row>
    <row r="4335" spans="1:8" x14ac:dyDescent="0.3">
      <c r="A4335">
        <v>367</v>
      </c>
      <c r="B4335" s="5">
        <v>43893</v>
      </c>
      <c r="C4335" t="s">
        <v>12</v>
      </c>
      <c r="D4335">
        <v>987</v>
      </c>
      <c r="E4335">
        <v>-1454</v>
      </c>
      <c r="F4335" s="5">
        <v>43891</v>
      </c>
      <c r="G4335">
        <v>-987</v>
      </c>
      <c r="H4335" t="s">
        <v>58</v>
      </c>
    </row>
    <row r="4336" spans="1:8" x14ac:dyDescent="0.3">
      <c r="A4336">
        <v>367</v>
      </c>
      <c r="B4336" s="5">
        <v>43896</v>
      </c>
      <c r="C4336" t="s">
        <v>12</v>
      </c>
      <c r="D4336">
        <v>779</v>
      </c>
      <c r="E4336">
        <v>-2233</v>
      </c>
      <c r="F4336" s="5">
        <v>43891</v>
      </c>
      <c r="G4336">
        <v>-779</v>
      </c>
      <c r="H4336" t="s">
        <v>58</v>
      </c>
    </row>
    <row r="4337" spans="1:8" x14ac:dyDescent="0.3">
      <c r="A4337">
        <v>367</v>
      </c>
      <c r="B4337" s="5">
        <v>43902</v>
      </c>
      <c r="C4337" t="s">
        <v>12</v>
      </c>
      <c r="D4337">
        <v>784</v>
      </c>
      <c r="E4337">
        <v>-3017</v>
      </c>
      <c r="F4337" s="5">
        <v>43891</v>
      </c>
      <c r="G4337">
        <v>-784</v>
      </c>
      <c r="H4337" t="s">
        <v>58</v>
      </c>
    </row>
    <row r="4338" spans="1:8" x14ac:dyDescent="0.3">
      <c r="A4338">
        <v>367</v>
      </c>
      <c r="B4338" s="5">
        <v>43907</v>
      </c>
      <c r="C4338" t="s">
        <v>12</v>
      </c>
      <c r="D4338">
        <v>84</v>
      </c>
      <c r="E4338">
        <v>-3101</v>
      </c>
      <c r="F4338" s="5">
        <v>43891</v>
      </c>
      <c r="G4338">
        <v>-84</v>
      </c>
      <c r="H4338" t="s">
        <v>58</v>
      </c>
    </row>
    <row r="4339" spans="1:8" x14ac:dyDescent="0.3">
      <c r="A4339">
        <v>367</v>
      </c>
      <c r="B4339" s="5">
        <v>43926</v>
      </c>
      <c r="C4339" t="s">
        <v>10</v>
      </c>
      <c r="D4339">
        <v>694</v>
      </c>
      <c r="E4339">
        <v>-2407</v>
      </c>
      <c r="F4339" s="5">
        <v>43922</v>
      </c>
      <c r="G4339">
        <v>694</v>
      </c>
      <c r="H4339" t="s">
        <v>58</v>
      </c>
    </row>
    <row r="4340" spans="1:8" x14ac:dyDescent="0.3">
      <c r="A4340">
        <v>367</v>
      </c>
      <c r="B4340" s="5">
        <v>43927</v>
      </c>
      <c r="C4340" t="s">
        <v>10</v>
      </c>
      <c r="D4340">
        <v>355</v>
      </c>
      <c r="E4340">
        <v>-2052</v>
      </c>
      <c r="F4340" s="5">
        <v>43922</v>
      </c>
      <c r="G4340">
        <v>355</v>
      </c>
      <c r="H4340" t="s">
        <v>58</v>
      </c>
    </row>
    <row r="4341" spans="1:8" x14ac:dyDescent="0.3">
      <c r="A4341">
        <v>367</v>
      </c>
      <c r="B4341" s="5">
        <v>43932</v>
      </c>
      <c r="C4341" t="s">
        <v>12</v>
      </c>
      <c r="D4341">
        <v>144</v>
      </c>
      <c r="E4341">
        <v>-2196</v>
      </c>
      <c r="F4341" s="5">
        <v>43922</v>
      </c>
      <c r="G4341">
        <v>-144</v>
      </c>
      <c r="H4341" t="s">
        <v>58</v>
      </c>
    </row>
    <row r="4342" spans="1:8" x14ac:dyDescent="0.3">
      <c r="A4342">
        <v>367</v>
      </c>
      <c r="B4342" s="5">
        <v>43939</v>
      </c>
      <c r="C4342" t="s">
        <v>10</v>
      </c>
      <c r="D4342">
        <v>499</v>
      </c>
      <c r="E4342">
        <v>-1697</v>
      </c>
      <c r="F4342" s="5">
        <v>43922</v>
      </c>
      <c r="G4342">
        <v>499</v>
      </c>
      <c r="H4342" t="s">
        <v>58</v>
      </c>
    </row>
    <row r="4343" spans="1:8" x14ac:dyDescent="0.3">
      <c r="A4343">
        <v>368</v>
      </c>
      <c r="B4343" s="5">
        <v>43847</v>
      </c>
      <c r="C4343" t="s">
        <v>10</v>
      </c>
      <c r="D4343">
        <v>100</v>
      </c>
      <c r="E4343">
        <v>100</v>
      </c>
      <c r="F4343" s="5">
        <v>43831</v>
      </c>
      <c r="G4343">
        <v>100</v>
      </c>
      <c r="H4343" t="s">
        <v>57</v>
      </c>
    </row>
    <row r="4344" spans="1:8" x14ac:dyDescent="0.3">
      <c r="A4344">
        <v>368</v>
      </c>
      <c r="B4344" s="5">
        <v>43858</v>
      </c>
      <c r="C4344" t="s">
        <v>12</v>
      </c>
      <c r="D4344">
        <v>903</v>
      </c>
      <c r="E4344">
        <v>-803</v>
      </c>
      <c r="F4344" s="5">
        <v>43831</v>
      </c>
      <c r="G4344">
        <v>-903</v>
      </c>
      <c r="H4344" t="s">
        <v>58</v>
      </c>
    </row>
    <row r="4345" spans="1:8" x14ac:dyDescent="0.3">
      <c r="A4345">
        <v>368</v>
      </c>
      <c r="B4345" s="5">
        <v>43860</v>
      </c>
      <c r="C4345" t="s">
        <v>10</v>
      </c>
      <c r="D4345">
        <v>277</v>
      </c>
      <c r="E4345">
        <v>-526</v>
      </c>
      <c r="F4345" s="5">
        <v>43831</v>
      </c>
      <c r="G4345">
        <v>277</v>
      </c>
      <c r="H4345" t="s">
        <v>58</v>
      </c>
    </row>
    <row r="4346" spans="1:8" x14ac:dyDescent="0.3">
      <c r="A4346">
        <v>368</v>
      </c>
      <c r="B4346" s="5">
        <v>43863</v>
      </c>
      <c r="C4346" t="s">
        <v>11</v>
      </c>
      <c r="D4346">
        <v>232</v>
      </c>
      <c r="E4346">
        <v>-758</v>
      </c>
      <c r="F4346" s="5">
        <v>43862</v>
      </c>
      <c r="G4346">
        <v>-232</v>
      </c>
      <c r="H4346" t="s">
        <v>58</v>
      </c>
    </row>
    <row r="4347" spans="1:8" x14ac:dyDescent="0.3">
      <c r="A4347">
        <v>368</v>
      </c>
      <c r="B4347" s="5">
        <v>43864</v>
      </c>
      <c r="C4347" t="s">
        <v>12</v>
      </c>
      <c r="D4347">
        <v>510</v>
      </c>
      <c r="E4347">
        <v>-1268</v>
      </c>
      <c r="F4347" s="5">
        <v>43862</v>
      </c>
      <c r="G4347">
        <v>-510</v>
      </c>
      <c r="H4347" t="s">
        <v>58</v>
      </c>
    </row>
    <row r="4348" spans="1:8" x14ac:dyDescent="0.3">
      <c r="A4348">
        <v>368</v>
      </c>
      <c r="B4348" s="5">
        <v>43867</v>
      </c>
      <c r="C4348" t="s">
        <v>10</v>
      </c>
      <c r="D4348">
        <v>450</v>
      </c>
      <c r="E4348">
        <v>-818</v>
      </c>
      <c r="F4348" s="5">
        <v>43862</v>
      </c>
      <c r="G4348">
        <v>450</v>
      </c>
      <c r="H4348" t="s">
        <v>58</v>
      </c>
    </row>
    <row r="4349" spans="1:8" x14ac:dyDescent="0.3">
      <c r="A4349">
        <v>368</v>
      </c>
      <c r="B4349" s="5">
        <v>43868</v>
      </c>
      <c r="C4349" t="s">
        <v>12</v>
      </c>
      <c r="D4349">
        <v>242</v>
      </c>
      <c r="E4349">
        <v>-1060</v>
      </c>
      <c r="F4349" s="5">
        <v>43862</v>
      </c>
      <c r="G4349">
        <v>-242</v>
      </c>
      <c r="H4349" t="s">
        <v>58</v>
      </c>
    </row>
    <row r="4350" spans="1:8" x14ac:dyDescent="0.3">
      <c r="A4350">
        <v>368</v>
      </c>
      <c r="B4350" s="5">
        <v>43873</v>
      </c>
      <c r="C4350" t="s">
        <v>11</v>
      </c>
      <c r="D4350">
        <v>910</v>
      </c>
      <c r="E4350">
        <v>-1970</v>
      </c>
      <c r="F4350" s="5">
        <v>43862</v>
      </c>
      <c r="G4350">
        <v>-910</v>
      </c>
      <c r="H4350" t="s">
        <v>58</v>
      </c>
    </row>
    <row r="4351" spans="1:8" x14ac:dyDescent="0.3">
      <c r="A4351">
        <v>368</v>
      </c>
      <c r="B4351" s="5">
        <v>43878</v>
      </c>
      <c r="C4351" t="s">
        <v>12</v>
      </c>
      <c r="D4351">
        <v>296</v>
      </c>
      <c r="E4351">
        <v>-2266</v>
      </c>
      <c r="F4351" s="5">
        <v>43862</v>
      </c>
      <c r="G4351">
        <v>-296</v>
      </c>
      <c r="H4351" t="s">
        <v>58</v>
      </c>
    </row>
    <row r="4352" spans="1:8" x14ac:dyDescent="0.3">
      <c r="A4352">
        <v>368</v>
      </c>
      <c r="B4352" s="5">
        <v>43879</v>
      </c>
      <c r="C4352" t="s">
        <v>12</v>
      </c>
      <c r="D4352">
        <v>626</v>
      </c>
      <c r="E4352">
        <v>-2892</v>
      </c>
      <c r="F4352" s="5">
        <v>43862</v>
      </c>
      <c r="G4352">
        <v>-626</v>
      </c>
      <c r="H4352" t="s">
        <v>58</v>
      </c>
    </row>
    <row r="4353" spans="1:8" x14ac:dyDescent="0.3">
      <c r="A4353">
        <v>368</v>
      </c>
      <c r="B4353" s="5">
        <v>43882</v>
      </c>
      <c r="C4353" t="s">
        <v>12</v>
      </c>
      <c r="D4353">
        <v>598</v>
      </c>
      <c r="E4353">
        <v>-3490</v>
      </c>
      <c r="F4353" s="5">
        <v>43862</v>
      </c>
      <c r="G4353">
        <v>-598</v>
      </c>
      <c r="H4353" t="s">
        <v>58</v>
      </c>
    </row>
    <row r="4354" spans="1:8" x14ac:dyDescent="0.3">
      <c r="A4354">
        <v>368</v>
      </c>
      <c r="B4354" s="5">
        <v>43894</v>
      </c>
      <c r="C4354" t="s">
        <v>11</v>
      </c>
      <c r="D4354">
        <v>147</v>
      </c>
      <c r="E4354">
        <v>-3637</v>
      </c>
      <c r="F4354" s="5">
        <v>43891</v>
      </c>
      <c r="G4354">
        <v>-147</v>
      </c>
      <c r="H4354" t="s">
        <v>58</v>
      </c>
    </row>
    <row r="4355" spans="1:8" x14ac:dyDescent="0.3">
      <c r="A4355">
        <v>368</v>
      </c>
      <c r="B4355" s="5">
        <v>43908</v>
      </c>
      <c r="C4355" t="s">
        <v>10</v>
      </c>
      <c r="D4355">
        <v>782</v>
      </c>
      <c r="E4355">
        <v>-2855</v>
      </c>
      <c r="F4355" s="5">
        <v>43891</v>
      </c>
      <c r="G4355">
        <v>782</v>
      </c>
      <c r="H4355" t="s">
        <v>58</v>
      </c>
    </row>
    <row r="4356" spans="1:8" x14ac:dyDescent="0.3">
      <c r="A4356">
        <v>368</v>
      </c>
      <c r="B4356" s="5">
        <v>43912</v>
      </c>
      <c r="C4356" t="s">
        <v>10</v>
      </c>
      <c r="D4356">
        <v>952</v>
      </c>
      <c r="E4356">
        <v>-1903</v>
      </c>
      <c r="F4356" s="5">
        <v>43891</v>
      </c>
      <c r="G4356">
        <v>952</v>
      </c>
      <c r="H4356" t="s">
        <v>58</v>
      </c>
    </row>
    <row r="4357" spans="1:8" x14ac:dyDescent="0.3">
      <c r="A4357">
        <v>368</v>
      </c>
      <c r="B4357" s="5">
        <v>43919</v>
      </c>
      <c r="C4357" t="s">
        <v>10</v>
      </c>
      <c r="D4357">
        <v>934</v>
      </c>
      <c r="E4357">
        <v>-969</v>
      </c>
      <c r="F4357" s="5">
        <v>43891</v>
      </c>
      <c r="G4357">
        <v>934</v>
      </c>
      <c r="H4357" t="s">
        <v>58</v>
      </c>
    </row>
    <row r="4358" spans="1:8" x14ac:dyDescent="0.3">
      <c r="A4358">
        <v>368</v>
      </c>
      <c r="B4358" s="5">
        <v>43920</v>
      </c>
      <c r="C4358" t="s">
        <v>11</v>
      </c>
      <c r="D4358">
        <v>507</v>
      </c>
      <c r="E4358">
        <v>-1476</v>
      </c>
      <c r="F4358" s="5">
        <v>43891</v>
      </c>
      <c r="G4358">
        <v>-507</v>
      </c>
      <c r="H4358" t="s">
        <v>58</v>
      </c>
    </row>
    <row r="4359" spans="1:8" x14ac:dyDescent="0.3">
      <c r="A4359">
        <v>368</v>
      </c>
      <c r="B4359" s="5">
        <v>43922</v>
      </c>
      <c r="C4359" t="s">
        <v>11</v>
      </c>
      <c r="D4359">
        <v>208</v>
      </c>
      <c r="E4359">
        <v>-1684</v>
      </c>
      <c r="F4359" s="5">
        <v>43922</v>
      </c>
      <c r="G4359">
        <v>-208</v>
      </c>
      <c r="H4359" t="s">
        <v>58</v>
      </c>
    </row>
    <row r="4360" spans="1:8" x14ac:dyDescent="0.3">
      <c r="A4360">
        <v>368</v>
      </c>
      <c r="B4360" s="5">
        <v>43929</v>
      </c>
      <c r="C4360" t="s">
        <v>12</v>
      </c>
      <c r="D4360">
        <v>282</v>
      </c>
      <c r="E4360">
        <v>-1966</v>
      </c>
      <c r="F4360" s="5">
        <v>43922</v>
      </c>
      <c r="G4360">
        <v>-282</v>
      </c>
      <c r="H4360" t="s">
        <v>58</v>
      </c>
    </row>
    <row r="4361" spans="1:8" x14ac:dyDescent="0.3">
      <c r="A4361">
        <v>368</v>
      </c>
      <c r="B4361" s="5">
        <v>43932</v>
      </c>
      <c r="C4361" t="s">
        <v>12</v>
      </c>
      <c r="D4361">
        <v>387</v>
      </c>
      <c r="E4361">
        <v>-2353</v>
      </c>
      <c r="F4361" s="5">
        <v>43922</v>
      </c>
      <c r="G4361">
        <v>-387</v>
      </c>
      <c r="H4361" t="s">
        <v>58</v>
      </c>
    </row>
    <row r="4362" spans="1:8" x14ac:dyDescent="0.3">
      <c r="A4362">
        <v>368</v>
      </c>
      <c r="B4362" s="5">
        <v>43935</v>
      </c>
      <c r="C4362" t="s">
        <v>11</v>
      </c>
      <c r="D4362">
        <v>507</v>
      </c>
      <c r="E4362">
        <v>-2860</v>
      </c>
      <c r="F4362" s="5">
        <v>43922</v>
      </c>
      <c r="G4362">
        <v>-507</v>
      </c>
      <c r="H4362" t="s">
        <v>58</v>
      </c>
    </row>
    <row r="4363" spans="1:8" x14ac:dyDescent="0.3">
      <c r="A4363">
        <v>369</v>
      </c>
      <c r="B4363" s="5">
        <v>43855</v>
      </c>
      <c r="C4363" t="s">
        <v>10</v>
      </c>
      <c r="D4363">
        <v>376</v>
      </c>
      <c r="E4363">
        <v>376</v>
      </c>
      <c r="F4363" s="5">
        <v>43831</v>
      </c>
      <c r="G4363">
        <v>376</v>
      </c>
      <c r="H4363" t="s">
        <v>57</v>
      </c>
    </row>
    <row r="4364" spans="1:8" x14ac:dyDescent="0.3">
      <c r="A4364">
        <v>369</v>
      </c>
      <c r="B4364" s="5">
        <v>43858</v>
      </c>
      <c r="C4364" t="s">
        <v>12</v>
      </c>
      <c r="D4364">
        <v>110</v>
      </c>
      <c r="E4364">
        <v>266</v>
      </c>
      <c r="F4364" s="5">
        <v>43831</v>
      </c>
      <c r="G4364">
        <v>-110</v>
      </c>
      <c r="H4364" t="s">
        <v>57</v>
      </c>
    </row>
    <row r="4365" spans="1:8" x14ac:dyDescent="0.3">
      <c r="A4365">
        <v>369</v>
      </c>
      <c r="B4365" s="5">
        <v>43894</v>
      </c>
      <c r="C4365" t="s">
        <v>10</v>
      </c>
      <c r="D4365">
        <v>958</v>
      </c>
      <c r="E4365">
        <v>1224</v>
      </c>
      <c r="F4365" s="5">
        <v>43891</v>
      </c>
      <c r="G4365">
        <v>958</v>
      </c>
      <c r="H4365" t="s">
        <v>57</v>
      </c>
    </row>
    <row r="4366" spans="1:8" x14ac:dyDescent="0.3">
      <c r="A4366">
        <v>369</v>
      </c>
      <c r="B4366" s="5">
        <v>43902</v>
      </c>
      <c r="C4366" t="s">
        <v>10</v>
      </c>
      <c r="D4366">
        <v>971</v>
      </c>
      <c r="E4366">
        <v>2195</v>
      </c>
      <c r="F4366" s="5">
        <v>43891</v>
      </c>
      <c r="G4366">
        <v>971</v>
      </c>
      <c r="H4366" t="s">
        <v>57</v>
      </c>
    </row>
    <row r="4367" spans="1:8" x14ac:dyDescent="0.3">
      <c r="A4367">
        <v>369</v>
      </c>
      <c r="B4367" s="5">
        <v>43906</v>
      </c>
      <c r="C4367" t="s">
        <v>11</v>
      </c>
      <c r="D4367">
        <v>516</v>
      </c>
      <c r="E4367">
        <v>1679</v>
      </c>
      <c r="F4367" s="5">
        <v>43891</v>
      </c>
      <c r="G4367">
        <v>-516</v>
      </c>
      <c r="H4367" t="s">
        <v>57</v>
      </c>
    </row>
    <row r="4368" spans="1:8" x14ac:dyDescent="0.3">
      <c r="A4368">
        <v>370</v>
      </c>
      <c r="B4368" s="5">
        <v>43843</v>
      </c>
      <c r="C4368" t="s">
        <v>10</v>
      </c>
      <c r="D4368">
        <v>363</v>
      </c>
      <c r="E4368">
        <v>363</v>
      </c>
      <c r="F4368" s="5">
        <v>43831</v>
      </c>
      <c r="G4368">
        <v>363</v>
      </c>
      <c r="H4368" t="s">
        <v>57</v>
      </c>
    </row>
    <row r="4369" spans="1:8" x14ac:dyDescent="0.3">
      <c r="A4369">
        <v>370</v>
      </c>
      <c r="B4369" s="5">
        <v>43848</v>
      </c>
      <c r="C4369" t="s">
        <v>11</v>
      </c>
      <c r="D4369">
        <v>161</v>
      </c>
      <c r="E4369">
        <v>202</v>
      </c>
      <c r="F4369" s="5">
        <v>43831</v>
      </c>
      <c r="G4369">
        <v>-161</v>
      </c>
      <c r="H4369" t="s">
        <v>57</v>
      </c>
    </row>
    <row r="4370" spans="1:8" x14ac:dyDescent="0.3">
      <c r="A4370">
        <v>370</v>
      </c>
      <c r="B4370" s="5">
        <v>43850</v>
      </c>
      <c r="C4370" t="s">
        <v>12</v>
      </c>
      <c r="D4370">
        <v>903</v>
      </c>
      <c r="E4370">
        <v>-701</v>
      </c>
      <c r="F4370" s="5">
        <v>43831</v>
      </c>
      <c r="G4370">
        <v>-903</v>
      </c>
      <c r="H4370" t="s">
        <v>58</v>
      </c>
    </row>
    <row r="4371" spans="1:8" x14ac:dyDescent="0.3">
      <c r="A4371">
        <v>370</v>
      </c>
      <c r="B4371" s="5">
        <v>43850</v>
      </c>
      <c r="C4371" t="s">
        <v>12</v>
      </c>
      <c r="D4371">
        <v>572</v>
      </c>
      <c r="E4371">
        <v>-1273</v>
      </c>
      <c r="F4371" s="5">
        <v>43831</v>
      </c>
      <c r="G4371">
        <v>-572</v>
      </c>
      <c r="H4371" t="s">
        <v>58</v>
      </c>
    </row>
    <row r="4372" spans="1:8" x14ac:dyDescent="0.3">
      <c r="A4372">
        <v>370</v>
      </c>
      <c r="B4372" s="5">
        <v>43856</v>
      </c>
      <c r="C4372" t="s">
        <v>11</v>
      </c>
      <c r="D4372">
        <v>329</v>
      </c>
      <c r="E4372">
        <v>-1602</v>
      </c>
      <c r="F4372" s="5">
        <v>43831</v>
      </c>
      <c r="G4372">
        <v>-329</v>
      </c>
      <c r="H4372" t="s">
        <v>58</v>
      </c>
    </row>
    <row r="4373" spans="1:8" x14ac:dyDescent="0.3">
      <c r="A4373">
        <v>370</v>
      </c>
      <c r="B4373" s="5">
        <v>43860</v>
      </c>
      <c r="C4373" t="s">
        <v>12</v>
      </c>
      <c r="D4373">
        <v>693</v>
      </c>
      <c r="E4373">
        <v>-2295</v>
      </c>
      <c r="F4373" s="5">
        <v>43831</v>
      </c>
      <c r="G4373">
        <v>-693</v>
      </c>
      <c r="H4373" t="s">
        <v>58</v>
      </c>
    </row>
    <row r="4374" spans="1:8" x14ac:dyDescent="0.3">
      <c r="A4374">
        <v>370</v>
      </c>
      <c r="B4374" s="5">
        <v>43869</v>
      </c>
      <c r="C4374" t="s">
        <v>11</v>
      </c>
      <c r="D4374">
        <v>928</v>
      </c>
      <c r="E4374">
        <v>-3223</v>
      </c>
      <c r="F4374" s="5">
        <v>43862</v>
      </c>
      <c r="G4374">
        <v>-928</v>
      </c>
      <c r="H4374" t="s">
        <v>58</v>
      </c>
    </row>
    <row r="4375" spans="1:8" x14ac:dyDescent="0.3">
      <c r="A4375">
        <v>370</v>
      </c>
      <c r="B4375" s="5">
        <v>43870</v>
      </c>
      <c r="C4375" t="s">
        <v>10</v>
      </c>
      <c r="D4375">
        <v>452</v>
      </c>
      <c r="E4375">
        <v>-2771</v>
      </c>
      <c r="F4375" s="5">
        <v>43862</v>
      </c>
      <c r="G4375">
        <v>452</v>
      </c>
      <c r="H4375" t="s">
        <v>58</v>
      </c>
    </row>
    <row r="4376" spans="1:8" x14ac:dyDescent="0.3">
      <c r="A4376">
        <v>370</v>
      </c>
      <c r="B4376" s="5">
        <v>43877</v>
      </c>
      <c r="C4376" t="s">
        <v>10</v>
      </c>
      <c r="D4376">
        <v>582</v>
      </c>
      <c r="E4376">
        <v>-2189</v>
      </c>
      <c r="F4376" s="5">
        <v>43862</v>
      </c>
      <c r="G4376">
        <v>582</v>
      </c>
      <c r="H4376" t="s">
        <v>58</v>
      </c>
    </row>
    <row r="4377" spans="1:8" x14ac:dyDescent="0.3">
      <c r="A4377">
        <v>370</v>
      </c>
      <c r="B4377" s="5">
        <v>43879</v>
      </c>
      <c r="C4377" t="s">
        <v>10</v>
      </c>
      <c r="D4377">
        <v>393</v>
      </c>
      <c r="E4377">
        <v>-1796</v>
      </c>
      <c r="F4377" s="5">
        <v>43862</v>
      </c>
      <c r="G4377">
        <v>393</v>
      </c>
      <c r="H4377" t="s">
        <v>58</v>
      </c>
    </row>
    <row r="4378" spans="1:8" x14ac:dyDescent="0.3">
      <c r="A4378">
        <v>370</v>
      </c>
      <c r="B4378" s="5">
        <v>43887</v>
      </c>
      <c r="C4378" t="s">
        <v>10</v>
      </c>
      <c r="D4378">
        <v>161</v>
      </c>
      <c r="E4378">
        <v>-1635</v>
      </c>
      <c r="F4378" s="5">
        <v>43862</v>
      </c>
      <c r="G4378">
        <v>161</v>
      </c>
      <c r="H4378" t="s">
        <v>58</v>
      </c>
    </row>
    <row r="4379" spans="1:8" x14ac:dyDescent="0.3">
      <c r="A4379">
        <v>370</v>
      </c>
      <c r="B4379" s="5">
        <v>43903</v>
      </c>
      <c r="C4379" t="s">
        <v>10</v>
      </c>
      <c r="D4379">
        <v>175</v>
      </c>
      <c r="E4379">
        <v>-1460</v>
      </c>
      <c r="F4379" s="5">
        <v>43891</v>
      </c>
      <c r="G4379">
        <v>175</v>
      </c>
      <c r="H4379" t="s">
        <v>58</v>
      </c>
    </row>
    <row r="4380" spans="1:8" x14ac:dyDescent="0.3">
      <c r="A4380">
        <v>370</v>
      </c>
      <c r="B4380" s="5">
        <v>43903</v>
      </c>
      <c r="C4380" t="s">
        <v>11</v>
      </c>
      <c r="D4380">
        <v>520</v>
      </c>
      <c r="E4380">
        <v>-1980</v>
      </c>
      <c r="F4380" s="5">
        <v>43891</v>
      </c>
      <c r="G4380">
        <v>-520</v>
      </c>
      <c r="H4380" t="s">
        <v>58</v>
      </c>
    </row>
    <row r="4381" spans="1:8" x14ac:dyDescent="0.3">
      <c r="A4381">
        <v>370</v>
      </c>
      <c r="B4381" s="5">
        <v>43913</v>
      </c>
      <c r="C4381" t="s">
        <v>10</v>
      </c>
      <c r="D4381">
        <v>669</v>
      </c>
      <c r="E4381">
        <v>-1311</v>
      </c>
      <c r="F4381" s="5">
        <v>43891</v>
      </c>
      <c r="G4381">
        <v>669</v>
      </c>
      <c r="H4381" t="s">
        <v>58</v>
      </c>
    </row>
    <row r="4382" spans="1:8" x14ac:dyDescent="0.3">
      <c r="A4382">
        <v>370</v>
      </c>
      <c r="B4382" s="5">
        <v>43927</v>
      </c>
      <c r="C4382" t="s">
        <v>10</v>
      </c>
      <c r="D4382">
        <v>597</v>
      </c>
      <c r="E4382">
        <v>-714</v>
      </c>
      <c r="F4382" s="5">
        <v>43922</v>
      </c>
      <c r="G4382">
        <v>597</v>
      </c>
      <c r="H4382" t="s">
        <v>58</v>
      </c>
    </row>
    <row r="4383" spans="1:8" x14ac:dyDescent="0.3">
      <c r="A4383">
        <v>370</v>
      </c>
      <c r="B4383" s="5">
        <v>43930</v>
      </c>
      <c r="C4383" t="s">
        <v>11</v>
      </c>
      <c r="D4383">
        <v>782</v>
      </c>
      <c r="E4383">
        <v>-1496</v>
      </c>
      <c r="F4383" s="5">
        <v>43922</v>
      </c>
      <c r="G4383">
        <v>-782</v>
      </c>
      <c r="H4383" t="s">
        <v>58</v>
      </c>
    </row>
    <row r="4384" spans="1:8" x14ac:dyDescent="0.3">
      <c r="A4384">
        <v>371</v>
      </c>
      <c r="B4384" s="5">
        <v>43851</v>
      </c>
      <c r="C4384" t="s">
        <v>10</v>
      </c>
      <c r="D4384">
        <v>528</v>
      </c>
      <c r="E4384">
        <v>528</v>
      </c>
      <c r="F4384" s="5">
        <v>43831</v>
      </c>
      <c r="G4384">
        <v>528</v>
      </c>
      <c r="H4384" t="s">
        <v>57</v>
      </c>
    </row>
    <row r="4385" spans="1:8" x14ac:dyDescent="0.3">
      <c r="A4385">
        <v>371</v>
      </c>
      <c r="B4385" s="5">
        <v>43859</v>
      </c>
      <c r="C4385" t="s">
        <v>11</v>
      </c>
      <c r="D4385">
        <v>662</v>
      </c>
      <c r="E4385">
        <v>-134</v>
      </c>
      <c r="F4385" s="5">
        <v>43831</v>
      </c>
      <c r="G4385">
        <v>-662</v>
      </c>
      <c r="H4385" t="s">
        <v>58</v>
      </c>
    </row>
    <row r="4386" spans="1:8" x14ac:dyDescent="0.3">
      <c r="A4386">
        <v>371</v>
      </c>
      <c r="B4386" s="5">
        <v>43865</v>
      </c>
      <c r="C4386" t="s">
        <v>11</v>
      </c>
      <c r="D4386">
        <v>685</v>
      </c>
      <c r="E4386">
        <v>-819</v>
      </c>
      <c r="F4386" s="5">
        <v>43862</v>
      </c>
      <c r="G4386">
        <v>-685</v>
      </c>
      <c r="H4386" t="s">
        <v>58</v>
      </c>
    </row>
    <row r="4387" spans="1:8" x14ac:dyDescent="0.3">
      <c r="A4387">
        <v>371</v>
      </c>
      <c r="B4387" s="5">
        <v>43866</v>
      </c>
      <c r="C4387" t="s">
        <v>10</v>
      </c>
      <c r="D4387">
        <v>238</v>
      </c>
      <c r="E4387">
        <v>-581</v>
      </c>
      <c r="F4387" s="5">
        <v>43862</v>
      </c>
      <c r="G4387">
        <v>238</v>
      </c>
      <c r="H4387" t="s">
        <v>58</v>
      </c>
    </row>
    <row r="4388" spans="1:8" x14ac:dyDescent="0.3">
      <c r="A4388">
        <v>371</v>
      </c>
      <c r="B4388" s="5">
        <v>43877</v>
      </c>
      <c r="C4388" t="s">
        <v>10</v>
      </c>
      <c r="D4388">
        <v>146</v>
      </c>
      <c r="E4388">
        <v>-435</v>
      </c>
      <c r="F4388" s="5">
        <v>43862</v>
      </c>
      <c r="G4388">
        <v>146</v>
      </c>
      <c r="H4388" t="s">
        <v>58</v>
      </c>
    </row>
    <row r="4389" spans="1:8" x14ac:dyDescent="0.3">
      <c r="A4389">
        <v>371</v>
      </c>
      <c r="B4389" s="5">
        <v>43882</v>
      </c>
      <c r="C4389" t="s">
        <v>10</v>
      </c>
      <c r="D4389">
        <v>631</v>
      </c>
      <c r="E4389">
        <v>196</v>
      </c>
      <c r="F4389" s="5">
        <v>43862</v>
      </c>
      <c r="G4389">
        <v>631</v>
      </c>
      <c r="H4389" t="s">
        <v>57</v>
      </c>
    </row>
    <row r="4390" spans="1:8" x14ac:dyDescent="0.3">
      <c r="A4390">
        <v>371</v>
      </c>
      <c r="B4390" s="5">
        <v>43886</v>
      </c>
      <c r="C4390" t="s">
        <v>12</v>
      </c>
      <c r="D4390">
        <v>350</v>
      </c>
      <c r="E4390">
        <v>-154</v>
      </c>
      <c r="F4390" s="5">
        <v>43862</v>
      </c>
      <c r="G4390">
        <v>-350</v>
      </c>
      <c r="H4390" t="s">
        <v>58</v>
      </c>
    </row>
    <row r="4391" spans="1:8" x14ac:dyDescent="0.3">
      <c r="A4391">
        <v>371</v>
      </c>
      <c r="B4391" s="5">
        <v>43895</v>
      </c>
      <c r="C4391" t="s">
        <v>12</v>
      </c>
      <c r="D4391">
        <v>93</v>
      </c>
      <c r="E4391">
        <v>-247</v>
      </c>
      <c r="F4391" s="5">
        <v>43891</v>
      </c>
      <c r="G4391">
        <v>-93</v>
      </c>
      <c r="H4391" t="s">
        <v>58</v>
      </c>
    </row>
    <row r="4392" spans="1:8" x14ac:dyDescent="0.3">
      <c r="A4392">
        <v>371</v>
      </c>
      <c r="B4392" s="5">
        <v>43896</v>
      </c>
      <c r="C4392" t="s">
        <v>12</v>
      </c>
      <c r="D4392">
        <v>383</v>
      </c>
      <c r="E4392">
        <v>-630</v>
      </c>
      <c r="F4392" s="5">
        <v>43891</v>
      </c>
      <c r="G4392">
        <v>-383</v>
      </c>
      <c r="H4392" t="s">
        <v>58</v>
      </c>
    </row>
    <row r="4393" spans="1:8" x14ac:dyDescent="0.3">
      <c r="A4393">
        <v>371</v>
      </c>
      <c r="B4393" s="5">
        <v>43903</v>
      </c>
      <c r="C4393" t="s">
        <v>12</v>
      </c>
      <c r="D4393">
        <v>218</v>
      </c>
      <c r="E4393">
        <v>-848</v>
      </c>
      <c r="F4393" s="5">
        <v>43891</v>
      </c>
      <c r="G4393">
        <v>-218</v>
      </c>
      <c r="H4393" t="s">
        <v>58</v>
      </c>
    </row>
    <row r="4394" spans="1:8" x14ac:dyDescent="0.3">
      <c r="A4394">
        <v>371</v>
      </c>
      <c r="B4394" s="5">
        <v>43913</v>
      </c>
      <c r="C4394" t="s">
        <v>12</v>
      </c>
      <c r="D4394">
        <v>40</v>
      </c>
      <c r="E4394">
        <v>-888</v>
      </c>
      <c r="F4394" s="5">
        <v>43891</v>
      </c>
      <c r="G4394">
        <v>-40</v>
      </c>
      <c r="H4394" t="s">
        <v>58</v>
      </c>
    </row>
    <row r="4395" spans="1:8" x14ac:dyDescent="0.3">
      <c r="A4395">
        <v>371</v>
      </c>
      <c r="B4395" s="5">
        <v>43918</v>
      </c>
      <c r="C4395" t="s">
        <v>10</v>
      </c>
      <c r="D4395">
        <v>883</v>
      </c>
      <c r="E4395">
        <v>-5</v>
      </c>
      <c r="F4395" s="5">
        <v>43891</v>
      </c>
      <c r="G4395">
        <v>883</v>
      </c>
      <c r="H4395" t="s">
        <v>58</v>
      </c>
    </row>
    <row r="4396" spans="1:8" x14ac:dyDescent="0.3">
      <c r="A4396">
        <v>371</v>
      </c>
      <c r="B4396" s="5">
        <v>43931</v>
      </c>
      <c r="C4396" t="s">
        <v>11</v>
      </c>
      <c r="D4396">
        <v>755</v>
      </c>
      <c r="E4396">
        <v>-760</v>
      </c>
      <c r="F4396" s="5">
        <v>43922</v>
      </c>
      <c r="G4396">
        <v>-755</v>
      </c>
      <c r="H4396" t="s">
        <v>58</v>
      </c>
    </row>
    <row r="4397" spans="1:8" x14ac:dyDescent="0.3">
      <c r="A4397">
        <v>371</v>
      </c>
      <c r="B4397" s="5">
        <v>43932</v>
      </c>
      <c r="C4397" t="s">
        <v>11</v>
      </c>
      <c r="D4397">
        <v>483</v>
      </c>
      <c r="E4397">
        <v>-1243</v>
      </c>
      <c r="F4397" s="5">
        <v>43922</v>
      </c>
      <c r="G4397">
        <v>-483</v>
      </c>
      <c r="H4397" t="s">
        <v>58</v>
      </c>
    </row>
    <row r="4398" spans="1:8" x14ac:dyDescent="0.3">
      <c r="A4398">
        <v>372</v>
      </c>
      <c r="B4398" s="5">
        <v>43832</v>
      </c>
      <c r="C4398" t="s">
        <v>10</v>
      </c>
      <c r="D4398">
        <v>920</v>
      </c>
      <c r="E4398">
        <v>920</v>
      </c>
      <c r="F4398" s="5">
        <v>43831</v>
      </c>
      <c r="G4398">
        <v>920</v>
      </c>
      <c r="H4398" t="s">
        <v>57</v>
      </c>
    </row>
    <row r="4399" spans="1:8" x14ac:dyDescent="0.3">
      <c r="A4399">
        <v>372</v>
      </c>
      <c r="B4399" s="5">
        <v>43837</v>
      </c>
      <c r="C4399" t="s">
        <v>12</v>
      </c>
      <c r="D4399">
        <v>208</v>
      </c>
      <c r="E4399">
        <v>712</v>
      </c>
      <c r="F4399" s="5">
        <v>43831</v>
      </c>
      <c r="G4399">
        <v>-208</v>
      </c>
      <c r="H4399" t="s">
        <v>57</v>
      </c>
    </row>
    <row r="4400" spans="1:8" x14ac:dyDescent="0.3">
      <c r="A4400">
        <v>372</v>
      </c>
      <c r="B4400" s="5">
        <v>43842</v>
      </c>
      <c r="C4400" t="s">
        <v>10</v>
      </c>
      <c r="D4400">
        <v>296</v>
      </c>
      <c r="E4400">
        <v>1008</v>
      </c>
      <c r="F4400" s="5">
        <v>43831</v>
      </c>
      <c r="G4400">
        <v>296</v>
      </c>
      <c r="H4400" t="s">
        <v>57</v>
      </c>
    </row>
    <row r="4401" spans="1:8" x14ac:dyDescent="0.3">
      <c r="A4401">
        <v>372</v>
      </c>
      <c r="B4401" s="5">
        <v>43848</v>
      </c>
      <c r="C4401" t="s">
        <v>10</v>
      </c>
      <c r="D4401">
        <v>924</v>
      </c>
      <c r="E4401">
        <v>1932</v>
      </c>
      <c r="F4401" s="5">
        <v>43831</v>
      </c>
      <c r="G4401">
        <v>924</v>
      </c>
      <c r="H4401" t="s">
        <v>57</v>
      </c>
    </row>
    <row r="4402" spans="1:8" x14ac:dyDescent="0.3">
      <c r="A4402">
        <v>372</v>
      </c>
      <c r="B4402" s="5">
        <v>43850</v>
      </c>
      <c r="C4402" t="s">
        <v>11</v>
      </c>
      <c r="D4402">
        <v>120</v>
      </c>
      <c r="E4402">
        <v>1812</v>
      </c>
      <c r="F4402" s="5">
        <v>43831</v>
      </c>
      <c r="G4402">
        <v>-120</v>
      </c>
      <c r="H4402" t="s">
        <v>57</v>
      </c>
    </row>
    <row r="4403" spans="1:8" x14ac:dyDescent="0.3">
      <c r="A4403">
        <v>372</v>
      </c>
      <c r="B4403" s="5">
        <v>43855</v>
      </c>
      <c r="C4403" t="s">
        <v>10</v>
      </c>
      <c r="D4403">
        <v>906</v>
      </c>
      <c r="E4403">
        <v>2718</v>
      </c>
      <c r="F4403" s="5">
        <v>43831</v>
      </c>
      <c r="G4403">
        <v>906</v>
      </c>
      <c r="H4403" t="s">
        <v>57</v>
      </c>
    </row>
    <row r="4404" spans="1:8" x14ac:dyDescent="0.3">
      <c r="A4404">
        <v>372</v>
      </c>
      <c r="B4404" s="5">
        <v>43866</v>
      </c>
      <c r="C4404" t="s">
        <v>10</v>
      </c>
      <c r="D4404">
        <v>268</v>
      </c>
      <c r="E4404">
        <v>2986</v>
      </c>
      <c r="F4404" s="5">
        <v>43862</v>
      </c>
      <c r="G4404">
        <v>268</v>
      </c>
      <c r="H4404" t="s">
        <v>57</v>
      </c>
    </row>
    <row r="4405" spans="1:8" x14ac:dyDescent="0.3">
      <c r="A4405">
        <v>372</v>
      </c>
      <c r="B4405" s="5">
        <v>43872</v>
      </c>
      <c r="C4405" t="s">
        <v>10</v>
      </c>
      <c r="D4405">
        <v>735</v>
      </c>
      <c r="E4405">
        <v>3721</v>
      </c>
      <c r="F4405" s="5">
        <v>43862</v>
      </c>
      <c r="G4405">
        <v>735</v>
      </c>
      <c r="H4405" t="s">
        <v>57</v>
      </c>
    </row>
    <row r="4406" spans="1:8" x14ac:dyDescent="0.3">
      <c r="A4406">
        <v>372</v>
      </c>
      <c r="B4406" s="5">
        <v>43881</v>
      </c>
      <c r="C4406" t="s">
        <v>11</v>
      </c>
      <c r="D4406">
        <v>578</v>
      </c>
      <c r="E4406">
        <v>3143</v>
      </c>
      <c r="F4406" s="5">
        <v>43862</v>
      </c>
      <c r="G4406">
        <v>-578</v>
      </c>
      <c r="H4406" t="s">
        <v>57</v>
      </c>
    </row>
    <row r="4407" spans="1:8" x14ac:dyDescent="0.3">
      <c r="A4407">
        <v>372</v>
      </c>
      <c r="B4407" s="5">
        <v>43882</v>
      </c>
      <c r="C4407" t="s">
        <v>12</v>
      </c>
      <c r="D4407">
        <v>949</v>
      </c>
      <c r="E4407">
        <v>2194</v>
      </c>
      <c r="F4407" s="5">
        <v>43862</v>
      </c>
      <c r="G4407">
        <v>-949</v>
      </c>
      <c r="H4407" t="s">
        <v>57</v>
      </c>
    </row>
    <row r="4408" spans="1:8" x14ac:dyDescent="0.3">
      <c r="A4408">
        <v>372</v>
      </c>
      <c r="B4408" s="5">
        <v>43885</v>
      </c>
      <c r="C4408" t="s">
        <v>12</v>
      </c>
      <c r="D4408">
        <v>953</v>
      </c>
      <c r="E4408">
        <v>1241</v>
      </c>
      <c r="F4408" s="5">
        <v>43862</v>
      </c>
      <c r="G4408">
        <v>-953</v>
      </c>
      <c r="H4408" t="s">
        <v>57</v>
      </c>
    </row>
    <row r="4409" spans="1:8" x14ac:dyDescent="0.3">
      <c r="A4409">
        <v>372</v>
      </c>
      <c r="B4409" s="5">
        <v>43892</v>
      </c>
      <c r="C4409" t="s">
        <v>10</v>
      </c>
      <c r="D4409">
        <v>85</v>
      </c>
      <c r="E4409">
        <v>1326</v>
      </c>
      <c r="F4409" s="5">
        <v>43891</v>
      </c>
      <c r="G4409">
        <v>85</v>
      </c>
      <c r="H4409" t="s">
        <v>57</v>
      </c>
    </row>
    <row r="4410" spans="1:8" x14ac:dyDescent="0.3">
      <c r="A4410">
        <v>372</v>
      </c>
      <c r="B4410" s="5">
        <v>43892</v>
      </c>
      <c r="C4410" t="s">
        <v>10</v>
      </c>
      <c r="D4410">
        <v>205</v>
      </c>
      <c r="E4410">
        <v>1531</v>
      </c>
      <c r="F4410" s="5">
        <v>43891</v>
      </c>
      <c r="G4410">
        <v>205</v>
      </c>
      <c r="H4410" t="s">
        <v>57</v>
      </c>
    </row>
    <row r="4411" spans="1:8" x14ac:dyDescent="0.3">
      <c r="A4411">
        <v>372</v>
      </c>
      <c r="B4411" s="5">
        <v>43892</v>
      </c>
      <c r="C4411" t="s">
        <v>12</v>
      </c>
      <c r="D4411">
        <v>457</v>
      </c>
      <c r="E4411">
        <v>1074</v>
      </c>
      <c r="F4411" s="5">
        <v>43891</v>
      </c>
      <c r="G4411">
        <v>-457</v>
      </c>
      <c r="H4411" t="s">
        <v>57</v>
      </c>
    </row>
    <row r="4412" spans="1:8" x14ac:dyDescent="0.3">
      <c r="A4412">
        <v>372</v>
      </c>
      <c r="B4412" s="5">
        <v>43895</v>
      </c>
      <c r="C4412" t="s">
        <v>12</v>
      </c>
      <c r="D4412">
        <v>462</v>
      </c>
      <c r="E4412">
        <v>612</v>
      </c>
      <c r="F4412" s="5">
        <v>43891</v>
      </c>
      <c r="G4412">
        <v>-462</v>
      </c>
      <c r="H4412" t="s">
        <v>57</v>
      </c>
    </row>
    <row r="4413" spans="1:8" x14ac:dyDescent="0.3">
      <c r="A4413">
        <v>372</v>
      </c>
      <c r="B4413" s="5">
        <v>43900</v>
      </c>
      <c r="C4413" t="s">
        <v>11</v>
      </c>
      <c r="D4413">
        <v>802</v>
      </c>
      <c r="E4413">
        <v>-190</v>
      </c>
      <c r="F4413" s="5">
        <v>43891</v>
      </c>
      <c r="G4413">
        <v>-802</v>
      </c>
      <c r="H4413" t="s">
        <v>58</v>
      </c>
    </row>
    <row r="4414" spans="1:8" x14ac:dyDescent="0.3">
      <c r="A4414">
        <v>372</v>
      </c>
      <c r="B4414" s="5">
        <v>43905</v>
      </c>
      <c r="C4414" t="s">
        <v>11</v>
      </c>
      <c r="D4414">
        <v>44</v>
      </c>
      <c r="E4414">
        <v>-234</v>
      </c>
      <c r="F4414" s="5">
        <v>43891</v>
      </c>
      <c r="G4414">
        <v>-44</v>
      </c>
      <c r="H4414" t="s">
        <v>58</v>
      </c>
    </row>
    <row r="4415" spans="1:8" x14ac:dyDescent="0.3">
      <c r="A4415">
        <v>372</v>
      </c>
      <c r="B4415" s="5">
        <v>43915</v>
      </c>
      <c r="C4415" t="s">
        <v>11</v>
      </c>
      <c r="D4415">
        <v>402</v>
      </c>
      <c r="E4415">
        <v>-636</v>
      </c>
      <c r="F4415" s="5">
        <v>43891</v>
      </c>
      <c r="G4415">
        <v>-402</v>
      </c>
      <c r="H4415" t="s">
        <v>58</v>
      </c>
    </row>
    <row r="4416" spans="1:8" x14ac:dyDescent="0.3">
      <c r="A4416">
        <v>372</v>
      </c>
      <c r="B4416" s="5">
        <v>43916</v>
      </c>
      <c r="C4416" t="s">
        <v>11</v>
      </c>
      <c r="D4416">
        <v>897</v>
      </c>
      <c r="E4416">
        <v>-1533</v>
      </c>
      <c r="F4416" s="5">
        <v>43891</v>
      </c>
      <c r="G4416">
        <v>-897</v>
      </c>
      <c r="H4416" t="s">
        <v>58</v>
      </c>
    </row>
    <row r="4417" spans="1:8" x14ac:dyDescent="0.3">
      <c r="A4417">
        <v>372</v>
      </c>
      <c r="B4417" s="5">
        <v>43917</v>
      </c>
      <c r="C4417" t="s">
        <v>12</v>
      </c>
      <c r="D4417">
        <v>383</v>
      </c>
      <c r="E4417">
        <v>-1916</v>
      </c>
      <c r="F4417" s="5">
        <v>43891</v>
      </c>
      <c r="G4417">
        <v>-383</v>
      </c>
      <c r="H4417" t="s">
        <v>58</v>
      </c>
    </row>
    <row r="4418" spans="1:8" x14ac:dyDescent="0.3">
      <c r="A4418">
        <v>372</v>
      </c>
      <c r="B4418" s="5">
        <v>43918</v>
      </c>
      <c r="C4418" t="s">
        <v>10</v>
      </c>
      <c r="D4418">
        <v>291</v>
      </c>
      <c r="E4418">
        <v>-1625</v>
      </c>
      <c r="F4418" s="5">
        <v>43891</v>
      </c>
      <c r="G4418">
        <v>291</v>
      </c>
      <c r="H4418" t="s">
        <v>58</v>
      </c>
    </row>
    <row r="4419" spans="1:8" x14ac:dyDescent="0.3">
      <c r="A4419">
        <v>373</v>
      </c>
      <c r="B4419" s="5">
        <v>43848</v>
      </c>
      <c r="C4419" t="s">
        <v>10</v>
      </c>
      <c r="D4419">
        <v>596</v>
      </c>
      <c r="E4419">
        <v>596</v>
      </c>
      <c r="F4419" s="5">
        <v>43831</v>
      </c>
      <c r="G4419">
        <v>596</v>
      </c>
      <c r="H4419" t="s">
        <v>57</v>
      </c>
    </row>
    <row r="4420" spans="1:8" x14ac:dyDescent="0.3">
      <c r="A4420">
        <v>373</v>
      </c>
      <c r="B4420" s="5">
        <v>43851</v>
      </c>
      <c r="C4420" t="s">
        <v>11</v>
      </c>
      <c r="D4420">
        <v>103</v>
      </c>
      <c r="E4420">
        <v>493</v>
      </c>
      <c r="F4420" s="5">
        <v>43831</v>
      </c>
      <c r="G4420">
        <v>-103</v>
      </c>
      <c r="H4420" t="s">
        <v>57</v>
      </c>
    </row>
    <row r="4421" spans="1:8" x14ac:dyDescent="0.3">
      <c r="A4421">
        <v>373</v>
      </c>
      <c r="B4421" s="5">
        <v>43876</v>
      </c>
      <c r="C4421" t="s">
        <v>11</v>
      </c>
      <c r="D4421">
        <v>216</v>
      </c>
      <c r="E4421">
        <v>277</v>
      </c>
      <c r="F4421" s="5">
        <v>43862</v>
      </c>
      <c r="G4421">
        <v>-216</v>
      </c>
      <c r="H4421" t="s">
        <v>57</v>
      </c>
    </row>
    <row r="4422" spans="1:8" x14ac:dyDescent="0.3">
      <c r="A4422">
        <v>373</v>
      </c>
      <c r="B4422" s="5">
        <v>43916</v>
      </c>
      <c r="C4422" t="s">
        <v>10</v>
      </c>
      <c r="D4422">
        <v>780</v>
      </c>
      <c r="E4422">
        <v>1057</v>
      </c>
      <c r="F4422" s="5">
        <v>43891</v>
      </c>
      <c r="G4422">
        <v>780</v>
      </c>
      <c r="H4422" t="s">
        <v>57</v>
      </c>
    </row>
    <row r="4423" spans="1:8" x14ac:dyDescent="0.3">
      <c r="A4423">
        <v>373</v>
      </c>
      <c r="B4423" s="5">
        <v>43924</v>
      </c>
      <c r="C4423" t="s">
        <v>10</v>
      </c>
      <c r="D4423">
        <v>514</v>
      </c>
      <c r="E4423">
        <v>1571</v>
      </c>
      <c r="F4423" s="5">
        <v>43922</v>
      </c>
      <c r="G4423">
        <v>514</v>
      </c>
      <c r="H4423" t="s">
        <v>57</v>
      </c>
    </row>
    <row r="4424" spans="1:8" x14ac:dyDescent="0.3">
      <c r="A4424">
        <v>373</v>
      </c>
      <c r="B4424" s="5">
        <v>43929</v>
      </c>
      <c r="C4424" t="s">
        <v>10</v>
      </c>
      <c r="D4424">
        <v>755</v>
      </c>
      <c r="E4424">
        <v>2326</v>
      </c>
      <c r="F4424" s="5">
        <v>43922</v>
      </c>
      <c r="G4424">
        <v>755</v>
      </c>
      <c r="H4424" t="s">
        <v>57</v>
      </c>
    </row>
    <row r="4425" spans="1:8" x14ac:dyDescent="0.3">
      <c r="A4425">
        <v>373</v>
      </c>
      <c r="B4425" s="5">
        <v>43933</v>
      </c>
      <c r="C4425" t="s">
        <v>11</v>
      </c>
      <c r="D4425">
        <v>875</v>
      </c>
      <c r="E4425">
        <v>1451</v>
      </c>
      <c r="F4425" s="5">
        <v>43922</v>
      </c>
      <c r="G4425">
        <v>-875</v>
      </c>
      <c r="H4425" t="s">
        <v>57</v>
      </c>
    </row>
    <row r="4426" spans="1:8" x14ac:dyDescent="0.3">
      <c r="A4426">
        <v>374</v>
      </c>
      <c r="B4426" s="5">
        <v>43838</v>
      </c>
      <c r="C4426" t="s">
        <v>11</v>
      </c>
      <c r="D4426">
        <v>354</v>
      </c>
      <c r="E4426">
        <v>-354</v>
      </c>
      <c r="F4426" s="5">
        <v>43831</v>
      </c>
      <c r="G4426">
        <v>-354</v>
      </c>
      <c r="H4426" t="s">
        <v>58</v>
      </c>
    </row>
    <row r="4427" spans="1:8" x14ac:dyDescent="0.3">
      <c r="A4427">
        <v>374</v>
      </c>
      <c r="B4427" s="5">
        <v>43838</v>
      </c>
      <c r="C4427" t="s">
        <v>10</v>
      </c>
      <c r="D4427">
        <v>117</v>
      </c>
      <c r="E4427">
        <v>-237</v>
      </c>
      <c r="F4427" s="5">
        <v>43831</v>
      </c>
      <c r="G4427">
        <v>117</v>
      </c>
      <c r="H4427" t="s">
        <v>58</v>
      </c>
    </row>
    <row r="4428" spans="1:8" x14ac:dyDescent="0.3">
      <c r="A4428">
        <v>374</v>
      </c>
      <c r="B4428" s="5">
        <v>43840</v>
      </c>
      <c r="C4428" t="s">
        <v>11</v>
      </c>
      <c r="D4428">
        <v>654</v>
      </c>
      <c r="E4428">
        <v>-891</v>
      </c>
      <c r="F4428" s="5">
        <v>43831</v>
      </c>
      <c r="G4428">
        <v>-654</v>
      </c>
      <c r="H4428" t="s">
        <v>58</v>
      </c>
    </row>
    <row r="4429" spans="1:8" x14ac:dyDescent="0.3">
      <c r="A4429">
        <v>374</v>
      </c>
      <c r="B4429" s="5">
        <v>43849</v>
      </c>
      <c r="C4429" t="s">
        <v>10</v>
      </c>
      <c r="D4429">
        <v>842</v>
      </c>
      <c r="E4429">
        <v>-49</v>
      </c>
      <c r="F4429" s="5">
        <v>43831</v>
      </c>
      <c r="G4429">
        <v>842</v>
      </c>
      <c r="H4429" t="s">
        <v>58</v>
      </c>
    </row>
    <row r="4430" spans="1:8" x14ac:dyDescent="0.3">
      <c r="A4430">
        <v>374</v>
      </c>
      <c r="B4430" s="5">
        <v>43853</v>
      </c>
      <c r="C4430" t="s">
        <v>10</v>
      </c>
      <c r="D4430">
        <v>398</v>
      </c>
      <c r="E4430">
        <v>349</v>
      </c>
      <c r="F4430" s="5">
        <v>43831</v>
      </c>
      <c r="G4430">
        <v>398</v>
      </c>
      <c r="H4430" t="s">
        <v>57</v>
      </c>
    </row>
    <row r="4431" spans="1:8" x14ac:dyDescent="0.3">
      <c r="A4431">
        <v>374</v>
      </c>
      <c r="B4431" s="5">
        <v>43858</v>
      </c>
      <c r="C4431" t="s">
        <v>12</v>
      </c>
      <c r="D4431">
        <v>806</v>
      </c>
      <c r="E4431">
        <v>-457</v>
      </c>
      <c r="F4431" s="5">
        <v>43831</v>
      </c>
      <c r="G4431">
        <v>-806</v>
      </c>
      <c r="H4431" t="s">
        <v>58</v>
      </c>
    </row>
    <row r="4432" spans="1:8" x14ac:dyDescent="0.3">
      <c r="A4432">
        <v>374</v>
      </c>
      <c r="B4432" s="5">
        <v>43879</v>
      </c>
      <c r="C4432" t="s">
        <v>12</v>
      </c>
      <c r="D4432">
        <v>572</v>
      </c>
      <c r="E4432">
        <v>-1029</v>
      </c>
      <c r="F4432" s="5">
        <v>43862</v>
      </c>
      <c r="G4432">
        <v>-572</v>
      </c>
      <c r="H4432" t="s">
        <v>58</v>
      </c>
    </row>
    <row r="4433" spans="1:8" x14ac:dyDescent="0.3">
      <c r="A4433">
        <v>374</v>
      </c>
      <c r="B4433" s="5">
        <v>43879</v>
      </c>
      <c r="C4433" t="s">
        <v>10</v>
      </c>
      <c r="D4433">
        <v>98</v>
      </c>
      <c r="E4433">
        <v>-931</v>
      </c>
      <c r="F4433" s="5">
        <v>43862</v>
      </c>
      <c r="G4433">
        <v>98</v>
      </c>
      <c r="H4433" t="s">
        <v>58</v>
      </c>
    </row>
    <row r="4434" spans="1:8" x14ac:dyDescent="0.3">
      <c r="A4434">
        <v>374</v>
      </c>
      <c r="B4434" s="5">
        <v>43880</v>
      </c>
      <c r="C4434" t="s">
        <v>11</v>
      </c>
      <c r="D4434">
        <v>361</v>
      </c>
      <c r="E4434">
        <v>-1292</v>
      </c>
      <c r="F4434" s="5">
        <v>43862</v>
      </c>
      <c r="G4434">
        <v>-361</v>
      </c>
      <c r="H4434" t="s">
        <v>58</v>
      </c>
    </row>
    <row r="4435" spans="1:8" x14ac:dyDescent="0.3">
      <c r="A4435">
        <v>374</v>
      </c>
      <c r="B4435" s="5">
        <v>43907</v>
      </c>
      <c r="C4435" t="s">
        <v>10</v>
      </c>
      <c r="D4435">
        <v>885</v>
      </c>
      <c r="E4435">
        <v>-407</v>
      </c>
      <c r="F4435" s="5">
        <v>43891</v>
      </c>
      <c r="G4435">
        <v>885</v>
      </c>
      <c r="H4435" t="s">
        <v>58</v>
      </c>
    </row>
    <row r="4436" spans="1:8" x14ac:dyDescent="0.3">
      <c r="A4436">
        <v>374</v>
      </c>
      <c r="B4436" s="5">
        <v>43912</v>
      </c>
      <c r="C4436" t="s">
        <v>12</v>
      </c>
      <c r="D4436">
        <v>686</v>
      </c>
      <c r="E4436">
        <v>-1093</v>
      </c>
      <c r="F4436" s="5">
        <v>43891</v>
      </c>
      <c r="G4436">
        <v>-686</v>
      </c>
      <c r="H4436" t="s">
        <v>58</v>
      </c>
    </row>
    <row r="4437" spans="1:8" x14ac:dyDescent="0.3">
      <c r="A4437">
        <v>374</v>
      </c>
      <c r="B4437" s="5">
        <v>43913</v>
      </c>
      <c r="C4437" t="s">
        <v>11</v>
      </c>
      <c r="D4437">
        <v>3</v>
      </c>
      <c r="E4437">
        <v>-1096</v>
      </c>
      <c r="F4437" s="5">
        <v>43891</v>
      </c>
      <c r="G4437">
        <v>-3</v>
      </c>
      <c r="H4437" t="s">
        <v>58</v>
      </c>
    </row>
    <row r="4438" spans="1:8" x14ac:dyDescent="0.3">
      <c r="A4438">
        <v>374</v>
      </c>
      <c r="B4438" s="5">
        <v>43918</v>
      </c>
      <c r="C4438" t="s">
        <v>10</v>
      </c>
      <c r="D4438">
        <v>422</v>
      </c>
      <c r="E4438">
        <v>-674</v>
      </c>
      <c r="F4438" s="5">
        <v>43891</v>
      </c>
      <c r="G4438">
        <v>422</v>
      </c>
      <c r="H4438" t="s">
        <v>58</v>
      </c>
    </row>
    <row r="4439" spans="1:8" x14ac:dyDescent="0.3">
      <c r="A4439">
        <v>374</v>
      </c>
      <c r="B4439" s="5">
        <v>43921</v>
      </c>
      <c r="C4439" t="s">
        <v>11</v>
      </c>
      <c r="D4439">
        <v>172</v>
      </c>
      <c r="E4439">
        <v>-846</v>
      </c>
      <c r="F4439" s="5">
        <v>43891</v>
      </c>
      <c r="G4439">
        <v>-172</v>
      </c>
      <c r="H4439" t="s">
        <v>58</v>
      </c>
    </row>
    <row r="4440" spans="1:8" x14ac:dyDescent="0.3">
      <c r="A4440">
        <v>375</v>
      </c>
      <c r="B4440" s="5">
        <v>43849</v>
      </c>
      <c r="C4440" t="s">
        <v>10</v>
      </c>
      <c r="D4440">
        <v>647</v>
      </c>
      <c r="E4440">
        <v>647</v>
      </c>
      <c r="F4440" s="5">
        <v>43831</v>
      </c>
      <c r="G4440">
        <v>647</v>
      </c>
      <c r="H4440" t="s">
        <v>57</v>
      </c>
    </row>
    <row r="4441" spans="1:8" x14ac:dyDescent="0.3">
      <c r="A4441">
        <v>375</v>
      </c>
      <c r="B4441" s="5">
        <v>43864</v>
      </c>
      <c r="C4441" t="s">
        <v>12</v>
      </c>
      <c r="D4441">
        <v>707</v>
      </c>
      <c r="E4441">
        <v>-60</v>
      </c>
      <c r="F4441" s="5">
        <v>43862</v>
      </c>
      <c r="G4441">
        <v>-707</v>
      </c>
      <c r="H4441" t="s">
        <v>58</v>
      </c>
    </row>
    <row r="4442" spans="1:8" x14ac:dyDescent="0.3">
      <c r="A4442">
        <v>375</v>
      </c>
      <c r="B4442" s="5">
        <v>43864</v>
      </c>
      <c r="C4442" t="s">
        <v>10</v>
      </c>
      <c r="D4442">
        <v>683</v>
      </c>
      <c r="E4442">
        <v>623</v>
      </c>
      <c r="F4442" s="5">
        <v>43862</v>
      </c>
      <c r="G4442">
        <v>683</v>
      </c>
      <c r="H4442" t="s">
        <v>57</v>
      </c>
    </row>
    <row r="4443" spans="1:8" x14ac:dyDescent="0.3">
      <c r="A4443">
        <v>375</v>
      </c>
      <c r="B4443" s="5">
        <v>43870</v>
      </c>
      <c r="C4443" t="s">
        <v>10</v>
      </c>
      <c r="D4443">
        <v>169</v>
      </c>
      <c r="E4443">
        <v>792</v>
      </c>
      <c r="F4443" s="5">
        <v>43862</v>
      </c>
      <c r="G4443">
        <v>169</v>
      </c>
      <c r="H4443" t="s">
        <v>57</v>
      </c>
    </row>
    <row r="4444" spans="1:8" x14ac:dyDescent="0.3">
      <c r="A4444">
        <v>375</v>
      </c>
      <c r="B4444" s="5">
        <v>43878</v>
      </c>
      <c r="C4444" t="s">
        <v>11</v>
      </c>
      <c r="D4444">
        <v>464</v>
      </c>
      <c r="E4444">
        <v>328</v>
      </c>
      <c r="F4444" s="5">
        <v>43862</v>
      </c>
      <c r="G4444">
        <v>-464</v>
      </c>
      <c r="H4444" t="s">
        <v>57</v>
      </c>
    </row>
    <row r="4445" spans="1:8" x14ac:dyDescent="0.3">
      <c r="A4445">
        <v>375</v>
      </c>
      <c r="B4445" s="5">
        <v>43893</v>
      </c>
      <c r="C4445" t="s">
        <v>12</v>
      </c>
      <c r="D4445">
        <v>798</v>
      </c>
      <c r="E4445">
        <v>-470</v>
      </c>
      <c r="F4445" s="5">
        <v>43891</v>
      </c>
      <c r="G4445">
        <v>-798</v>
      </c>
      <c r="H4445" t="s">
        <v>58</v>
      </c>
    </row>
    <row r="4446" spans="1:8" x14ac:dyDescent="0.3">
      <c r="A4446">
        <v>375</v>
      </c>
      <c r="B4446" s="5">
        <v>43918</v>
      </c>
      <c r="C4446" t="s">
        <v>10</v>
      </c>
      <c r="D4446">
        <v>30</v>
      </c>
      <c r="E4446">
        <v>-440</v>
      </c>
      <c r="F4446" s="5">
        <v>43891</v>
      </c>
      <c r="G4446">
        <v>30</v>
      </c>
      <c r="H4446" t="s">
        <v>58</v>
      </c>
    </row>
    <row r="4447" spans="1:8" x14ac:dyDescent="0.3">
      <c r="A4447">
        <v>375</v>
      </c>
      <c r="B4447" s="5">
        <v>43932</v>
      </c>
      <c r="C4447" t="s">
        <v>12</v>
      </c>
      <c r="D4447">
        <v>851</v>
      </c>
      <c r="E4447">
        <v>-1291</v>
      </c>
      <c r="F4447" s="5">
        <v>43922</v>
      </c>
      <c r="G4447">
        <v>-851</v>
      </c>
      <c r="H4447" t="s">
        <v>58</v>
      </c>
    </row>
    <row r="4448" spans="1:8" x14ac:dyDescent="0.3">
      <c r="A4448">
        <v>376</v>
      </c>
      <c r="B4448" s="5">
        <v>43833</v>
      </c>
      <c r="C4448" t="s">
        <v>10</v>
      </c>
      <c r="D4448">
        <v>706</v>
      </c>
      <c r="E4448">
        <v>706</v>
      </c>
      <c r="F4448" s="5">
        <v>43831</v>
      </c>
      <c r="G4448">
        <v>706</v>
      </c>
      <c r="H4448" t="s">
        <v>57</v>
      </c>
    </row>
    <row r="4449" spans="1:8" x14ac:dyDescent="0.3">
      <c r="A4449">
        <v>376</v>
      </c>
      <c r="B4449" s="5">
        <v>43833</v>
      </c>
      <c r="C4449" t="s">
        <v>12</v>
      </c>
      <c r="D4449">
        <v>77</v>
      </c>
      <c r="E4449">
        <v>629</v>
      </c>
      <c r="F4449" s="5">
        <v>43831</v>
      </c>
      <c r="G4449">
        <v>-77</v>
      </c>
      <c r="H4449" t="s">
        <v>57</v>
      </c>
    </row>
    <row r="4450" spans="1:8" x14ac:dyDescent="0.3">
      <c r="A4450">
        <v>376</v>
      </c>
      <c r="B4450" s="5">
        <v>43839</v>
      </c>
      <c r="C4450" t="s">
        <v>11</v>
      </c>
      <c r="D4450">
        <v>554</v>
      </c>
      <c r="E4450">
        <v>75</v>
      </c>
      <c r="F4450" s="5">
        <v>43831</v>
      </c>
      <c r="G4450">
        <v>-554</v>
      </c>
      <c r="H4450" t="s">
        <v>57</v>
      </c>
    </row>
    <row r="4451" spans="1:8" x14ac:dyDescent="0.3">
      <c r="A4451">
        <v>376</v>
      </c>
      <c r="B4451" s="5">
        <v>43843</v>
      </c>
      <c r="C4451" t="s">
        <v>10</v>
      </c>
      <c r="D4451">
        <v>628</v>
      </c>
      <c r="E4451">
        <v>703</v>
      </c>
      <c r="F4451" s="5">
        <v>43831</v>
      </c>
      <c r="G4451">
        <v>628</v>
      </c>
      <c r="H4451" t="s">
        <v>57</v>
      </c>
    </row>
    <row r="4452" spans="1:8" x14ac:dyDescent="0.3">
      <c r="A4452">
        <v>376</v>
      </c>
      <c r="B4452" s="5">
        <v>43850</v>
      </c>
      <c r="C4452" t="s">
        <v>11</v>
      </c>
      <c r="D4452">
        <v>7</v>
      </c>
      <c r="E4452">
        <v>696</v>
      </c>
      <c r="F4452" s="5">
        <v>43831</v>
      </c>
      <c r="G4452">
        <v>-7</v>
      </c>
      <c r="H4452" t="s">
        <v>57</v>
      </c>
    </row>
    <row r="4453" spans="1:8" x14ac:dyDescent="0.3">
      <c r="A4453">
        <v>376</v>
      </c>
      <c r="B4453" s="5">
        <v>43851</v>
      </c>
      <c r="C4453" t="s">
        <v>10</v>
      </c>
      <c r="D4453">
        <v>518</v>
      </c>
      <c r="E4453">
        <v>1214</v>
      </c>
      <c r="F4453" s="5">
        <v>43831</v>
      </c>
      <c r="G4453">
        <v>518</v>
      </c>
      <c r="H4453" t="s">
        <v>57</v>
      </c>
    </row>
    <row r="4454" spans="1:8" x14ac:dyDescent="0.3">
      <c r="A4454">
        <v>376</v>
      </c>
      <c r="B4454" s="5">
        <v>43861</v>
      </c>
      <c r="C4454" t="s">
        <v>10</v>
      </c>
      <c r="D4454">
        <v>400</v>
      </c>
      <c r="E4454">
        <v>1614</v>
      </c>
      <c r="F4454" s="5">
        <v>43831</v>
      </c>
      <c r="G4454">
        <v>400</v>
      </c>
      <c r="H4454" t="s">
        <v>57</v>
      </c>
    </row>
    <row r="4455" spans="1:8" x14ac:dyDescent="0.3">
      <c r="A4455">
        <v>376</v>
      </c>
      <c r="B4455" s="5">
        <v>43867</v>
      </c>
      <c r="C4455" t="s">
        <v>12</v>
      </c>
      <c r="D4455">
        <v>996</v>
      </c>
      <c r="E4455">
        <v>618</v>
      </c>
      <c r="F4455" s="5">
        <v>43862</v>
      </c>
      <c r="G4455">
        <v>-996</v>
      </c>
      <c r="H4455" t="s">
        <v>57</v>
      </c>
    </row>
    <row r="4456" spans="1:8" x14ac:dyDescent="0.3">
      <c r="A4456">
        <v>376</v>
      </c>
      <c r="B4456" s="5">
        <v>43872</v>
      </c>
      <c r="C4456" t="s">
        <v>10</v>
      </c>
      <c r="D4456">
        <v>902</v>
      </c>
      <c r="E4456">
        <v>1520</v>
      </c>
      <c r="F4456" s="5">
        <v>43862</v>
      </c>
      <c r="G4456">
        <v>902</v>
      </c>
      <c r="H4456" t="s">
        <v>57</v>
      </c>
    </row>
    <row r="4457" spans="1:8" x14ac:dyDescent="0.3">
      <c r="A4457">
        <v>376</v>
      </c>
      <c r="B4457" s="5">
        <v>43873</v>
      </c>
      <c r="C4457" t="s">
        <v>10</v>
      </c>
      <c r="D4457">
        <v>950</v>
      </c>
      <c r="E4457">
        <v>2470</v>
      </c>
      <c r="F4457" s="5">
        <v>43862</v>
      </c>
      <c r="G4457">
        <v>950</v>
      </c>
      <c r="H4457" t="s">
        <v>57</v>
      </c>
    </row>
    <row r="4458" spans="1:8" x14ac:dyDescent="0.3">
      <c r="A4458">
        <v>376</v>
      </c>
      <c r="B4458" s="5">
        <v>43882</v>
      </c>
      <c r="C4458" t="s">
        <v>10</v>
      </c>
      <c r="D4458">
        <v>44</v>
      </c>
      <c r="E4458">
        <v>2514</v>
      </c>
      <c r="F4458" s="5">
        <v>43862</v>
      </c>
      <c r="G4458">
        <v>44</v>
      </c>
      <c r="H4458" t="s">
        <v>57</v>
      </c>
    </row>
    <row r="4459" spans="1:8" x14ac:dyDescent="0.3">
      <c r="A4459">
        <v>376</v>
      </c>
      <c r="B4459" s="5">
        <v>43882</v>
      </c>
      <c r="C4459" t="s">
        <v>10</v>
      </c>
      <c r="D4459">
        <v>892</v>
      </c>
      <c r="E4459">
        <v>3406</v>
      </c>
      <c r="F4459" s="5">
        <v>43862</v>
      </c>
      <c r="G4459">
        <v>892</v>
      </c>
      <c r="H4459" t="s">
        <v>57</v>
      </c>
    </row>
    <row r="4460" spans="1:8" x14ac:dyDescent="0.3">
      <c r="A4460">
        <v>376</v>
      </c>
      <c r="B4460" s="5">
        <v>43888</v>
      </c>
      <c r="C4460" t="s">
        <v>10</v>
      </c>
      <c r="D4460">
        <v>25</v>
      </c>
      <c r="E4460">
        <v>3431</v>
      </c>
      <c r="F4460" s="5">
        <v>43862</v>
      </c>
      <c r="G4460">
        <v>25</v>
      </c>
      <c r="H4460" t="s">
        <v>57</v>
      </c>
    </row>
    <row r="4461" spans="1:8" x14ac:dyDescent="0.3">
      <c r="A4461">
        <v>376</v>
      </c>
      <c r="B4461" s="5">
        <v>43890</v>
      </c>
      <c r="C4461" t="s">
        <v>12</v>
      </c>
      <c r="D4461">
        <v>916</v>
      </c>
      <c r="E4461">
        <v>2515</v>
      </c>
      <c r="F4461" s="5">
        <v>43862</v>
      </c>
      <c r="G4461">
        <v>-916</v>
      </c>
      <c r="H4461" t="s">
        <v>57</v>
      </c>
    </row>
    <row r="4462" spans="1:8" x14ac:dyDescent="0.3">
      <c r="A4462">
        <v>376</v>
      </c>
      <c r="B4462" s="5">
        <v>43896</v>
      </c>
      <c r="C4462" t="s">
        <v>12</v>
      </c>
      <c r="D4462">
        <v>381</v>
      </c>
      <c r="E4462">
        <v>2134</v>
      </c>
      <c r="F4462" s="5">
        <v>43891</v>
      </c>
      <c r="G4462">
        <v>-381</v>
      </c>
      <c r="H4462" t="s">
        <v>57</v>
      </c>
    </row>
    <row r="4463" spans="1:8" x14ac:dyDescent="0.3">
      <c r="A4463">
        <v>376</v>
      </c>
      <c r="B4463" s="5">
        <v>43896</v>
      </c>
      <c r="C4463" t="s">
        <v>11</v>
      </c>
      <c r="D4463">
        <v>595</v>
      </c>
      <c r="E4463">
        <v>1539</v>
      </c>
      <c r="F4463" s="5">
        <v>43891</v>
      </c>
      <c r="G4463">
        <v>-595</v>
      </c>
      <c r="H4463" t="s">
        <v>57</v>
      </c>
    </row>
    <row r="4464" spans="1:8" x14ac:dyDescent="0.3">
      <c r="A4464">
        <v>376</v>
      </c>
      <c r="B4464" s="5">
        <v>43902</v>
      </c>
      <c r="C4464" t="s">
        <v>12</v>
      </c>
      <c r="D4464">
        <v>325</v>
      </c>
      <c r="E4464">
        <v>1214</v>
      </c>
      <c r="F4464" s="5">
        <v>43891</v>
      </c>
      <c r="G4464">
        <v>-325</v>
      </c>
      <c r="H4464" t="s">
        <v>57</v>
      </c>
    </row>
    <row r="4465" spans="1:8" x14ac:dyDescent="0.3">
      <c r="A4465">
        <v>376</v>
      </c>
      <c r="B4465" s="5">
        <v>43902</v>
      </c>
      <c r="C4465" t="s">
        <v>12</v>
      </c>
      <c r="D4465">
        <v>374</v>
      </c>
      <c r="E4465">
        <v>840</v>
      </c>
      <c r="F4465" s="5">
        <v>43891</v>
      </c>
      <c r="G4465">
        <v>-374</v>
      </c>
      <c r="H4465" t="s">
        <v>57</v>
      </c>
    </row>
    <row r="4466" spans="1:8" x14ac:dyDescent="0.3">
      <c r="A4466">
        <v>376</v>
      </c>
      <c r="B4466" s="5">
        <v>43908</v>
      </c>
      <c r="C4466" t="s">
        <v>10</v>
      </c>
      <c r="D4466">
        <v>427</v>
      </c>
      <c r="E4466">
        <v>1267</v>
      </c>
      <c r="F4466" s="5">
        <v>43891</v>
      </c>
      <c r="G4466">
        <v>427</v>
      </c>
      <c r="H4466" t="s">
        <v>57</v>
      </c>
    </row>
    <row r="4467" spans="1:8" x14ac:dyDescent="0.3">
      <c r="A4467">
        <v>376</v>
      </c>
      <c r="B4467" s="5">
        <v>43917</v>
      </c>
      <c r="C4467" t="s">
        <v>10</v>
      </c>
      <c r="D4467">
        <v>815</v>
      </c>
      <c r="E4467">
        <v>2082</v>
      </c>
      <c r="F4467" s="5">
        <v>43891</v>
      </c>
      <c r="G4467">
        <v>815</v>
      </c>
      <c r="H4467" t="s">
        <v>57</v>
      </c>
    </row>
    <row r="4468" spans="1:8" x14ac:dyDescent="0.3">
      <c r="A4468">
        <v>376</v>
      </c>
      <c r="B4468" s="5">
        <v>43921</v>
      </c>
      <c r="C4468" t="s">
        <v>10</v>
      </c>
      <c r="D4468">
        <v>980</v>
      </c>
      <c r="E4468">
        <v>3062</v>
      </c>
      <c r="F4468" s="5">
        <v>43891</v>
      </c>
      <c r="G4468">
        <v>980</v>
      </c>
      <c r="H4468" t="s">
        <v>57</v>
      </c>
    </row>
    <row r="4469" spans="1:8" x14ac:dyDescent="0.3">
      <c r="A4469">
        <v>377</v>
      </c>
      <c r="B4469" s="5">
        <v>43848</v>
      </c>
      <c r="C4469" t="s">
        <v>10</v>
      </c>
      <c r="D4469">
        <v>637</v>
      </c>
      <c r="E4469">
        <v>637</v>
      </c>
      <c r="F4469" s="5">
        <v>43831</v>
      </c>
      <c r="G4469">
        <v>637</v>
      </c>
      <c r="H4469" t="s">
        <v>57</v>
      </c>
    </row>
    <row r="4470" spans="1:8" x14ac:dyDescent="0.3">
      <c r="A4470">
        <v>377</v>
      </c>
      <c r="B4470" s="5">
        <v>43855</v>
      </c>
      <c r="C4470" t="s">
        <v>10</v>
      </c>
      <c r="D4470">
        <v>99</v>
      </c>
      <c r="E4470">
        <v>736</v>
      </c>
      <c r="F4470" s="5">
        <v>43831</v>
      </c>
      <c r="G4470">
        <v>99</v>
      </c>
      <c r="H4470" t="s">
        <v>57</v>
      </c>
    </row>
    <row r="4471" spans="1:8" x14ac:dyDescent="0.3">
      <c r="A4471">
        <v>377</v>
      </c>
      <c r="B4471" s="5">
        <v>43860</v>
      </c>
      <c r="C4471" t="s">
        <v>12</v>
      </c>
      <c r="D4471">
        <v>484</v>
      </c>
      <c r="E4471">
        <v>252</v>
      </c>
      <c r="F4471" s="5">
        <v>43831</v>
      </c>
      <c r="G4471">
        <v>-484</v>
      </c>
      <c r="H4471" t="s">
        <v>57</v>
      </c>
    </row>
    <row r="4472" spans="1:8" x14ac:dyDescent="0.3">
      <c r="A4472">
        <v>377</v>
      </c>
      <c r="B4472" s="5">
        <v>43866</v>
      </c>
      <c r="C4472" t="s">
        <v>12</v>
      </c>
      <c r="D4472">
        <v>92</v>
      </c>
      <c r="E4472">
        <v>160</v>
      </c>
      <c r="F4472" s="5">
        <v>43862</v>
      </c>
      <c r="G4472">
        <v>-92</v>
      </c>
      <c r="H4472" t="s">
        <v>57</v>
      </c>
    </row>
    <row r="4473" spans="1:8" x14ac:dyDescent="0.3">
      <c r="A4473">
        <v>377</v>
      </c>
      <c r="B4473" s="5">
        <v>43887</v>
      </c>
      <c r="C4473" t="s">
        <v>11</v>
      </c>
      <c r="D4473">
        <v>342</v>
      </c>
      <c r="E4473">
        <v>-182</v>
      </c>
      <c r="F4473" s="5">
        <v>43862</v>
      </c>
      <c r="G4473">
        <v>-342</v>
      </c>
      <c r="H4473" t="s">
        <v>58</v>
      </c>
    </row>
    <row r="4474" spans="1:8" x14ac:dyDescent="0.3">
      <c r="A4474">
        <v>377</v>
      </c>
      <c r="B4474" s="5">
        <v>43927</v>
      </c>
      <c r="C4474" t="s">
        <v>10</v>
      </c>
      <c r="D4474">
        <v>633</v>
      </c>
      <c r="E4474">
        <v>451</v>
      </c>
      <c r="F4474" s="5">
        <v>43922</v>
      </c>
      <c r="G4474">
        <v>633</v>
      </c>
      <c r="H4474" t="s">
        <v>57</v>
      </c>
    </row>
    <row r="4475" spans="1:8" x14ac:dyDescent="0.3">
      <c r="A4475">
        <v>377</v>
      </c>
      <c r="B4475" s="5">
        <v>43929</v>
      </c>
      <c r="C4475" t="s">
        <v>12</v>
      </c>
      <c r="D4475">
        <v>655</v>
      </c>
      <c r="E4475">
        <v>-204</v>
      </c>
      <c r="F4475" s="5">
        <v>43922</v>
      </c>
      <c r="G4475">
        <v>-655</v>
      </c>
      <c r="H4475" t="s">
        <v>58</v>
      </c>
    </row>
    <row r="4476" spans="1:8" x14ac:dyDescent="0.3">
      <c r="A4476">
        <v>377</v>
      </c>
      <c r="B4476" s="5">
        <v>43930</v>
      </c>
      <c r="C4476" t="s">
        <v>12</v>
      </c>
      <c r="D4476">
        <v>581</v>
      </c>
      <c r="E4476">
        <v>-785</v>
      </c>
      <c r="F4476" s="5">
        <v>43922</v>
      </c>
      <c r="G4476">
        <v>-581</v>
      </c>
      <c r="H4476" t="s">
        <v>58</v>
      </c>
    </row>
    <row r="4477" spans="1:8" x14ac:dyDescent="0.3">
      <c r="A4477">
        <v>378</v>
      </c>
      <c r="B4477" s="5">
        <v>43837</v>
      </c>
      <c r="C4477" t="s">
        <v>10</v>
      </c>
      <c r="D4477">
        <v>193</v>
      </c>
      <c r="E4477">
        <v>193</v>
      </c>
      <c r="F4477" s="5">
        <v>43831</v>
      </c>
      <c r="G4477">
        <v>193</v>
      </c>
      <c r="H4477" t="s">
        <v>57</v>
      </c>
    </row>
    <row r="4478" spans="1:8" x14ac:dyDescent="0.3">
      <c r="A4478">
        <v>378</v>
      </c>
      <c r="B4478" s="5">
        <v>43856</v>
      </c>
      <c r="C4478" t="s">
        <v>11</v>
      </c>
      <c r="D4478">
        <v>186</v>
      </c>
      <c r="E4478">
        <v>7</v>
      </c>
      <c r="F4478" s="5">
        <v>43831</v>
      </c>
      <c r="G4478">
        <v>-186</v>
      </c>
      <c r="H4478" t="s">
        <v>57</v>
      </c>
    </row>
    <row r="4479" spans="1:8" x14ac:dyDescent="0.3">
      <c r="A4479">
        <v>378</v>
      </c>
      <c r="B4479" s="5">
        <v>43857</v>
      </c>
      <c r="C4479" t="s">
        <v>10</v>
      </c>
      <c r="D4479">
        <v>369</v>
      </c>
      <c r="E4479">
        <v>376</v>
      </c>
      <c r="F4479" s="5">
        <v>43831</v>
      </c>
      <c r="G4479">
        <v>369</v>
      </c>
      <c r="H4479" t="s">
        <v>57</v>
      </c>
    </row>
    <row r="4480" spans="1:8" x14ac:dyDescent="0.3">
      <c r="A4480">
        <v>378</v>
      </c>
      <c r="B4480" s="5">
        <v>43860</v>
      </c>
      <c r="C4480" t="s">
        <v>10</v>
      </c>
      <c r="D4480">
        <v>108</v>
      </c>
      <c r="E4480">
        <v>484</v>
      </c>
      <c r="F4480" s="5">
        <v>43831</v>
      </c>
      <c r="G4480">
        <v>108</v>
      </c>
      <c r="H4480" t="s">
        <v>57</v>
      </c>
    </row>
    <row r="4481" spans="1:8" x14ac:dyDescent="0.3">
      <c r="A4481">
        <v>378</v>
      </c>
      <c r="B4481" s="5">
        <v>43866</v>
      </c>
      <c r="C4481" t="s">
        <v>10</v>
      </c>
      <c r="D4481">
        <v>392</v>
      </c>
      <c r="E4481">
        <v>876</v>
      </c>
      <c r="F4481" s="5">
        <v>43862</v>
      </c>
      <c r="G4481">
        <v>392</v>
      </c>
      <c r="H4481" t="s">
        <v>57</v>
      </c>
    </row>
    <row r="4482" spans="1:8" x14ac:dyDescent="0.3">
      <c r="A4482">
        <v>378</v>
      </c>
      <c r="B4482" s="5">
        <v>43872</v>
      </c>
      <c r="C4482" t="s">
        <v>10</v>
      </c>
      <c r="D4482">
        <v>936</v>
      </c>
      <c r="E4482">
        <v>1812</v>
      </c>
      <c r="F4482" s="5">
        <v>43862</v>
      </c>
      <c r="G4482">
        <v>936</v>
      </c>
      <c r="H4482" t="s">
        <v>57</v>
      </c>
    </row>
    <row r="4483" spans="1:8" x14ac:dyDescent="0.3">
      <c r="A4483">
        <v>378</v>
      </c>
      <c r="B4483" s="5">
        <v>43875</v>
      </c>
      <c r="C4483" t="s">
        <v>12</v>
      </c>
      <c r="D4483">
        <v>623</v>
      </c>
      <c r="E4483">
        <v>1189</v>
      </c>
      <c r="F4483" s="5">
        <v>43862</v>
      </c>
      <c r="G4483">
        <v>-623</v>
      </c>
      <c r="H4483" t="s">
        <v>57</v>
      </c>
    </row>
    <row r="4484" spans="1:8" x14ac:dyDescent="0.3">
      <c r="A4484">
        <v>378</v>
      </c>
      <c r="B4484" s="5">
        <v>43887</v>
      </c>
      <c r="C4484" t="s">
        <v>10</v>
      </c>
      <c r="D4484">
        <v>145</v>
      </c>
      <c r="E4484">
        <v>1334</v>
      </c>
      <c r="F4484" s="5">
        <v>43862</v>
      </c>
      <c r="G4484">
        <v>145</v>
      </c>
      <c r="H4484" t="s">
        <v>57</v>
      </c>
    </row>
    <row r="4485" spans="1:8" x14ac:dyDescent="0.3">
      <c r="A4485">
        <v>378</v>
      </c>
      <c r="B4485" s="5">
        <v>43887</v>
      </c>
      <c r="C4485" t="s">
        <v>10</v>
      </c>
      <c r="D4485">
        <v>428</v>
      </c>
      <c r="E4485">
        <v>1762</v>
      </c>
      <c r="F4485" s="5">
        <v>43862</v>
      </c>
      <c r="G4485">
        <v>428</v>
      </c>
      <c r="H4485" t="s">
        <v>57</v>
      </c>
    </row>
    <row r="4486" spans="1:8" x14ac:dyDescent="0.3">
      <c r="A4486">
        <v>378</v>
      </c>
      <c r="B4486" s="5">
        <v>43888</v>
      </c>
      <c r="C4486" t="s">
        <v>10</v>
      </c>
      <c r="D4486">
        <v>662</v>
      </c>
      <c r="E4486">
        <v>2424</v>
      </c>
      <c r="F4486" s="5">
        <v>43862</v>
      </c>
      <c r="G4486">
        <v>662</v>
      </c>
      <c r="H4486" t="s">
        <v>57</v>
      </c>
    </row>
    <row r="4487" spans="1:8" x14ac:dyDescent="0.3">
      <c r="A4487">
        <v>378</v>
      </c>
      <c r="B4487" s="5">
        <v>43894</v>
      </c>
      <c r="C4487" t="s">
        <v>12</v>
      </c>
      <c r="D4487">
        <v>497</v>
      </c>
      <c r="E4487">
        <v>1927</v>
      </c>
      <c r="F4487" s="5">
        <v>43891</v>
      </c>
      <c r="G4487">
        <v>-497</v>
      </c>
      <c r="H4487" t="s">
        <v>57</v>
      </c>
    </row>
    <row r="4488" spans="1:8" x14ac:dyDescent="0.3">
      <c r="A4488">
        <v>378</v>
      </c>
      <c r="B4488" s="5">
        <v>43902</v>
      </c>
      <c r="C4488" t="s">
        <v>11</v>
      </c>
      <c r="D4488">
        <v>690</v>
      </c>
      <c r="E4488">
        <v>1237</v>
      </c>
      <c r="F4488" s="5">
        <v>43891</v>
      </c>
      <c r="G4488">
        <v>-690</v>
      </c>
      <c r="H4488" t="s">
        <v>57</v>
      </c>
    </row>
    <row r="4489" spans="1:8" x14ac:dyDescent="0.3">
      <c r="A4489">
        <v>378</v>
      </c>
      <c r="B4489" s="5">
        <v>43911</v>
      </c>
      <c r="C4489" t="s">
        <v>10</v>
      </c>
      <c r="D4489">
        <v>353</v>
      </c>
      <c r="E4489">
        <v>1590</v>
      </c>
      <c r="F4489" s="5">
        <v>43891</v>
      </c>
      <c r="G4489">
        <v>353</v>
      </c>
      <c r="H4489" t="s">
        <v>57</v>
      </c>
    </row>
    <row r="4490" spans="1:8" x14ac:dyDescent="0.3">
      <c r="A4490">
        <v>379</v>
      </c>
      <c r="B4490" s="5">
        <v>43842</v>
      </c>
      <c r="C4490" t="s">
        <v>10</v>
      </c>
      <c r="D4490">
        <v>451</v>
      </c>
      <c r="E4490">
        <v>451</v>
      </c>
      <c r="F4490" s="5">
        <v>43831</v>
      </c>
      <c r="G4490">
        <v>451</v>
      </c>
      <c r="H4490" t="s">
        <v>57</v>
      </c>
    </row>
    <row r="4491" spans="1:8" x14ac:dyDescent="0.3">
      <c r="A4491">
        <v>379</v>
      </c>
      <c r="B4491" s="5">
        <v>43842</v>
      </c>
      <c r="C4491" t="s">
        <v>11</v>
      </c>
      <c r="D4491">
        <v>486</v>
      </c>
      <c r="E4491">
        <v>-35</v>
      </c>
      <c r="F4491" s="5">
        <v>43831</v>
      </c>
      <c r="G4491">
        <v>-486</v>
      </c>
      <c r="H4491" t="s">
        <v>58</v>
      </c>
    </row>
    <row r="4492" spans="1:8" x14ac:dyDescent="0.3">
      <c r="A4492">
        <v>379</v>
      </c>
      <c r="B4492" s="5">
        <v>43864</v>
      </c>
      <c r="C4492" t="s">
        <v>10</v>
      </c>
      <c r="D4492">
        <v>604</v>
      </c>
      <c r="E4492">
        <v>569</v>
      </c>
      <c r="F4492" s="5">
        <v>43862</v>
      </c>
      <c r="G4492">
        <v>604</v>
      </c>
      <c r="H4492" t="s">
        <v>57</v>
      </c>
    </row>
    <row r="4493" spans="1:8" x14ac:dyDescent="0.3">
      <c r="A4493">
        <v>379</v>
      </c>
      <c r="B4493" s="5">
        <v>43871</v>
      </c>
      <c r="C4493" t="s">
        <v>12</v>
      </c>
      <c r="D4493">
        <v>271</v>
      </c>
      <c r="E4493">
        <v>298</v>
      </c>
      <c r="F4493" s="5">
        <v>43862</v>
      </c>
      <c r="G4493">
        <v>-271</v>
      </c>
      <c r="H4493" t="s">
        <v>57</v>
      </c>
    </row>
    <row r="4494" spans="1:8" x14ac:dyDescent="0.3">
      <c r="A4494">
        <v>379</v>
      </c>
      <c r="B4494" s="5">
        <v>43879</v>
      </c>
      <c r="C4494" t="s">
        <v>12</v>
      </c>
      <c r="D4494">
        <v>93</v>
      </c>
      <c r="E4494">
        <v>205</v>
      </c>
      <c r="F4494" s="5">
        <v>43862</v>
      </c>
      <c r="G4494">
        <v>-93</v>
      </c>
      <c r="H4494" t="s">
        <v>57</v>
      </c>
    </row>
    <row r="4495" spans="1:8" x14ac:dyDescent="0.3">
      <c r="A4495">
        <v>379</v>
      </c>
      <c r="B4495" s="5">
        <v>43886</v>
      </c>
      <c r="C4495" t="s">
        <v>11</v>
      </c>
      <c r="D4495">
        <v>473</v>
      </c>
      <c r="E4495">
        <v>-268</v>
      </c>
      <c r="F4495" s="5">
        <v>43862</v>
      </c>
      <c r="G4495">
        <v>-473</v>
      </c>
      <c r="H4495" t="s">
        <v>58</v>
      </c>
    </row>
    <row r="4496" spans="1:8" x14ac:dyDescent="0.3">
      <c r="A4496">
        <v>379</v>
      </c>
      <c r="B4496" s="5">
        <v>43925</v>
      </c>
      <c r="C4496" t="s">
        <v>11</v>
      </c>
      <c r="D4496">
        <v>938</v>
      </c>
      <c r="E4496">
        <v>-1206</v>
      </c>
      <c r="F4496" s="5">
        <v>43922</v>
      </c>
      <c r="G4496">
        <v>-938</v>
      </c>
      <c r="H4496" t="s">
        <v>58</v>
      </c>
    </row>
    <row r="4497" spans="1:8" x14ac:dyDescent="0.3">
      <c r="A4497">
        <v>380</v>
      </c>
      <c r="B4497" s="5">
        <v>43833</v>
      </c>
      <c r="C4497" t="s">
        <v>10</v>
      </c>
      <c r="D4497">
        <v>487</v>
      </c>
      <c r="E4497">
        <v>487</v>
      </c>
      <c r="F4497" s="5">
        <v>43831</v>
      </c>
      <c r="G4497">
        <v>487</v>
      </c>
      <c r="H4497" t="s">
        <v>57</v>
      </c>
    </row>
    <row r="4498" spans="1:8" x14ac:dyDescent="0.3">
      <c r="A4498">
        <v>380</v>
      </c>
      <c r="B4498" s="5">
        <v>43842</v>
      </c>
      <c r="C4498" t="s">
        <v>11</v>
      </c>
      <c r="D4498">
        <v>433</v>
      </c>
      <c r="E4498">
        <v>54</v>
      </c>
      <c r="F4498" s="5">
        <v>43831</v>
      </c>
      <c r="G4498">
        <v>-433</v>
      </c>
      <c r="H4498" t="s">
        <v>57</v>
      </c>
    </row>
    <row r="4499" spans="1:8" x14ac:dyDescent="0.3">
      <c r="A4499">
        <v>380</v>
      </c>
      <c r="B4499" s="5">
        <v>43847</v>
      </c>
      <c r="C4499" t="s">
        <v>12</v>
      </c>
      <c r="D4499">
        <v>431</v>
      </c>
      <c r="E4499">
        <v>-377</v>
      </c>
      <c r="F4499" s="5">
        <v>43831</v>
      </c>
      <c r="G4499">
        <v>-431</v>
      </c>
      <c r="H4499" t="s">
        <v>58</v>
      </c>
    </row>
    <row r="4500" spans="1:8" x14ac:dyDescent="0.3">
      <c r="A4500">
        <v>380</v>
      </c>
      <c r="B4500" s="5">
        <v>43847</v>
      </c>
      <c r="C4500" t="s">
        <v>10</v>
      </c>
      <c r="D4500">
        <v>48</v>
      </c>
      <c r="E4500">
        <v>-329</v>
      </c>
      <c r="F4500" s="5">
        <v>43831</v>
      </c>
      <c r="G4500">
        <v>48</v>
      </c>
      <c r="H4500" t="s">
        <v>58</v>
      </c>
    </row>
    <row r="4501" spans="1:8" x14ac:dyDescent="0.3">
      <c r="A4501">
        <v>380</v>
      </c>
      <c r="B4501" s="5">
        <v>43860</v>
      </c>
      <c r="C4501" t="s">
        <v>11</v>
      </c>
      <c r="D4501">
        <v>520</v>
      </c>
      <c r="E4501">
        <v>-849</v>
      </c>
      <c r="F4501" s="5">
        <v>43831</v>
      </c>
      <c r="G4501">
        <v>-520</v>
      </c>
      <c r="H4501" t="s">
        <v>58</v>
      </c>
    </row>
    <row r="4502" spans="1:8" x14ac:dyDescent="0.3">
      <c r="A4502">
        <v>380</v>
      </c>
      <c r="B4502" s="5">
        <v>43873</v>
      </c>
      <c r="C4502" t="s">
        <v>12</v>
      </c>
      <c r="D4502">
        <v>919</v>
      </c>
      <c r="E4502">
        <v>-1768</v>
      </c>
      <c r="F4502" s="5">
        <v>43862</v>
      </c>
      <c r="G4502">
        <v>-919</v>
      </c>
      <c r="H4502" t="s">
        <v>58</v>
      </c>
    </row>
    <row r="4503" spans="1:8" x14ac:dyDescent="0.3">
      <c r="A4503">
        <v>380</v>
      </c>
      <c r="B4503" s="5">
        <v>43877</v>
      </c>
      <c r="C4503" t="s">
        <v>10</v>
      </c>
      <c r="D4503">
        <v>833</v>
      </c>
      <c r="E4503">
        <v>-935</v>
      </c>
      <c r="F4503" s="5">
        <v>43862</v>
      </c>
      <c r="G4503">
        <v>833</v>
      </c>
      <c r="H4503" t="s">
        <v>58</v>
      </c>
    </row>
    <row r="4504" spans="1:8" x14ac:dyDescent="0.3">
      <c r="A4504">
        <v>380</v>
      </c>
      <c r="B4504" s="5">
        <v>43878</v>
      </c>
      <c r="C4504" t="s">
        <v>10</v>
      </c>
      <c r="D4504">
        <v>230</v>
      </c>
      <c r="E4504">
        <v>-705</v>
      </c>
      <c r="F4504" s="5">
        <v>43862</v>
      </c>
      <c r="G4504">
        <v>230</v>
      </c>
      <c r="H4504" t="s">
        <v>58</v>
      </c>
    </row>
    <row r="4505" spans="1:8" x14ac:dyDescent="0.3">
      <c r="A4505">
        <v>380</v>
      </c>
      <c r="B4505" s="5">
        <v>43889</v>
      </c>
      <c r="C4505" t="s">
        <v>11</v>
      </c>
      <c r="D4505">
        <v>758</v>
      </c>
      <c r="E4505">
        <v>-1463</v>
      </c>
      <c r="F4505" s="5">
        <v>43862</v>
      </c>
      <c r="G4505">
        <v>-758</v>
      </c>
      <c r="H4505" t="s">
        <v>58</v>
      </c>
    </row>
    <row r="4506" spans="1:8" x14ac:dyDescent="0.3">
      <c r="A4506">
        <v>380</v>
      </c>
      <c r="B4506" s="5">
        <v>43890</v>
      </c>
      <c r="C4506" t="s">
        <v>12</v>
      </c>
      <c r="D4506">
        <v>18</v>
      </c>
      <c r="E4506">
        <v>-1481</v>
      </c>
      <c r="F4506" s="5">
        <v>43862</v>
      </c>
      <c r="G4506">
        <v>-18</v>
      </c>
      <c r="H4506" t="s">
        <v>58</v>
      </c>
    </row>
    <row r="4507" spans="1:8" x14ac:dyDescent="0.3">
      <c r="A4507">
        <v>380</v>
      </c>
      <c r="B4507" s="5">
        <v>43891</v>
      </c>
      <c r="C4507" t="s">
        <v>11</v>
      </c>
      <c r="D4507">
        <v>336</v>
      </c>
      <c r="E4507">
        <v>-1817</v>
      </c>
      <c r="F4507" s="5">
        <v>43891</v>
      </c>
      <c r="G4507">
        <v>-336</v>
      </c>
      <c r="H4507" t="s">
        <v>58</v>
      </c>
    </row>
    <row r="4508" spans="1:8" x14ac:dyDescent="0.3">
      <c r="A4508">
        <v>380</v>
      </c>
      <c r="B4508" s="5">
        <v>43891</v>
      </c>
      <c r="C4508" t="s">
        <v>11</v>
      </c>
      <c r="D4508">
        <v>864</v>
      </c>
      <c r="E4508">
        <v>-2681</v>
      </c>
      <c r="F4508" s="5">
        <v>43891</v>
      </c>
      <c r="G4508">
        <v>-864</v>
      </c>
      <c r="H4508" t="s">
        <v>58</v>
      </c>
    </row>
    <row r="4509" spans="1:8" x14ac:dyDescent="0.3">
      <c r="A4509">
        <v>380</v>
      </c>
      <c r="B4509" s="5">
        <v>43910</v>
      </c>
      <c r="C4509" t="s">
        <v>11</v>
      </c>
      <c r="D4509">
        <v>219</v>
      </c>
      <c r="E4509">
        <v>-2900</v>
      </c>
      <c r="F4509" s="5">
        <v>43891</v>
      </c>
      <c r="G4509">
        <v>-219</v>
      </c>
      <c r="H4509" t="s">
        <v>58</v>
      </c>
    </row>
    <row r="4510" spans="1:8" x14ac:dyDescent="0.3">
      <c r="A4510">
        <v>380</v>
      </c>
      <c r="B4510" s="5">
        <v>43910</v>
      </c>
      <c r="C4510" t="s">
        <v>11</v>
      </c>
      <c r="D4510">
        <v>81</v>
      </c>
      <c r="E4510">
        <v>-2981</v>
      </c>
      <c r="F4510" s="5">
        <v>43891</v>
      </c>
      <c r="G4510">
        <v>-81</v>
      </c>
      <c r="H4510" t="s">
        <v>58</v>
      </c>
    </row>
    <row r="4511" spans="1:8" x14ac:dyDescent="0.3">
      <c r="A4511">
        <v>380</v>
      </c>
      <c r="B4511" s="5">
        <v>43916</v>
      </c>
      <c r="C4511" t="s">
        <v>10</v>
      </c>
      <c r="D4511">
        <v>77</v>
      </c>
      <c r="E4511">
        <v>-2904</v>
      </c>
      <c r="F4511" s="5">
        <v>43891</v>
      </c>
      <c r="G4511">
        <v>77</v>
      </c>
      <c r="H4511" t="s">
        <v>58</v>
      </c>
    </row>
    <row r="4512" spans="1:8" x14ac:dyDescent="0.3">
      <c r="A4512">
        <v>380</v>
      </c>
      <c r="B4512" s="5">
        <v>43918</v>
      </c>
      <c r="C4512" t="s">
        <v>12</v>
      </c>
      <c r="D4512">
        <v>758</v>
      </c>
      <c r="E4512">
        <v>-3662</v>
      </c>
      <c r="F4512" s="5">
        <v>43891</v>
      </c>
      <c r="G4512">
        <v>-758</v>
      </c>
      <c r="H4512" t="s">
        <v>58</v>
      </c>
    </row>
    <row r="4513" spans="1:8" x14ac:dyDescent="0.3">
      <c r="A4513">
        <v>381</v>
      </c>
      <c r="B4513" s="5">
        <v>43858</v>
      </c>
      <c r="C4513" t="s">
        <v>10</v>
      </c>
      <c r="D4513">
        <v>66</v>
      </c>
      <c r="E4513">
        <v>66</v>
      </c>
      <c r="F4513" s="5">
        <v>43831</v>
      </c>
      <c r="G4513">
        <v>66</v>
      </c>
      <c r="H4513" t="s">
        <v>57</v>
      </c>
    </row>
    <row r="4514" spans="1:8" x14ac:dyDescent="0.3">
      <c r="A4514">
        <v>381</v>
      </c>
      <c r="B4514" s="5">
        <v>43864</v>
      </c>
      <c r="C4514" t="s">
        <v>10</v>
      </c>
      <c r="D4514">
        <v>926</v>
      </c>
      <c r="E4514">
        <v>992</v>
      </c>
      <c r="F4514" s="5">
        <v>43862</v>
      </c>
      <c r="G4514">
        <v>926</v>
      </c>
      <c r="H4514" t="s">
        <v>57</v>
      </c>
    </row>
    <row r="4515" spans="1:8" x14ac:dyDescent="0.3">
      <c r="A4515">
        <v>381</v>
      </c>
      <c r="B4515" s="5">
        <v>43892</v>
      </c>
      <c r="C4515" t="s">
        <v>11</v>
      </c>
      <c r="D4515">
        <v>985</v>
      </c>
      <c r="E4515">
        <v>7</v>
      </c>
      <c r="F4515" s="5">
        <v>43891</v>
      </c>
      <c r="G4515">
        <v>-985</v>
      </c>
      <c r="H4515" t="s">
        <v>57</v>
      </c>
    </row>
    <row r="4516" spans="1:8" x14ac:dyDescent="0.3">
      <c r="A4516">
        <v>381</v>
      </c>
      <c r="B4516" s="5">
        <v>43895</v>
      </c>
      <c r="C4516" t="s">
        <v>12</v>
      </c>
      <c r="D4516">
        <v>186</v>
      </c>
      <c r="E4516">
        <v>-179</v>
      </c>
      <c r="F4516" s="5">
        <v>43891</v>
      </c>
      <c r="G4516">
        <v>-186</v>
      </c>
      <c r="H4516" t="s">
        <v>58</v>
      </c>
    </row>
    <row r="4517" spans="1:8" x14ac:dyDescent="0.3">
      <c r="A4517">
        <v>381</v>
      </c>
      <c r="B4517" s="5">
        <v>43912</v>
      </c>
      <c r="C4517" t="s">
        <v>10</v>
      </c>
      <c r="D4517">
        <v>457</v>
      </c>
      <c r="E4517">
        <v>278</v>
      </c>
      <c r="F4517" s="5">
        <v>43891</v>
      </c>
      <c r="G4517">
        <v>457</v>
      </c>
      <c r="H4517" t="s">
        <v>57</v>
      </c>
    </row>
    <row r="4518" spans="1:8" x14ac:dyDescent="0.3">
      <c r="A4518">
        <v>381</v>
      </c>
      <c r="B4518" s="5">
        <v>43923</v>
      </c>
      <c r="C4518" t="s">
        <v>12</v>
      </c>
      <c r="D4518">
        <v>16</v>
      </c>
      <c r="E4518">
        <v>262</v>
      </c>
      <c r="F4518" s="5">
        <v>43922</v>
      </c>
      <c r="G4518">
        <v>-16</v>
      </c>
      <c r="H4518" t="s">
        <v>57</v>
      </c>
    </row>
    <row r="4519" spans="1:8" x14ac:dyDescent="0.3">
      <c r="A4519">
        <v>381</v>
      </c>
      <c r="B4519" s="5">
        <v>43924</v>
      </c>
      <c r="C4519" t="s">
        <v>12</v>
      </c>
      <c r="D4519">
        <v>936</v>
      </c>
      <c r="E4519">
        <v>-674</v>
      </c>
      <c r="F4519" s="5">
        <v>43922</v>
      </c>
      <c r="G4519">
        <v>-936</v>
      </c>
      <c r="H4519" t="s">
        <v>58</v>
      </c>
    </row>
    <row r="4520" spans="1:8" x14ac:dyDescent="0.3">
      <c r="A4520">
        <v>381</v>
      </c>
      <c r="B4520" s="5">
        <v>43941</v>
      </c>
      <c r="C4520" t="s">
        <v>12</v>
      </c>
      <c r="D4520">
        <v>367</v>
      </c>
      <c r="E4520">
        <v>-1041</v>
      </c>
      <c r="F4520" s="5">
        <v>43922</v>
      </c>
      <c r="G4520">
        <v>-367</v>
      </c>
      <c r="H4520" t="s">
        <v>58</v>
      </c>
    </row>
    <row r="4521" spans="1:8" x14ac:dyDescent="0.3">
      <c r="A4521">
        <v>381</v>
      </c>
      <c r="B4521" s="5">
        <v>43947</v>
      </c>
      <c r="C4521" t="s">
        <v>10</v>
      </c>
      <c r="D4521">
        <v>444</v>
      </c>
      <c r="E4521">
        <v>-597</v>
      </c>
      <c r="F4521" s="5">
        <v>43922</v>
      </c>
      <c r="G4521">
        <v>444</v>
      </c>
      <c r="H4521" t="s">
        <v>58</v>
      </c>
    </row>
    <row r="4522" spans="1:8" x14ac:dyDescent="0.3">
      <c r="A4522">
        <v>382</v>
      </c>
      <c r="B4522" s="5">
        <v>43833</v>
      </c>
      <c r="C4522" t="s">
        <v>10</v>
      </c>
      <c r="D4522">
        <v>140</v>
      </c>
      <c r="E4522">
        <v>140</v>
      </c>
      <c r="F4522" s="5">
        <v>43831</v>
      </c>
      <c r="G4522">
        <v>140</v>
      </c>
      <c r="H4522" t="s">
        <v>57</v>
      </c>
    </row>
    <row r="4523" spans="1:8" x14ac:dyDescent="0.3">
      <c r="A4523">
        <v>382</v>
      </c>
      <c r="B4523" s="5">
        <v>43833</v>
      </c>
      <c r="C4523" t="s">
        <v>11</v>
      </c>
      <c r="D4523">
        <v>512</v>
      </c>
      <c r="E4523">
        <v>-372</v>
      </c>
      <c r="F4523" s="5">
        <v>43831</v>
      </c>
      <c r="G4523">
        <v>-512</v>
      </c>
      <c r="H4523" t="s">
        <v>58</v>
      </c>
    </row>
    <row r="4524" spans="1:8" x14ac:dyDescent="0.3">
      <c r="A4524">
        <v>382</v>
      </c>
      <c r="B4524" s="5">
        <v>43840</v>
      </c>
      <c r="C4524" t="s">
        <v>10</v>
      </c>
      <c r="D4524">
        <v>95</v>
      </c>
      <c r="E4524">
        <v>-277</v>
      </c>
      <c r="F4524" s="5">
        <v>43831</v>
      </c>
      <c r="G4524">
        <v>95</v>
      </c>
      <c r="H4524" t="s">
        <v>58</v>
      </c>
    </row>
    <row r="4525" spans="1:8" x14ac:dyDescent="0.3">
      <c r="A4525">
        <v>382</v>
      </c>
      <c r="B4525" s="5">
        <v>43852</v>
      </c>
      <c r="C4525" t="s">
        <v>12</v>
      </c>
      <c r="D4525">
        <v>410</v>
      </c>
      <c r="E4525">
        <v>-687</v>
      </c>
      <c r="F4525" s="5">
        <v>43831</v>
      </c>
      <c r="G4525">
        <v>-410</v>
      </c>
      <c r="H4525" t="s">
        <v>58</v>
      </c>
    </row>
    <row r="4526" spans="1:8" x14ac:dyDescent="0.3">
      <c r="A4526">
        <v>382</v>
      </c>
      <c r="B4526" s="5">
        <v>43872</v>
      </c>
      <c r="C4526" t="s">
        <v>11</v>
      </c>
      <c r="D4526">
        <v>59</v>
      </c>
      <c r="E4526">
        <v>-746</v>
      </c>
      <c r="F4526" s="5">
        <v>43862</v>
      </c>
      <c r="G4526">
        <v>-59</v>
      </c>
      <c r="H4526" t="s">
        <v>58</v>
      </c>
    </row>
    <row r="4527" spans="1:8" x14ac:dyDescent="0.3">
      <c r="A4527">
        <v>382</v>
      </c>
      <c r="B4527" s="5">
        <v>43878</v>
      </c>
      <c r="C4527" t="s">
        <v>10</v>
      </c>
      <c r="D4527">
        <v>866</v>
      </c>
      <c r="E4527">
        <v>120</v>
      </c>
      <c r="F4527" s="5">
        <v>43862</v>
      </c>
      <c r="G4527">
        <v>866</v>
      </c>
      <c r="H4527" t="s">
        <v>57</v>
      </c>
    </row>
    <row r="4528" spans="1:8" x14ac:dyDescent="0.3">
      <c r="A4528">
        <v>382</v>
      </c>
      <c r="B4528" s="5">
        <v>43883</v>
      </c>
      <c r="C4528" t="s">
        <v>12</v>
      </c>
      <c r="D4528">
        <v>579</v>
      </c>
      <c r="E4528">
        <v>-459</v>
      </c>
      <c r="F4528" s="5">
        <v>43862</v>
      </c>
      <c r="G4528">
        <v>-579</v>
      </c>
      <c r="H4528" t="s">
        <v>58</v>
      </c>
    </row>
    <row r="4529" spans="1:8" x14ac:dyDescent="0.3">
      <c r="A4529">
        <v>382</v>
      </c>
      <c r="B4529" s="5">
        <v>43888</v>
      </c>
      <c r="C4529" t="s">
        <v>12</v>
      </c>
      <c r="D4529">
        <v>736</v>
      </c>
      <c r="E4529">
        <v>-1195</v>
      </c>
      <c r="F4529" s="5">
        <v>43862</v>
      </c>
      <c r="G4529">
        <v>-736</v>
      </c>
      <c r="H4529" t="s">
        <v>58</v>
      </c>
    </row>
    <row r="4530" spans="1:8" x14ac:dyDescent="0.3">
      <c r="A4530">
        <v>382</v>
      </c>
      <c r="B4530" s="5">
        <v>43891</v>
      </c>
      <c r="C4530" t="s">
        <v>11</v>
      </c>
      <c r="D4530">
        <v>374</v>
      </c>
      <c r="E4530">
        <v>-1569</v>
      </c>
      <c r="F4530" s="5">
        <v>43891</v>
      </c>
      <c r="G4530">
        <v>-374</v>
      </c>
      <c r="H4530" t="s">
        <v>58</v>
      </c>
    </row>
    <row r="4531" spans="1:8" x14ac:dyDescent="0.3">
      <c r="A4531">
        <v>382</v>
      </c>
      <c r="B4531" s="5">
        <v>43897</v>
      </c>
      <c r="C4531" t="s">
        <v>12</v>
      </c>
      <c r="D4531">
        <v>64</v>
      </c>
      <c r="E4531">
        <v>-1633</v>
      </c>
      <c r="F4531" s="5">
        <v>43891</v>
      </c>
      <c r="G4531">
        <v>-64</v>
      </c>
      <c r="H4531" t="s">
        <v>58</v>
      </c>
    </row>
    <row r="4532" spans="1:8" x14ac:dyDescent="0.3">
      <c r="A4532">
        <v>382</v>
      </c>
      <c r="B4532" s="5">
        <v>43908</v>
      </c>
      <c r="C4532" t="s">
        <v>12</v>
      </c>
      <c r="D4532">
        <v>386</v>
      </c>
      <c r="E4532">
        <v>-2019</v>
      </c>
      <c r="F4532" s="5">
        <v>43891</v>
      </c>
      <c r="G4532">
        <v>-386</v>
      </c>
      <c r="H4532" t="s">
        <v>58</v>
      </c>
    </row>
    <row r="4533" spans="1:8" x14ac:dyDescent="0.3">
      <c r="A4533">
        <v>382</v>
      </c>
      <c r="B4533" s="5">
        <v>43916</v>
      </c>
      <c r="C4533" t="s">
        <v>10</v>
      </c>
      <c r="D4533">
        <v>499</v>
      </c>
      <c r="E4533">
        <v>-1520</v>
      </c>
      <c r="F4533" s="5">
        <v>43891</v>
      </c>
      <c r="G4533">
        <v>499</v>
      </c>
      <c r="H4533" t="s">
        <v>58</v>
      </c>
    </row>
    <row r="4534" spans="1:8" x14ac:dyDescent="0.3">
      <c r="A4534">
        <v>382</v>
      </c>
      <c r="B4534" s="5">
        <v>43919</v>
      </c>
      <c r="C4534" t="s">
        <v>10</v>
      </c>
      <c r="D4534">
        <v>340</v>
      </c>
      <c r="E4534">
        <v>-1180</v>
      </c>
      <c r="F4534" s="5">
        <v>43891</v>
      </c>
      <c r="G4534">
        <v>340</v>
      </c>
      <c r="H4534" t="s">
        <v>58</v>
      </c>
    </row>
    <row r="4535" spans="1:8" x14ac:dyDescent="0.3">
      <c r="A4535">
        <v>382</v>
      </c>
      <c r="B4535" s="5">
        <v>43921</v>
      </c>
      <c r="C4535" t="s">
        <v>10</v>
      </c>
      <c r="D4535">
        <v>39</v>
      </c>
      <c r="E4535">
        <v>-1141</v>
      </c>
      <c r="F4535" s="5">
        <v>43891</v>
      </c>
      <c r="G4535">
        <v>39</v>
      </c>
      <c r="H4535" t="s">
        <v>58</v>
      </c>
    </row>
    <row r="4536" spans="1:8" x14ac:dyDescent="0.3">
      <c r="A4536">
        <v>383</v>
      </c>
      <c r="B4536" s="5">
        <v>43856</v>
      </c>
      <c r="C4536" t="s">
        <v>10</v>
      </c>
      <c r="D4536">
        <v>889</v>
      </c>
      <c r="E4536">
        <v>889</v>
      </c>
      <c r="F4536" s="5">
        <v>43831</v>
      </c>
      <c r="G4536">
        <v>889</v>
      </c>
      <c r="H4536" t="s">
        <v>57</v>
      </c>
    </row>
    <row r="4537" spans="1:8" x14ac:dyDescent="0.3">
      <c r="A4537">
        <v>383</v>
      </c>
      <c r="B4537" s="5">
        <v>43859</v>
      </c>
      <c r="C4537" t="s">
        <v>12</v>
      </c>
      <c r="D4537">
        <v>925</v>
      </c>
      <c r="E4537">
        <v>-36</v>
      </c>
      <c r="F4537" s="5">
        <v>43831</v>
      </c>
      <c r="G4537">
        <v>-925</v>
      </c>
      <c r="H4537" t="s">
        <v>58</v>
      </c>
    </row>
    <row r="4538" spans="1:8" x14ac:dyDescent="0.3">
      <c r="A4538">
        <v>383</v>
      </c>
      <c r="B4538" s="5">
        <v>43862</v>
      </c>
      <c r="C4538" t="s">
        <v>10</v>
      </c>
      <c r="D4538">
        <v>606</v>
      </c>
      <c r="E4538">
        <v>570</v>
      </c>
      <c r="F4538" s="5">
        <v>43862</v>
      </c>
      <c r="G4538">
        <v>606</v>
      </c>
      <c r="H4538" t="s">
        <v>57</v>
      </c>
    </row>
    <row r="4539" spans="1:8" x14ac:dyDescent="0.3">
      <c r="A4539">
        <v>383</v>
      </c>
      <c r="B4539" s="5">
        <v>43886</v>
      </c>
      <c r="C4539" t="s">
        <v>10</v>
      </c>
      <c r="D4539">
        <v>365</v>
      </c>
      <c r="E4539">
        <v>935</v>
      </c>
      <c r="F4539" s="5">
        <v>43862</v>
      </c>
      <c r="G4539">
        <v>365</v>
      </c>
      <c r="H4539" t="s">
        <v>57</v>
      </c>
    </row>
    <row r="4540" spans="1:8" x14ac:dyDescent="0.3">
      <c r="A4540">
        <v>383</v>
      </c>
      <c r="B4540" s="5">
        <v>43891</v>
      </c>
      <c r="C4540" t="s">
        <v>11</v>
      </c>
      <c r="D4540">
        <v>827</v>
      </c>
      <c r="E4540">
        <v>108</v>
      </c>
      <c r="F4540" s="5">
        <v>43891</v>
      </c>
      <c r="G4540">
        <v>-827</v>
      </c>
      <c r="H4540" t="s">
        <v>57</v>
      </c>
    </row>
    <row r="4541" spans="1:8" x14ac:dyDescent="0.3">
      <c r="A4541">
        <v>383</v>
      </c>
      <c r="B4541" s="5">
        <v>43918</v>
      </c>
      <c r="C4541" t="s">
        <v>12</v>
      </c>
      <c r="D4541">
        <v>725</v>
      </c>
      <c r="E4541">
        <v>-617</v>
      </c>
      <c r="F4541" s="5">
        <v>43891</v>
      </c>
      <c r="G4541">
        <v>-725</v>
      </c>
      <c r="H4541" t="s">
        <v>58</v>
      </c>
    </row>
    <row r="4542" spans="1:8" x14ac:dyDescent="0.3">
      <c r="A4542">
        <v>383</v>
      </c>
      <c r="B4542" s="5">
        <v>43924</v>
      </c>
      <c r="C4542" t="s">
        <v>10</v>
      </c>
      <c r="D4542">
        <v>239</v>
      </c>
      <c r="E4542">
        <v>-378</v>
      </c>
      <c r="F4542" s="5">
        <v>43922</v>
      </c>
      <c r="G4542">
        <v>239</v>
      </c>
      <c r="H4542" t="s">
        <v>58</v>
      </c>
    </row>
    <row r="4543" spans="1:8" x14ac:dyDescent="0.3">
      <c r="A4543">
        <v>383</v>
      </c>
      <c r="B4543" s="5">
        <v>43937</v>
      </c>
      <c r="C4543" t="s">
        <v>10</v>
      </c>
      <c r="D4543">
        <v>944</v>
      </c>
      <c r="E4543">
        <v>566</v>
      </c>
      <c r="F4543" s="5">
        <v>43922</v>
      </c>
      <c r="G4543">
        <v>944</v>
      </c>
      <c r="H4543" t="s">
        <v>57</v>
      </c>
    </row>
    <row r="4544" spans="1:8" x14ac:dyDescent="0.3">
      <c r="A4544">
        <v>383</v>
      </c>
      <c r="B4544" s="5">
        <v>43940</v>
      </c>
      <c r="C4544" t="s">
        <v>10</v>
      </c>
      <c r="D4544">
        <v>907</v>
      </c>
      <c r="E4544">
        <v>1473</v>
      </c>
      <c r="F4544" s="5">
        <v>43922</v>
      </c>
      <c r="G4544">
        <v>907</v>
      </c>
      <c r="H4544" t="s">
        <v>57</v>
      </c>
    </row>
    <row r="4545" spans="1:8" x14ac:dyDescent="0.3">
      <c r="A4545">
        <v>383</v>
      </c>
      <c r="B4545" s="5">
        <v>43944</v>
      </c>
      <c r="C4545" t="s">
        <v>12</v>
      </c>
      <c r="D4545">
        <v>419</v>
      </c>
      <c r="E4545">
        <v>1054</v>
      </c>
      <c r="F4545" s="5">
        <v>43922</v>
      </c>
      <c r="G4545">
        <v>-419</v>
      </c>
      <c r="H4545" t="s">
        <v>57</v>
      </c>
    </row>
    <row r="4546" spans="1:8" x14ac:dyDescent="0.3">
      <c r="A4546">
        <v>383</v>
      </c>
      <c r="B4546" s="5">
        <v>43945</v>
      </c>
      <c r="C4546" t="s">
        <v>12</v>
      </c>
      <c r="D4546">
        <v>141</v>
      </c>
      <c r="E4546">
        <v>913</v>
      </c>
      <c r="F4546" s="5">
        <v>43922</v>
      </c>
      <c r="G4546">
        <v>-141</v>
      </c>
      <c r="H4546" t="s">
        <v>57</v>
      </c>
    </row>
    <row r="4547" spans="1:8" x14ac:dyDescent="0.3">
      <c r="A4547">
        <v>384</v>
      </c>
      <c r="B4547" s="5">
        <v>43842</v>
      </c>
      <c r="C4547" t="s">
        <v>10</v>
      </c>
      <c r="D4547">
        <v>352</v>
      </c>
      <c r="E4547">
        <v>352</v>
      </c>
      <c r="F4547" s="5">
        <v>43831</v>
      </c>
      <c r="G4547">
        <v>352</v>
      </c>
      <c r="H4547" t="s">
        <v>57</v>
      </c>
    </row>
    <row r="4548" spans="1:8" x14ac:dyDescent="0.3">
      <c r="A4548">
        <v>384</v>
      </c>
      <c r="B4548" s="5">
        <v>43851</v>
      </c>
      <c r="C4548" t="s">
        <v>11</v>
      </c>
      <c r="D4548">
        <v>117</v>
      </c>
      <c r="E4548">
        <v>235</v>
      </c>
      <c r="F4548" s="5">
        <v>43831</v>
      </c>
      <c r="G4548">
        <v>-117</v>
      </c>
      <c r="H4548" t="s">
        <v>57</v>
      </c>
    </row>
    <row r="4549" spans="1:8" x14ac:dyDescent="0.3">
      <c r="A4549">
        <v>384</v>
      </c>
      <c r="B4549" s="5">
        <v>43860</v>
      </c>
      <c r="C4549" t="s">
        <v>11</v>
      </c>
      <c r="D4549">
        <v>245</v>
      </c>
      <c r="E4549">
        <v>-10</v>
      </c>
      <c r="F4549" s="5">
        <v>43831</v>
      </c>
      <c r="G4549">
        <v>-245</v>
      </c>
      <c r="H4549" t="s">
        <v>58</v>
      </c>
    </row>
    <row r="4550" spans="1:8" x14ac:dyDescent="0.3">
      <c r="A4550">
        <v>384</v>
      </c>
      <c r="B4550" s="5">
        <v>43867</v>
      </c>
      <c r="C4550" t="s">
        <v>11</v>
      </c>
      <c r="D4550">
        <v>976</v>
      </c>
      <c r="E4550">
        <v>-986</v>
      </c>
      <c r="F4550" s="5">
        <v>43862</v>
      </c>
      <c r="G4550">
        <v>-976</v>
      </c>
      <c r="H4550" t="s">
        <v>58</v>
      </c>
    </row>
    <row r="4551" spans="1:8" x14ac:dyDescent="0.3">
      <c r="A4551">
        <v>384</v>
      </c>
      <c r="B4551" s="5">
        <v>43868</v>
      </c>
      <c r="C4551" t="s">
        <v>12</v>
      </c>
      <c r="D4551">
        <v>568</v>
      </c>
      <c r="E4551">
        <v>-1554</v>
      </c>
      <c r="F4551" s="5">
        <v>43862</v>
      </c>
      <c r="G4551">
        <v>-568</v>
      </c>
      <c r="H4551" t="s">
        <v>58</v>
      </c>
    </row>
    <row r="4552" spans="1:8" x14ac:dyDescent="0.3">
      <c r="A4552">
        <v>384</v>
      </c>
      <c r="B4552" s="5">
        <v>43870</v>
      </c>
      <c r="C4552" t="s">
        <v>12</v>
      </c>
      <c r="D4552">
        <v>835</v>
      </c>
      <c r="E4552">
        <v>-2389</v>
      </c>
      <c r="F4552" s="5">
        <v>43862</v>
      </c>
      <c r="G4552">
        <v>-835</v>
      </c>
      <c r="H4552" t="s">
        <v>58</v>
      </c>
    </row>
    <row r="4553" spans="1:8" x14ac:dyDescent="0.3">
      <c r="A4553">
        <v>384</v>
      </c>
      <c r="B4553" s="5">
        <v>43876</v>
      </c>
      <c r="C4553" t="s">
        <v>10</v>
      </c>
      <c r="D4553">
        <v>600</v>
      </c>
      <c r="E4553">
        <v>-1789</v>
      </c>
      <c r="F4553" s="5">
        <v>43862</v>
      </c>
      <c r="G4553">
        <v>600</v>
      </c>
      <c r="H4553" t="s">
        <v>58</v>
      </c>
    </row>
    <row r="4554" spans="1:8" x14ac:dyDescent="0.3">
      <c r="A4554">
        <v>384</v>
      </c>
      <c r="B4554" s="5">
        <v>43880</v>
      </c>
      <c r="C4554" t="s">
        <v>11</v>
      </c>
      <c r="D4554">
        <v>425</v>
      </c>
      <c r="E4554">
        <v>-2214</v>
      </c>
      <c r="F4554" s="5">
        <v>43862</v>
      </c>
      <c r="G4554">
        <v>-425</v>
      </c>
      <c r="H4554" t="s">
        <v>58</v>
      </c>
    </row>
    <row r="4555" spans="1:8" x14ac:dyDescent="0.3">
      <c r="A4555">
        <v>384</v>
      </c>
      <c r="B4555" s="5">
        <v>43887</v>
      </c>
      <c r="C4555" t="s">
        <v>10</v>
      </c>
      <c r="D4555">
        <v>635</v>
      </c>
      <c r="E4555">
        <v>-1579</v>
      </c>
      <c r="F4555" s="5">
        <v>43862</v>
      </c>
      <c r="G4555">
        <v>635</v>
      </c>
      <c r="H4555" t="s">
        <v>58</v>
      </c>
    </row>
    <row r="4556" spans="1:8" x14ac:dyDescent="0.3">
      <c r="A4556">
        <v>384</v>
      </c>
      <c r="B4556" s="5">
        <v>43887</v>
      </c>
      <c r="C4556" t="s">
        <v>11</v>
      </c>
      <c r="D4556">
        <v>460</v>
      </c>
      <c r="E4556">
        <v>-2039</v>
      </c>
      <c r="F4556" s="5">
        <v>43862</v>
      </c>
      <c r="G4556">
        <v>-460</v>
      </c>
      <c r="H4556" t="s">
        <v>58</v>
      </c>
    </row>
    <row r="4557" spans="1:8" x14ac:dyDescent="0.3">
      <c r="A4557">
        <v>384</v>
      </c>
      <c r="B4557" s="5">
        <v>43888</v>
      </c>
      <c r="C4557" t="s">
        <v>11</v>
      </c>
      <c r="D4557">
        <v>447</v>
      </c>
      <c r="E4557">
        <v>-2486</v>
      </c>
      <c r="F4557" s="5">
        <v>43862</v>
      </c>
      <c r="G4557">
        <v>-447</v>
      </c>
      <c r="H4557" t="s">
        <v>58</v>
      </c>
    </row>
    <row r="4558" spans="1:8" x14ac:dyDescent="0.3">
      <c r="A4558">
        <v>384</v>
      </c>
      <c r="B4558" s="5">
        <v>43891</v>
      </c>
      <c r="C4558" t="s">
        <v>10</v>
      </c>
      <c r="D4558">
        <v>654</v>
      </c>
      <c r="E4558">
        <v>-1832</v>
      </c>
      <c r="F4558" s="5">
        <v>43891</v>
      </c>
      <c r="G4558">
        <v>654</v>
      </c>
      <c r="H4558" t="s">
        <v>58</v>
      </c>
    </row>
    <row r="4559" spans="1:8" x14ac:dyDescent="0.3">
      <c r="A4559">
        <v>384</v>
      </c>
      <c r="B4559" s="5">
        <v>43893</v>
      </c>
      <c r="C4559" t="s">
        <v>12</v>
      </c>
      <c r="D4559">
        <v>363</v>
      </c>
      <c r="E4559">
        <v>-2195</v>
      </c>
      <c r="F4559" s="5">
        <v>43891</v>
      </c>
      <c r="G4559">
        <v>-363</v>
      </c>
      <c r="H4559" t="s">
        <v>58</v>
      </c>
    </row>
    <row r="4560" spans="1:8" x14ac:dyDescent="0.3">
      <c r="A4560">
        <v>384</v>
      </c>
      <c r="B4560" s="5">
        <v>43904</v>
      </c>
      <c r="C4560" t="s">
        <v>11</v>
      </c>
      <c r="D4560">
        <v>981</v>
      </c>
      <c r="E4560">
        <v>-3176</v>
      </c>
      <c r="F4560" s="5">
        <v>43891</v>
      </c>
      <c r="G4560">
        <v>-981</v>
      </c>
      <c r="H4560" t="s">
        <v>58</v>
      </c>
    </row>
    <row r="4561" spans="1:8" x14ac:dyDescent="0.3">
      <c r="A4561">
        <v>384</v>
      </c>
      <c r="B4561" s="5">
        <v>43913</v>
      </c>
      <c r="C4561" t="s">
        <v>10</v>
      </c>
      <c r="D4561">
        <v>869</v>
      </c>
      <c r="E4561">
        <v>-2307</v>
      </c>
      <c r="F4561" s="5">
        <v>43891</v>
      </c>
      <c r="G4561">
        <v>869</v>
      </c>
      <c r="H4561" t="s">
        <v>58</v>
      </c>
    </row>
    <row r="4562" spans="1:8" x14ac:dyDescent="0.3">
      <c r="A4562">
        <v>384</v>
      </c>
      <c r="B4562" s="5">
        <v>43921</v>
      </c>
      <c r="C4562" t="s">
        <v>12</v>
      </c>
      <c r="D4562">
        <v>220</v>
      </c>
      <c r="E4562">
        <v>-2527</v>
      </c>
      <c r="F4562" s="5">
        <v>43891</v>
      </c>
      <c r="G4562">
        <v>-220</v>
      </c>
      <c r="H4562" t="s">
        <v>58</v>
      </c>
    </row>
    <row r="4563" spans="1:8" x14ac:dyDescent="0.3">
      <c r="A4563">
        <v>385</v>
      </c>
      <c r="B4563" s="5">
        <v>43845</v>
      </c>
      <c r="C4563" t="s">
        <v>10</v>
      </c>
      <c r="D4563">
        <v>585</v>
      </c>
      <c r="E4563">
        <v>585</v>
      </c>
      <c r="F4563" s="5">
        <v>43831</v>
      </c>
      <c r="G4563">
        <v>585</v>
      </c>
      <c r="H4563" t="s">
        <v>57</v>
      </c>
    </row>
    <row r="4564" spans="1:8" x14ac:dyDescent="0.3">
      <c r="A4564">
        <v>385</v>
      </c>
      <c r="B4564" s="5">
        <v>43856</v>
      </c>
      <c r="C4564" t="s">
        <v>11</v>
      </c>
      <c r="D4564">
        <v>990</v>
      </c>
      <c r="E4564">
        <v>-405</v>
      </c>
      <c r="F4564" s="5">
        <v>43831</v>
      </c>
      <c r="G4564">
        <v>-990</v>
      </c>
      <c r="H4564" t="s">
        <v>58</v>
      </c>
    </row>
    <row r="4565" spans="1:8" x14ac:dyDescent="0.3">
      <c r="A4565">
        <v>385</v>
      </c>
      <c r="B4565" s="5">
        <v>43856</v>
      </c>
      <c r="C4565" t="s">
        <v>12</v>
      </c>
      <c r="D4565">
        <v>512</v>
      </c>
      <c r="E4565">
        <v>-917</v>
      </c>
      <c r="F4565" s="5">
        <v>43831</v>
      </c>
      <c r="G4565">
        <v>-512</v>
      </c>
      <c r="H4565" t="s">
        <v>58</v>
      </c>
    </row>
    <row r="4566" spans="1:8" x14ac:dyDescent="0.3">
      <c r="A4566">
        <v>385</v>
      </c>
      <c r="B4566" s="5">
        <v>43861</v>
      </c>
      <c r="C4566" t="s">
        <v>12</v>
      </c>
      <c r="D4566">
        <v>257</v>
      </c>
      <c r="E4566">
        <v>-1174</v>
      </c>
      <c r="F4566" s="5">
        <v>43831</v>
      </c>
      <c r="G4566">
        <v>-257</v>
      </c>
      <c r="H4566" t="s">
        <v>58</v>
      </c>
    </row>
    <row r="4567" spans="1:8" x14ac:dyDescent="0.3">
      <c r="A4567">
        <v>385</v>
      </c>
      <c r="B4567" s="5">
        <v>43893</v>
      </c>
      <c r="C4567" t="s">
        <v>10</v>
      </c>
      <c r="D4567">
        <v>335</v>
      </c>
      <c r="E4567">
        <v>-839</v>
      </c>
      <c r="F4567" s="5">
        <v>43891</v>
      </c>
      <c r="G4567">
        <v>335</v>
      </c>
      <c r="H4567" t="s">
        <v>58</v>
      </c>
    </row>
    <row r="4568" spans="1:8" x14ac:dyDescent="0.3">
      <c r="A4568">
        <v>385</v>
      </c>
      <c r="B4568" s="5">
        <v>43901</v>
      </c>
      <c r="C4568" t="s">
        <v>11</v>
      </c>
      <c r="D4568">
        <v>855</v>
      </c>
      <c r="E4568">
        <v>-1694</v>
      </c>
      <c r="F4568" s="5">
        <v>43891</v>
      </c>
      <c r="G4568">
        <v>-855</v>
      </c>
      <c r="H4568" t="s">
        <v>58</v>
      </c>
    </row>
    <row r="4569" spans="1:8" x14ac:dyDescent="0.3">
      <c r="A4569">
        <v>385</v>
      </c>
      <c r="B4569" s="5">
        <v>43905</v>
      </c>
      <c r="C4569" t="s">
        <v>12</v>
      </c>
      <c r="D4569">
        <v>916</v>
      </c>
      <c r="E4569">
        <v>-2610</v>
      </c>
      <c r="F4569" s="5">
        <v>43891</v>
      </c>
      <c r="G4569">
        <v>-916</v>
      </c>
      <c r="H4569" t="s">
        <v>58</v>
      </c>
    </row>
    <row r="4570" spans="1:8" x14ac:dyDescent="0.3">
      <c r="A4570">
        <v>385</v>
      </c>
      <c r="B4570" s="5">
        <v>43912</v>
      </c>
      <c r="C4570" t="s">
        <v>11</v>
      </c>
      <c r="D4570">
        <v>988</v>
      </c>
      <c r="E4570">
        <v>-3598</v>
      </c>
      <c r="F4570" s="5">
        <v>43891</v>
      </c>
      <c r="G4570">
        <v>-988</v>
      </c>
      <c r="H4570" t="s">
        <v>58</v>
      </c>
    </row>
    <row r="4571" spans="1:8" x14ac:dyDescent="0.3">
      <c r="A4571">
        <v>385</v>
      </c>
      <c r="B4571" s="5">
        <v>43917</v>
      </c>
      <c r="C4571" t="s">
        <v>11</v>
      </c>
      <c r="D4571">
        <v>607</v>
      </c>
      <c r="E4571">
        <v>-4205</v>
      </c>
      <c r="F4571" s="5">
        <v>43891</v>
      </c>
      <c r="G4571">
        <v>-607</v>
      </c>
      <c r="H4571" t="s">
        <v>58</v>
      </c>
    </row>
    <row r="4572" spans="1:8" x14ac:dyDescent="0.3">
      <c r="A4572">
        <v>385</v>
      </c>
      <c r="B4572" s="5">
        <v>43920</v>
      </c>
      <c r="C4572" t="s">
        <v>11</v>
      </c>
      <c r="D4572">
        <v>488</v>
      </c>
      <c r="E4572">
        <v>-4693</v>
      </c>
      <c r="F4572" s="5">
        <v>43891</v>
      </c>
      <c r="G4572">
        <v>-488</v>
      </c>
      <c r="H4572" t="s">
        <v>58</v>
      </c>
    </row>
    <row r="4573" spans="1:8" x14ac:dyDescent="0.3">
      <c r="A4573">
        <v>385</v>
      </c>
      <c r="B4573" s="5">
        <v>43924</v>
      </c>
      <c r="C4573" t="s">
        <v>12</v>
      </c>
      <c r="D4573">
        <v>168</v>
      </c>
      <c r="E4573">
        <v>-4861</v>
      </c>
      <c r="F4573" s="5">
        <v>43922</v>
      </c>
      <c r="G4573">
        <v>-168</v>
      </c>
      <c r="H4573" t="s">
        <v>58</v>
      </c>
    </row>
    <row r="4574" spans="1:8" x14ac:dyDescent="0.3">
      <c r="A4574">
        <v>386</v>
      </c>
      <c r="B4574" s="5">
        <v>43856</v>
      </c>
      <c r="C4574" t="s">
        <v>10</v>
      </c>
      <c r="D4574">
        <v>854</v>
      </c>
      <c r="E4574">
        <v>854</v>
      </c>
      <c r="F4574" s="5">
        <v>43831</v>
      </c>
      <c r="G4574">
        <v>854</v>
      </c>
      <c r="H4574" t="s">
        <v>57</v>
      </c>
    </row>
    <row r="4575" spans="1:8" x14ac:dyDescent="0.3">
      <c r="A4575">
        <v>386</v>
      </c>
      <c r="B4575" s="5">
        <v>43857</v>
      </c>
      <c r="C4575" t="s">
        <v>10</v>
      </c>
      <c r="D4575">
        <v>254</v>
      </c>
      <c r="E4575">
        <v>1108</v>
      </c>
      <c r="F4575" s="5">
        <v>43831</v>
      </c>
      <c r="G4575">
        <v>254</v>
      </c>
      <c r="H4575" t="s">
        <v>57</v>
      </c>
    </row>
    <row r="4576" spans="1:8" x14ac:dyDescent="0.3">
      <c r="A4576">
        <v>386</v>
      </c>
      <c r="B4576" s="5">
        <v>43863</v>
      </c>
      <c r="C4576" t="s">
        <v>11</v>
      </c>
      <c r="D4576">
        <v>239</v>
      </c>
      <c r="E4576">
        <v>869</v>
      </c>
      <c r="F4576" s="5">
        <v>43862</v>
      </c>
      <c r="G4576">
        <v>-239</v>
      </c>
      <c r="H4576" t="s">
        <v>57</v>
      </c>
    </row>
    <row r="4577" spans="1:8" x14ac:dyDescent="0.3">
      <c r="A4577">
        <v>386</v>
      </c>
      <c r="B4577" s="5">
        <v>43883</v>
      </c>
      <c r="C4577" t="s">
        <v>11</v>
      </c>
      <c r="D4577">
        <v>110</v>
      </c>
      <c r="E4577">
        <v>759</v>
      </c>
      <c r="F4577" s="5">
        <v>43862</v>
      </c>
      <c r="G4577">
        <v>-110</v>
      </c>
      <c r="H4577" t="s">
        <v>57</v>
      </c>
    </row>
    <row r="4578" spans="1:8" x14ac:dyDescent="0.3">
      <c r="A4578">
        <v>386</v>
      </c>
      <c r="B4578" s="5">
        <v>43898</v>
      </c>
      <c r="C4578" t="s">
        <v>11</v>
      </c>
      <c r="D4578">
        <v>470</v>
      </c>
      <c r="E4578">
        <v>289</v>
      </c>
      <c r="F4578" s="5">
        <v>43891</v>
      </c>
      <c r="G4578">
        <v>-470</v>
      </c>
      <c r="H4578" t="s">
        <v>57</v>
      </c>
    </row>
    <row r="4579" spans="1:8" x14ac:dyDescent="0.3">
      <c r="A4579">
        <v>386</v>
      </c>
      <c r="B4579" s="5">
        <v>43908</v>
      </c>
      <c r="C4579" t="s">
        <v>10</v>
      </c>
      <c r="D4579">
        <v>489</v>
      </c>
      <c r="E4579">
        <v>778</v>
      </c>
      <c r="F4579" s="5">
        <v>43891</v>
      </c>
      <c r="G4579">
        <v>489</v>
      </c>
      <c r="H4579" t="s">
        <v>57</v>
      </c>
    </row>
    <row r="4580" spans="1:8" x14ac:dyDescent="0.3">
      <c r="A4580">
        <v>386</v>
      </c>
      <c r="B4580" s="5">
        <v>43913</v>
      </c>
      <c r="C4580" t="s">
        <v>11</v>
      </c>
      <c r="D4580">
        <v>681</v>
      </c>
      <c r="E4580">
        <v>97</v>
      </c>
      <c r="F4580" s="5">
        <v>43891</v>
      </c>
      <c r="G4580">
        <v>-681</v>
      </c>
      <c r="H4580" t="s">
        <v>57</v>
      </c>
    </row>
    <row r="4581" spans="1:8" x14ac:dyDescent="0.3">
      <c r="A4581">
        <v>386</v>
      </c>
      <c r="B4581" s="5">
        <v>43919</v>
      </c>
      <c r="C4581" t="s">
        <v>12</v>
      </c>
      <c r="D4581">
        <v>863</v>
      </c>
      <c r="E4581">
        <v>-766</v>
      </c>
      <c r="F4581" s="5">
        <v>43891</v>
      </c>
      <c r="G4581">
        <v>-863</v>
      </c>
      <c r="H4581" t="s">
        <v>58</v>
      </c>
    </row>
    <row r="4582" spans="1:8" x14ac:dyDescent="0.3">
      <c r="A4582">
        <v>386</v>
      </c>
      <c r="B4582" s="5">
        <v>43923</v>
      </c>
      <c r="C4582" t="s">
        <v>12</v>
      </c>
      <c r="D4582">
        <v>315</v>
      </c>
      <c r="E4582">
        <v>-1081</v>
      </c>
      <c r="F4582" s="5">
        <v>43922</v>
      </c>
      <c r="G4582">
        <v>-315</v>
      </c>
      <c r="H4582" t="s">
        <v>58</v>
      </c>
    </row>
    <row r="4583" spans="1:8" x14ac:dyDescent="0.3">
      <c r="A4583">
        <v>386</v>
      </c>
      <c r="B4583" s="5">
        <v>43924</v>
      </c>
      <c r="C4583" t="s">
        <v>11</v>
      </c>
      <c r="D4583">
        <v>975</v>
      </c>
      <c r="E4583">
        <v>-2056</v>
      </c>
      <c r="F4583" s="5">
        <v>43922</v>
      </c>
      <c r="G4583">
        <v>-975</v>
      </c>
      <c r="H4583" t="s">
        <v>58</v>
      </c>
    </row>
    <row r="4584" spans="1:8" x14ac:dyDescent="0.3">
      <c r="A4584">
        <v>386</v>
      </c>
      <c r="B4584" s="5">
        <v>43932</v>
      </c>
      <c r="C4584" t="s">
        <v>12</v>
      </c>
      <c r="D4584">
        <v>385</v>
      </c>
      <c r="E4584">
        <v>-2441</v>
      </c>
      <c r="F4584" s="5">
        <v>43922</v>
      </c>
      <c r="G4584">
        <v>-385</v>
      </c>
      <c r="H4584" t="s">
        <v>58</v>
      </c>
    </row>
    <row r="4585" spans="1:8" x14ac:dyDescent="0.3">
      <c r="A4585">
        <v>386</v>
      </c>
      <c r="B4585" s="5">
        <v>43934</v>
      </c>
      <c r="C4585" t="s">
        <v>10</v>
      </c>
      <c r="D4585">
        <v>328</v>
      </c>
      <c r="E4585">
        <v>-2113</v>
      </c>
      <c r="F4585" s="5">
        <v>43922</v>
      </c>
      <c r="G4585">
        <v>328</v>
      </c>
      <c r="H4585" t="s">
        <v>58</v>
      </c>
    </row>
    <row r="4586" spans="1:8" x14ac:dyDescent="0.3">
      <c r="A4586">
        <v>386</v>
      </c>
      <c r="B4586" s="5">
        <v>43941</v>
      </c>
      <c r="C4586" t="s">
        <v>12</v>
      </c>
      <c r="D4586">
        <v>771</v>
      </c>
      <c r="E4586">
        <v>-2884</v>
      </c>
      <c r="F4586" s="5">
        <v>43922</v>
      </c>
      <c r="G4586">
        <v>-771</v>
      </c>
      <c r="H4586" t="s">
        <v>58</v>
      </c>
    </row>
    <row r="4587" spans="1:8" x14ac:dyDescent="0.3">
      <c r="A4587">
        <v>386</v>
      </c>
      <c r="B4587" s="5">
        <v>43943</v>
      </c>
      <c r="C4587" t="s">
        <v>11</v>
      </c>
      <c r="D4587">
        <v>953</v>
      </c>
      <c r="E4587">
        <v>-3837</v>
      </c>
      <c r="F4587" s="5">
        <v>43922</v>
      </c>
      <c r="G4587">
        <v>-953</v>
      </c>
      <c r="H4587" t="s">
        <v>58</v>
      </c>
    </row>
    <row r="4588" spans="1:8" x14ac:dyDescent="0.3">
      <c r="A4588">
        <v>387</v>
      </c>
      <c r="B4588" s="5">
        <v>43852</v>
      </c>
      <c r="C4588" t="s">
        <v>10</v>
      </c>
      <c r="D4588">
        <v>180</v>
      </c>
      <c r="E4588">
        <v>180</v>
      </c>
      <c r="F4588" s="5">
        <v>43831</v>
      </c>
      <c r="G4588">
        <v>180</v>
      </c>
      <c r="H4588" t="s">
        <v>57</v>
      </c>
    </row>
    <row r="4589" spans="1:8" x14ac:dyDescent="0.3">
      <c r="A4589">
        <v>387</v>
      </c>
      <c r="B4589" s="5">
        <v>43859</v>
      </c>
      <c r="C4589" t="s">
        <v>10</v>
      </c>
      <c r="D4589">
        <v>889</v>
      </c>
      <c r="E4589">
        <v>1069</v>
      </c>
      <c r="F4589" s="5">
        <v>43831</v>
      </c>
      <c r="G4589">
        <v>889</v>
      </c>
      <c r="H4589" t="s">
        <v>57</v>
      </c>
    </row>
    <row r="4590" spans="1:8" x14ac:dyDescent="0.3">
      <c r="A4590">
        <v>387</v>
      </c>
      <c r="B4590" s="5">
        <v>43897</v>
      </c>
      <c r="C4590" t="s">
        <v>10</v>
      </c>
      <c r="D4590">
        <v>761</v>
      </c>
      <c r="E4590">
        <v>1830</v>
      </c>
      <c r="F4590" s="5">
        <v>43891</v>
      </c>
      <c r="G4590">
        <v>761</v>
      </c>
      <c r="H4590" t="s">
        <v>57</v>
      </c>
    </row>
    <row r="4591" spans="1:8" x14ac:dyDescent="0.3">
      <c r="A4591">
        <v>387</v>
      </c>
      <c r="B4591" s="5">
        <v>43906</v>
      </c>
      <c r="C4591" t="s">
        <v>10</v>
      </c>
      <c r="D4591">
        <v>721</v>
      </c>
      <c r="E4591">
        <v>2551</v>
      </c>
      <c r="F4591" s="5">
        <v>43891</v>
      </c>
      <c r="G4591">
        <v>721</v>
      </c>
      <c r="H4591" t="s">
        <v>57</v>
      </c>
    </row>
    <row r="4592" spans="1:8" x14ac:dyDescent="0.3">
      <c r="A4592">
        <v>387</v>
      </c>
      <c r="B4592" s="5">
        <v>43922</v>
      </c>
      <c r="C4592" t="s">
        <v>10</v>
      </c>
      <c r="D4592">
        <v>808</v>
      </c>
      <c r="E4592">
        <v>3359</v>
      </c>
      <c r="F4592" s="5">
        <v>43922</v>
      </c>
      <c r="G4592">
        <v>808</v>
      </c>
      <c r="H4592" t="s">
        <v>57</v>
      </c>
    </row>
    <row r="4593" spans="1:8" x14ac:dyDescent="0.3">
      <c r="A4593">
        <v>387</v>
      </c>
      <c r="B4593" s="5">
        <v>43933</v>
      </c>
      <c r="C4593" t="s">
        <v>11</v>
      </c>
      <c r="D4593">
        <v>688</v>
      </c>
      <c r="E4593">
        <v>2671</v>
      </c>
      <c r="F4593" s="5">
        <v>43922</v>
      </c>
      <c r="G4593">
        <v>-688</v>
      </c>
      <c r="H4593" t="s">
        <v>57</v>
      </c>
    </row>
    <row r="4594" spans="1:8" x14ac:dyDescent="0.3">
      <c r="A4594">
        <v>387</v>
      </c>
      <c r="B4594" s="5">
        <v>43934</v>
      </c>
      <c r="C4594" t="s">
        <v>12</v>
      </c>
      <c r="D4594">
        <v>217</v>
      </c>
      <c r="E4594">
        <v>2454</v>
      </c>
      <c r="F4594" s="5">
        <v>43922</v>
      </c>
      <c r="G4594">
        <v>-217</v>
      </c>
      <c r="H4594" t="s">
        <v>57</v>
      </c>
    </row>
    <row r="4595" spans="1:8" x14ac:dyDescent="0.3">
      <c r="A4595">
        <v>388</v>
      </c>
      <c r="B4595" s="5">
        <v>43839</v>
      </c>
      <c r="C4595" t="s">
        <v>10</v>
      </c>
      <c r="D4595">
        <v>833</v>
      </c>
      <c r="E4595">
        <v>833</v>
      </c>
      <c r="F4595" s="5">
        <v>43831</v>
      </c>
      <c r="G4595">
        <v>833</v>
      </c>
      <c r="H4595" t="s">
        <v>57</v>
      </c>
    </row>
    <row r="4596" spans="1:8" x14ac:dyDescent="0.3">
      <c r="A4596">
        <v>388</v>
      </c>
      <c r="B4596" s="5">
        <v>43841</v>
      </c>
      <c r="C4596" t="s">
        <v>10</v>
      </c>
      <c r="D4596">
        <v>860</v>
      </c>
      <c r="E4596">
        <v>1693</v>
      </c>
      <c r="F4596" s="5">
        <v>43831</v>
      </c>
      <c r="G4596">
        <v>860</v>
      </c>
      <c r="H4596" t="s">
        <v>57</v>
      </c>
    </row>
    <row r="4597" spans="1:8" x14ac:dyDescent="0.3">
      <c r="A4597">
        <v>388</v>
      </c>
      <c r="B4597" s="5">
        <v>43851</v>
      </c>
      <c r="C4597" t="s">
        <v>10</v>
      </c>
      <c r="D4597">
        <v>550</v>
      </c>
      <c r="E4597">
        <v>2243</v>
      </c>
      <c r="F4597" s="5">
        <v>43831</v>
      </c>
      <c r="G4597">
        <v>550</v>
      </c>
      <c r="H4597" t="s">
        <v>57</v>
      </c>
    </row>
    <row r="4598" spans="1:8" x14ac:dyDescent="0.3">
      <c r="A4598">
        <v>388</v>
      </c>
      <c r="B4598" s="5">
        <v>43865</v>
      </c>
      <c r="C4598" t="s">
        <v>12</v>
      </c>
      <c r="D4598">
        <v>336</v>
      </c>
      <c r="E4598">
        <v>1907</v>
      </c>
      <c r="F4598" s="5">
        <v>43862</v>
      </c>
      <c r="G4598">
        <v>-336</v>
      </c>
      <c r="H4598" t="s">
        <v>57</v>
      </c>
    </row>
    <row r="4599" spans="1:8" x14ac:dyDescent="0.3">
      <c r="A4599">
        <v>388</v>
      </c>
      <c r="B4599" s="5">
        <v>43882</v>
      </c>
      <c r="C4599" t="s">
        <v>11</v>
      </c>
      <c r="D4599">
        <v>781</v>
      </c>
      <c r="E4599">
        <v>1126</v>
      </c>
      <c r="F4599" s="5">
        <v>43862</v>
      </c>
      <c r="G4599">
        <v>-781</v>
      </c>
      <c r="H4599" t="s">
        <v>57</v>
      </c>
    </row>
    <row r="4600" spans="1:8" x14ac:dyDescent="0.3">
      <c r="A4600">
        <v>388</v>
      </c>
      <c r="B4600" s="5">
        <v>43894</v>
      </c>
      <c r="C4600" t="s">
        <v>10</v>
      </c>
      <c r="D4600">
        <v>472</v>
      </c>
      <c r="E4600">
        <v>1598</v>
      </c>
      <c r="F4600" s="5">
        <v>43891</v>
      </c>
      <c r="G4600">
        <v>472</v>
      </c>
      <c r="H4600" t="s">
        <v>57</v>
      </c>
    </row>
    <row r="4601" spans="1:8" x14ac:dyDescent="0.3">
      <c r="A4601">
        <v>388</v>
      </c>
      <c r="B4601" s="5">
        <v>43922</v>
      </c>
      <c r="C4601" t="s">
        <v>11</v>
      </c>
      <c r="D4601">
        <v>222</v>
      </c>
      <c r="E4601">
        <v>1376</v>
      </c>
      <c r="F4601" s="5">
        <v>43922</v>
      </c>
      <c r="G4601">
        <v>-222</v>
      </c>
      <c r="H4601" t="s">
        <v>57</v>
      </c>
    </row>
    <row r="4602" spans="1:8" x14ac:dyDescent="0.3">
      <c r="A4602">
        <v>389</v>
      </c>
      <c r="B4602" s="5">
        <v>43834</v>
      </c>
      <c r="C4602" t="s">
        <v>10</v>
      </c>
      <c r="D4602">
        <v>632</v>
      </c>
      <c r="E4602">
        <v>632</v>
      </c>
      <c r="F4602" s="5">
        <v>43831</v>
      </c>
      <c r="G4602">
        <v>632</v>
      </c>
      <c r="H4602" t="s">
        <v>57</v>
      </c>
    </row>
    <row r="4603" spans="1:8" x14ac:dyDescent="0.3">
      <c r="A4603">
        <v>389</v>
      </c>
      <c r="B4603" s="5">
        <v>43839</v>
      </c>
      <c r="C4603" t="s">
        <v>12</v>
      </c>
      <c r="D4603">
        <v>852</v>
      </c>
      <c r="E4603">
        <v>-220</v>
      </c>
      <c r="F4603" s="5">
        <v>43831</v>
      </c>
      <c r="G4603">
        <v>-852</v>
      </c>
      <c r="H4603" t="s">
        <v>58</v>
      </c>
    </row>
    <row r="4604" spans="1:8" x14ac:dyDescent="0.3">
      <c r="A4604">
        <v>389</v>
      </c>
      <c r="B4604" s="5">
        <v>43840</v>
      </c>
      <c r="C4604" t="s">
        <v>10</v>
      </c>
      <c r="D4604">
        <v>398</v>
      </c>
      <c r="E4604">
        <v>178</v>
      </c>
      <c r="F4604" s="5">
        <v>43831</v>
      </c>
      <c r="G4604">
        <v>398</v>
      </c>
      <c r="H4604" t="s">
        <v>57</v>
      </c>
    </row>
    <row r="4605" spans="1:8" x14ac:dyDescent="0.3">
      <c r="A4605">
        <v>389</v>
      </c>
      <c r="B4605" s="5">
        <v>43854</v>
      </c>
      <c r="C4605" t="s">
        <v>11</v>
      </c>
      <c r="D4605">
        <v>205</v>
      </c>
      <c r="E4605">
        <v>-27</v>
      </c>
      <c r="F4605" s="5">
        <v>43831</v>
      </c>
      <c r="G4605">
        <v>-205</v>
      </c>
      <c r="H4605" t="s">
        <v>58</v>
      </c>
    </row>
    <row r="4606" spans="1:8" x14ac:dyDescent="0.3">
      <c r="A4606">
        <v>389</v>
      </c>
      <c r="B4606" s="5">
        <v>43864</v>
      </c>
      <c r="C4606" t="s">
        <v>10</v>
      </c>
      <c r="D4606">
        <v>681</v>
      </c>
      <c r="E4606">
        <v>654</v>
      </c>
      <c r="F4606" s="5">
        <v>43862</v>
      </c>
      <c r="G4606">
        <v>681</v>
      </c>
      <c r="H4606" t="s">
        <v>57</v>
      </c>
    </row>
    <row r="4607" spans="1:8" x14ac:dyDescent="0.3">
      <c r="A4607">
        <v>389</v>
      </c>
      <c r="B4607" s="5">
        <v>43868</v>
      </c>
      <c r="C4607" t="s">
        <v>12</v>
      </c>
      <c r="D4607">
        <v>375</v>
      </c>
      <c r="E4607">
        <v>279</v>
      </c>
      <c r="F4607" s="5">
        <v>43862</v>
      </c>
      <c r="G4607">
        <v>-375</v>
      </c>
      <c r="H4607" t="s">
        <v>57</v>
      </c>
    </row>
    <row r="4608" spans="1:8" x14ac:dyDescent="0.3">
      <c r="A4608">
        <v>389</v>
      </c>
      <c r="B4608" s="5">
        <v>43879</v>
      </c>
      <c r="C4608" t="s">
        <v>10</v>
      </c>
      <c r="D4608">
        <v>832</v>
      </c>
      <c r="E4608">
        <v>1111</v>
      </c>
      <c r="F4608" s="5">
        <v>43862</v>
      </c>
      <c r="G4608">
        <v>832</v>
      </c>
      <c r="H4608" t="s">
        <v>57</v>
      </c>
    </row>
    <row r="4609" spans="1:8" x14ac:dyDescent="0.3">
      <c r="A4609">
        <v>389</v>
      </c>
      <c r="B4609" s="5">
        <v>43881</v>
      </c>
      <c r="C4609" t="s">
        <v>11</v>
      </c>
      <c r="D4609">
        <v>25</v>
      </c>
      <c r="E4609">
        <v>1086</v>
      </c>
      <c r="F4609" s="5">
        <v>43862</v>
      </c>
      <c r="G4609">
        <v>-25</v>
      </c>
      <c r="H4609" t="s">
        <v>57</v>
      </c>
    </row>
    <row r="4610" spans="1:8" x14ac:dyDescent="0.3">
      <c r="A4610">
        <v>389</v>
      </c>
      <c r="B4610" s="5">
        <v>43885</v>
      </c>
      <c r="C4610" t="s">
        <v>10</v>
      </c>
      <c r="D4610">
        <v>131</v>
      </c>
      <c r="E4610">
        <v>1217</v>
      </c>
      <c r="F4610" s="5">
        <v>43862</v>
      </c>
      <c r="G4610">
        <v>131</v>
      </c>
      <c r="H4610" t="s">
        <v>57</v>
      </c>
    </row>
    <row r="4611" spans="1:8" x14ac:dyDescent="0.3">
      <c r="A4611">
        <v>389</v>
      </c>
      <c r="B4611" s="5">
        <v>43886</v>
      </c>
      <c r="C4611" t="s">
        <v>11</v>
      </c>
      <c r="D4611">
        <v>727</v>
      </c>
      <c r="E4611">
        <v>490</v>
      </c>
      <c r="F4611" s="5">
        <v>43862</v>
      </c>
      <c r="G4611">
        <v>-727</v>
      </c>
      <c r="H4611" t="s">
        <v>57</v>
      </c>
    </row>
    <row r="4612" spans="1:8" x14ac:dyDescent="0.3">
      <c r="A4612">
        <v>389</v>
      </c>
      <c r="B4612" s="5">
        <v>43896</v>
      </c>
      <c r="C4612" t="s">
        <v>10</v>
      </c>
      <c r="D4612">
        <v>161</v>
      </c>
      <c r="E4612">
        <v>651</v>
      </c>
      <c r="F4612" s="5">
        <v>43891</v>
      </c>
      <c r="G4612">
        <v>161</v>
      </c>
      <c r="H4612" t="s">
        <v>57</v>
      </c>
    </row>
    <row r="4613" spans="1:8" x14ac:dyDescent="0.3">
      <c r="A4613">
        <v>389</v>
      </c>
      <c r="B4613" s="5">
        <v>43906</v>
      </c>
      <c r="C4613" t="s">
        <v>10</v>
      </c>
      <c r="D4613">
        <v>563</v>
      </c>
      <c r="E4613">
        <v>1214</v>
      </c>
      <c r="F4613" s="5">
        <v>43891</v>
      </c>
      <c r="G4613">
        <v>563</v>
      </c>
      <c r="H4613" t="s">
        <v>57</v>
      </c>
    </row>
    <row r="4614" spans="1:8" x14ac:dyDescent="0.3">
      <c r="A4614">
        <v>389</v>
      </c>
      <c r="B4614" s="5">
        <v>43923</v>
      </c>
      <c r="C4614" t="s">
        <v>10</v>
      </c>
      <c r="D4614">
        <v>791</v>
      </c>
      <c r="E4614">
        <v>2005</v>
      </c>
      <c r="F4614" s="5">
        <v>43922</v>
      </c>
      <c r="G4614">
        <v>791</v>
      </c>
      <c r="H4614" t="s">
        <v>57</v>
      </c>
    </row>
    <row r="4615" spans="1:8" x14ac:dyDescent="0.3">
      <c r="A4615">
        <v>390</v>
      </c>
      <c r="B4615" s="5">
        <v>43845</v>
      </c>
      <c r="C4615" t="s">
        <v>10</v>
      </c>
      <c r="D4615">
        <v>102</v>
      </c>
      <c r="E4615">
        <v>102</v>
      </c>
      <c r="F4615" s="5">
        <v>43831</v>
      </c>
      <c r="G4615">
        <v>102</v>
      </c>
      <c r="H4615" t="s">
        <v>57</v>
      </c>
    </row>
    <row r="4616" spans="1:8" x14ac:dyDescent="0.3">
      <c r="A4616">
        <v>390</v>
      </c>
      <c r="B4616" s="5">
        <v>43858</v>
      </c>
      <c r="C4616" t="s">
        <v>12</v>
      </c>
      <c r="D4616">
        <v>807</v>
      </c>
      <c r="E4616">
        <v>-705</v>
      </c>
      <c r="F4616" s="5">
        <v>43831</v>
      </c>
      <c r="G4616">
        <v>-807</v>
      </c>
      <c r="H4616" t="s">
        <v>58</v>
      </c>
    </row>
    <row r="4617" spans="1:8" x14ac:dyDescent="0.3">
      <c r="A4617">
        <v>390</v>
      </c>
      <c r="B4617" s="5">
        <v>43865</v>
      </c>
      <c r="C4617" t="s">
        <v>12</v>
      </c>
      <c r="D4617">
        <v>121</v>
      </c>
      <c r="E4617">
        <v>-826</v>
      </c>
      <c r="F4617" s="5">
        <v>43862</v>
      </c>
      <c r="G4617">
        <v>-121</v>
      </c>
      <c r="H4617" t="s">
        <v>58</v>
      </c>
    </row>
    <row r="4618" spans="1:8" x14ac:dyDescent="0.3">
      <c r="A4618">
        <v>390</v>
      </c>
      <c r="B4618" s="5">
        <v>43869</v>
      </c>
      <c r="C4618" t="s">
        <v>11</v>
      </c>
      <c r="D4618">
        <v>726</v>
      </c>
      <c r="E4618">
        <v>-1552</v>
      </c>
      <c r="F4618" s="5">
        <v>43862</v>
      </c>
      <c r="G4618">
        <v>-726</v>
      </c>
      <c r="H4618" t="s">
        <v>58</v>
      </c>
    </row>
    <row r="4619" spans="1:8" x14ac:dyDescent="0.3">
      <c r="A4619">
        <v>390</v>
      </c>
      <c r="B4619" s="5">
        <v>43870</v>
      </c>
      <c r="C4619" t="s">
        <v>11</v>
      </c>
      <c r="D4619">
        <v>117</v>
      </c>
      <c r="E4619">
        <v>-1669</v>
      </c>
      <c r="F4619" s="5">
        <v>43862</v>
      </c>
      <c r="G4619">
        <v>-117</v>
      </c>
      <c r="H4619" t="s">
        <v>58</v>
      </c>
    </row>
    <row r="4620" spans="1:8" x14ac:dyDescent="0.3">
      <c r="A4620">
        <v>390</v>
      </c>
      <c r="B4620" s="5">
        <v>43882</v>
      </c>
      <c r="C4620" t="s">
        <v>12</v>
      </c>
      <c r="D4620">
        <v>369</v>
      </c>
      <c r="E4620">
        <v>-2038</v>
      </c>
      <c r="F4620" s="5">
        <v>43862</v>
      </c>
      <c r="G4620">
        <v>-369</v>
      </c>
      <c r="H4620" t="s">
        <v>58</v>
      </c>
    </row>
    <row r="4621" spans="1:8" x14ac:dyDescent="0.3">
      <c r="A4621">
        <v>390</v>
      </c>
      <c r="B4621" s="5">
        <v>43899</v>
      </c>
      <c r="C4621" t="s">
        <v>11</v>
      </c>
      <c r="D4621">
        <v>713</v>
      </c>
      <c r="E4621">
        <v>-2751</v>
      </c>
      <c r="F4621" s="5">
        <v>43891</v>
      </c>
      <c r="G4621">
        <v>-713</v>
      </c>
      <c r="H4621" t="s">
        <v>58</v>
      </c>
    </row>
    <row r="4622" spans="1:8" x14ac:dyDescent="0.3">
      <c r="A4622">
        <v>390</v>
      </c>
      <c r="B4622" s="5">
        <v>43904</v>
      </c>
      <c r="C4622" t="s">
        <v>10</v>
      </c>
      <c r="D4622">
        <v>804</v>
      </c>
      <c r="E4622">
        <v>-1947</v>
      </c>
      <c r="F4622" s="5">
        <v>43891</v>
      </c>
      <c r="G4622">
        <v>804</v>
      </c>
      <c r="H4622" t="s">
        <v>58</v>
      </c>
    </row>
    <row r="4623" spans="1:8" x14ac:dyDescent="0.3">
      <c r="A4623">
        <v>390</v>
      </c>
      <c r="B4623" s="5">
        <v>43907</v>
      </c>
      <c r="C4623" t="s">
        <v>12</v>
      </c>
      <c r="D4623">
        <v>172</v>
      </c>
      <c r="E4623">
        <v>-2119</v>
      </c>
      <c r="F4623" s="5">
        <v>43891</v>
      </c>
      <c r="G4623">
        <v>-172</v>
      </c>
      <c r="H4623" t="s">
        <v>58</v>
      </c>
    </row>
    <row r="4624" spans="1:8" x14ac:dyDescent="0.3">
      <c r="A4624">
        <v>390</v>
      </c>
      <c r="B4624" s="5">
        <v>43910</v>
      </c>
      <c r="C4624" t="s">
        <v>11</v>
      </c>
      <c r="D4624">
        <v>423</v>
      </c>
      <c r="E4624">
        <v>-2542</v>
      </c>
      <c r="F4624" s="5">
        <v>43891</v>
      </c>
      <c r="G4624">
        <v>-423</v>
      </c>
      <c r="H4624" t="s">
        <v>58</v>
      </c>
    </row>
    <row r="4625" spans="1:8" x14ac:dyDescent="0.3">
      <c r="A4625">
        <v>390</v>
      </c>
      <c r="B4625" s="5">
        <v>43910</v>
      </c>
      <c r="C4625" t="s">
        <v>10</v>
      </c>
      <c r="D4625">
        <v>613</v>
      </c>
      <c r="E4625">
        <v>-1929</v>
      </c>
      <c r="F4625" s="5">
        <v>43891</v>
      </c>
      <c r="G4625">
        <v>613</v>
      </c>
      <c r="H4625" t="s">
        <v>58</v>
      </c>
    </row>
    <row r="4626" spans="1:8" x14ac:dyDescent="0.3">
      <c r="A4626">
        <v>390</v>
      </c>
      <c r="B4626" s="5">
        <v>43922</v>
      </c>
      <c r="C4626" t="s">
        <v>10</v>
      </c>
      <c r="D4626">
        <v>735</v>
      </c>
      <c r="E4626">
        <v>-1194</v>
      </c>
      <c r="F4626" s="5">
        <v>43922</v>
      </c>
      <c r="G4626">
        <v>735</v>
      </c>
      <c r="H4626" t="s">
        <v>58</v>
      </c>
    </row>
    <row r="4627" spans="1:8" x14ac:dyDescent="0.3">
      <c r="A4627">
        <v>390</v>
      </c>
      <c r="B4627" s="5">
        <v>43923</v>
      </c>
      <c r="C4627" t="s">
        <v>11</v>
      </c>
      <c r="D4627">
        <v>152</v>
      </c>
      <c r="E4627">
        <v>-1346</v>
      </c>
      <c r="F4627" s="5">
        <v>43922</v>
      </c>
      <c r="G4627">
        <v>-152</v>
      </c>
      <c r="H4627" t="s">
        <v>58</v>
      </c>
    </row>
    <row r="4628" spans="1:8" x14ac:dyDescent="0.3">
      <c r="A4628">
        <v>390</v>
      </c>
      <c r="B4628" s="5">
        <v>43924</v>
      </c>
      <c r="C4628" t="s">
        <v>11</v>
      </c>
      <c r="D4628">
        <v>746</v>
      </c>
      <c r="E4628">
        <v>-2092</v>
      </c>
      <c r="F4628" s="5">
        <v>43922</v>
      </c>
      <c r="G4628">
        <v>-746</v>
      </c>
      <c r="H4628" t="s">
        <v>58</v>
      </c>
    </row>
    <row r="4629" spans="1:8" x14ac:dyDescent="0.3">
      <c r="A4629">
        <v>390</v>
      </c>
      <c r="B4629" s="5">
        <v>43928</v>
      </c>
      <c r="C4629" t="s">
        <v>11</v>
      </c>
      <c r="D4629">
        <v>709</v>
      </c>
      <c r="E4629">
        <v>-2801</v>
      </c>
      <c r="F4629" s="5">
        <v>43922</v>
      </c>
      <c r="G4629">
        <v>-709</v>
      </c>
      <c r="H4629" t="s">
        <v>58</v>
      </c>
    </row>
    <row r="4630" spans="1:8" x14ac:dyDescent="0.3">
      <c r="A4630">
        <v>391</v>
      </c>
      <c r="B4630" s="5">
        <v>43845</v>
      </c>
      <c r="C4630" t="s">
        <v>10</v>
      </c>
      <c r="D4630">
        <v>219</v>
      </c>
      <c r="E4630">
        <v>219</v>
      </c>
      <c r="F4630" s="5">
        <v>43831</v>
      </c>
      <c r="G4630">
        <v>219</v>
      </c>
      <c r="H4630" t="s">
        <v>57</v>
      </c>
    </row>
    <row r="4631" spans="1:8" x14ac:dyDescent="0.3">
      <c r="A4631">
        <v>391</v>
      </c>
      <c r="B4631" s="5">
        <v>43850</v>
      </c>
      <c r="C4631" t="s">
        <v>10</v>
      </c>
      <c r="D4631">
        <v>733</v>
      </c>
      <c r="E4631">
        <v>952</v>
      </c>
      <c r="F4631" s="5">
        <v>43831</v>
      </c>
      <c r="G4631">
        <v>733</v>
      </c>
      <c r="H4631" t="s">
        <v>57</v>
      </c>
    </row>
    <row r="4632" spans="1:8" x14ac:dyDescent="0.3">
      <c r="A4632">
        <v>391</v>
      </c>
      <c r="B4632" s="5">
        <v>43855</v>
      </c>
      <c r="C4632" t="s">
        <v>11</v>
      </c>
      <c r="D4632">
        <v>349</v>
      </c>
      <c r="E4632">
        <v>603</v>
      </c>
      <c r="F4632" s="5">
        <v>43831</v>
      </c>
      <c r="G4632">
        <v>-349</v>
      </c>
      <c r="H4632" t="s">
        <v>57</v>
      </c>
    </row>
    <row r="4633" spans="1:8" x14ac:dyDescent="0.3">
      <c r="A4633">
        <v>391</v>
      </c>
      <c r="B4633" s="5">
        <v>43871</v>
      </c>
      <c r="C4633" t="s">
        <v>10</v>
      </c>
      <c r="D4633">
        <v>133</v>
      </c>
      <c r="E4633">
        <v>736</v>
      </c>
      <c r="F4633" s="5">
        <v>43862</v>
      </c>
      <c r="G4633">
        <v>133</v>
      </c>
      <c r="H4633" t="s">
        <v>57</v>
      </c>
    </row>
    <row r="4634" spans="1:8" x14ac:dyDescent="0.3">
      <c r="A4634">
        <v>391</v>
      </c>
      <c r="B4634" s="5">
        <v>43879</v>
      </c>
      <c r="C4634" t="s">
        <v>11</v>
      </c>
      <c r="D4634">
        <v>454</v>
      </c>
      <c r="E4634">
        <v>282</v>
      </c>
      <c r="F4634" s="5">
        <v>43862</v>
      </c>
      <c r="G4634">
        <v>-454</v>
      </c>
      <c r="H4634" t="s">
        <v>57</v>
      </c>
    </row>
    <row r="4635" spans="1:8" x14ac:dyDescent="0.3">
      <c r="A4635">
        <v>391</v>
      </c>
      <c r="B4635" s="5">
        <v>43887</v>
      </c>
      <c r="C4635" t="s">
        <v>11</v>
      </c>
      <c r="D4635">
        <v>280</v>
      </c>
      <c r="E4635">
        <v>2</v>
      </c>
      <c r="F4635" s="5">
        <v>43862</v>
      </c>
      <c r="G4635">
        <v>-280</v>
      </c>
      <c r="H4635" t="s">
        <v>57</v>
      </c>
    </row>
    <row r="4636" spans="1:8" x14ac:dyDescent="0.3">
      <c r="A4636">
        <v>391</v>
      </c>
      <c r="B4636" s="5">
        <v>43898</v>
      </c>
      <c r="C4636" t="s">
        <v>10</v>
      </c>
      <c r="D4636">
        <v>595</v>
      </c>
      <c r="E4636">
        <v>597</v>
      </c>
      <c r="F4636" s="5">
        <v>43891</v>
      </c>
      <c r="G4636">
        <v>595</v>
      </c>
      <c r="H4636" t="s">
        <v>57</v>
      </c>
    </row>
    <row r="4637" spans="1:8" x14ac:dyDescent="0.3">
      <c r="A4637">
        <v>391</v>
      </c>
      <c r="B4637" s="5">
        <v>43910</v>
      </c>
      <c r="C4637" t="s">
        <v>10</v>
      </c>
      <c r="D4637">
        <v>795</v>
      </c>
      <c r="E4637">
        <v>1392</v>
      </c>
      <c r="F4637" s="5">
        <v>43891</v>
      </c>
      <c r="G4637">
        <v>795</v>
      </c>
      <c r="H4637" t="s">
        <v>57</v>
      </c>
    </row>
    <row r="4638" spans="1:8" x14ac:dyDescent="0.3">
      <c r="A4638">
        <v>391</v>
      </c>
      <c r="B4638" s="5">
        <v>43915</v>
      </c>
      <c r="C4638" t="s">
        <v>11</v>
      </c>
      <c r="D4638">
        <v>393</v>
      </c>
      <c r="E4638">
        <v>999</v>
      </c>
      <c r="F4638" s="5">
        <v>43891</v>
      </c>
      <c r="G4638">
        <v>-393</v>
      </c>
      <c r="H4638" t="s">
        <v>57</v>
      </c>
    </row>
    <row r="4639" spans="1:8" x14ac:dyDescent="0.3">
      <c r="A4639">
        <v>391</v>
      </c>
      <c r="B4639" s="5">
        <v>43919</v>
      </c>
      <c r="C4639" t="s">
        <v>11</v>
      </c>
      <c r="D4639">
        <v>727</v>
      </c>
      <c r="E4639">
        <v>272</v>
      </c>
      <c r="F4639" s="5">
        <v>43891</v>
      </c>
      <c r="G4639">
        <v>-727</v>
      </c>
      <c r="H4639" t="s">
        <v>57</v>
      </c>
    </row>
    <row r="4640" spans="1:8" x14ac:dyDescent="0.3">
      <c r="A4640">
        <v>391</v>
      </c>
      <c r="B4640" s="5">
        <v>43927</v>
      </c>
      <c r="C4640" t="s">
        <v>11</v>
      </c>
      <c r="D4640">
        <v>849</v>
      </c>
      <c r="E4640">
        <v>-577</v>
      </c>
      <c r="F4640" s="5">
        <v>43922</v>
      </c>
      <c r="G4640">
        <v>-849</v>
      </c>
      <c r="H4640" t="s">
        <v>58</v>
      </c>
    </row>
    <row r="4641" spans="1:8" x14ac:dyDescent="0.3">
      <c r="A4641">
        <v>391</v>
      </c>
      <c r="B4641" s="5">
        <v>43934</v>
      </c>
      <c r="C4641" t="s">
        <v>10</v>
      </c>
      <c r="D4641">
        <v>487</v>
      </c>
      <c r="E4641">
        <v>-90</v>
      </c>
      <c r="F4641" s="5">
        <v>43922</v>
      </c>
      <c r="G4641">
        <v>487</v>
      </c>
      <c r="H4641" t="s">
        <v>58</v>
      </c>
    </row>
    <row r="4642" spans="1:8" x14ac:dyDescent="0.3">
      <c r="A4642">
        <v>392</v>
      </c>
      <c r="B4642" s="5">
        <v>43859</v>
      </c>
      <c r="C4642" t="s">
        <v>10</v>
      </c>
      <c r="D4642">
        <v>876</v>
      </c>
      <c r="E4642">
        <v>876</v>
      </c>
      <c r="F4642" s="5">
        <v>43831</v>
      </c>
      <c r="G4642">
        <v>876</v>
      </c>
      <c r="H4642" t="s">
        <v>57</v>
      </c>
    </row>
    <row r="4643" spans="1:8" x14ac:dyDescent="0.3">
      <c r="A4643">
        <v>392</v>
      </c>
      <c r="B4643" s="5">
        <v>43859</v>
      </c>
      <c r="C4643" t="s">
        <v>12</v>
      </c>
      <c r="D4643">
        <v>60</v>
      </c>
      <c r="E4643">
        <v>816</v>
      </c>
      <c r="F4643" s="5">
        <v>43831</v>
      </c>
      <c r="G4643">
        <v>-60</v>
      </c>
      <c r="H4643" t="s">
        <v>57</v>
      </c>
    </row>
    <row r="4644" spans="1:8" x14ac:dyDescent="0.3">
      <c r="A4644">
        <v>392</v>
      </c>
      <c r="B4644" s="5">
        <v>43867</v>
      </c>
      <c r="C4644" t="s">
        <v>10</v>
      </c>
      <c r="D4644">
        <v>995</v>
      </c>
      <c r="E4644">
        <v>1811</v>
      </c>
      <c r="F4644" s="5">
        <v>43862</v>
      </c>
      <c r="G4644">
        <v>995</v>
      </c>
      <c r="H4644" t="s">
        <v>57</v>
      </c>
    </row>
    <row r="4645" spans="1:8" x14ac:dyDescent="0.3">
      <c r="A4645">
        <v>392</v>
      </c>
      <c r="B4645" s="5">
        <v>43868</v>
      </c>
      <c r="C4645" t="s">
        <v>10</v>
      </c>
      <c r="D4645">
        <v>223</v>
      </c>
      <c r="E4645">
        <v>2034</v>
      </c>
      <c r="F4645" s="5">
        <v>43862</v>
      </c>
      <c r="G4645">
        <v>223</v>
      </c>
      <c r="H4645" t="s">
        <v>57</v>
      </c>
    </row>
    <row r="4646" spans="1:8" x14ac:dyDescent="0.3">
      <c r="A4646">
        <v>392</v>
      </c>
      <c r="B4646" s="5">
        <v>43894</v>
      </c>
      <c r="C4646" t="s">
        <v>11</v>
      </c>
      <c r="D4646">
        <v>120</v>
      </c>
      <c r="E4646">
        <v>1914</v>
      </c>
      <c r="F4646" s="5">
        <v>43891</v>
      </c>
      <c r="G4646">
        <v>-120</v>
      </c>
      <c r="H4646" t="s">
        <v>57</v>
      </c>
    </row>
    <row r="4647" spans="1:8" x14ac:dyDescent="0.3">
      <c r="A4647">
        <v>392</v>
      </c>
      <c r="B4647" s="5">
        <v>43899</v>
      </c>
      <c r="C4647" t="s">
        <v>12</v>
      </c>
      <c r="D4647">
        <v>416</v>
      </c>
      <c r="E4647">
        <v>1498</v>
      </c>
      <c r="F4647" s="5">
        <v>43891</v>
      </c>
      <c r="G4647">
        <v>-416</v>
      </c>
      <c r="H4647" t="s">
        <v>57</v>
      </c>
    </row>
    <row r="4648" spans="1:8" x14ac:dyDescent="0.3">
      <c r="A4648">
        <v>392</v>
      </c>
      <c r="B4648" s="5">
        <v>43922</v>
      </c>
      <c r="C4648" t="s">
        <v>12</v>
      </c>
      <c r="D4648">
        <v>503</v>
      </c>
      <c r="E4648">
        <v>995</v>
      </c>
      <c r="F4648" s="5">
        <v>43922</v>
      </c>
      <c r="G4648">
        <v>-503</v>
      </c>
      <c r="H4648" t="s">
        <v>57</v>
      </c>
    </row>
    <row r="4649" spans="1:8" x14ac:dyDescent="0.3">
      <c r="A4649">
        <v>392</v>
      </c>
      <c r="B4649" s="5">
        <v>43933</v>
      </c>
      <c r="C4649" t="s">
        <v>11</v>
      </c>
      <c r="D4649">
        <v>70</v>
      </c>
      <c r="E4649">
        <v>925</v>
      </c>
      <c r="F4649" s="5">
        <v>43922</v>
      </c>
      <c r="G4649">
        <v>-70</v>
      </c>
      <c r="H4649" t="s">
        <v>57</v>
      </c>
    </row>
    <row r="4650" spans="1:8" x14ac:dyDescent="0.3">
      <c r="A4650">
        <v>392</v>
      </c>
      <c r="B4650" s="5">
        <v>43942</v>
      </c>
      <c r="C4650" t="s">
        <v>10</v>
      </c>
      <c r="D4650">
        <v>328</v>
      </c>
      <c r="E4650">
        <v>1253</v>
      </c>
      <c r="F4650" s="5">
        <v>43922</v>
      </c>
      <c r="G4650">
        <v>328</v>
      </c>
      <c r="H4650" t="s">
        <v>57</v>
      </c>
    </row>
    <row r="4651" spans="1:8" x14ac:dyDescent="0.3">
      <c r="A4651">
        <v>393</v>
      </c>
      <c r="B4651" s="5">
        <v>43847</v>
      </c>
      <c r="C4651" t="s">
        <v>10</v>
      </c>
      <c r="D4651">
        <v>118</v>
      </c>
      <c r="E4651">
        <v>118</v>
      </c>
      <c r="F4651" s="5">
        <v>43831</v>
      </c>
      <c r="G4651">
        <v>118</v>
      </c>
      <c r="H4651" t="s">
        <v>57</v>
      </c>
    </row>
    <row r="4652" spans="1:8" x14ac:dyDescent="0.3">
      <c r="A4652">
        <v>393</v>
      </c>
      <c r="B4652" s="5">
        <v>43860</v>
      </c>
      <c r="C4652" t="s">
        <v>10</v>
      </c>
      <c r="D4652">
        <v>541</v>
      </c>
      <c r="E4652">
        <v>659</v>
      </c>
      <c r="F4652" s="5">
        <v>43831</v>
      </c>
      <c r="G4652">
        <v>541</v>
      </c>
      <c r="H4652" t="s">
        <v>57</v>
      </c>
    </row>
    <row r="4653" spans="1:8" x14ac:dyDescent="0.3">
      <c r="A4653">
        <v>393</v>
      </c>
      <c r="B4653" s="5">
        <v>43862</v>
      </c>
      <c r="C4653" t="s">
        <v>11</v>
      </c>
      <c r="D4653">
        <v>577</v>
      </c>
      <c r="E4653">
        <v>82</v>
      </c>
      <c r="F4653" s="5">
        <v>43862</v>
      </c>
      <c r="G4653">
        <v>-577</v>
      </c>
      <c r="H4653" t="s">
        <v>57</v>
      </c>
    </row>
    <row r="4654" spans="1:8" x14ac:dyDescent="0.3">
      <c r="A4654">
        <v>393</v>
      </c>
      <c r="B4654" s="5">
        <v>43865</v>
      </c>
      <c r="C4654" t="s">
        <v>12</v>
      </c>
      <c r="D4654">
        <v>62</v>
      </c>
      <c r="E4654">
        <v>20</v>
      </c>
      <c r="F4654" s="5">
        <v>43862</v>
      </c>
      <c r="G4654">
        <v>-62</v>
      </c>
      <c r="H4654" t="s">
        <v>57</v>
      </c>
    </row>
    <row r="4655" spans="1:8" x14ac:dyDescent="0.3">
      <c r="A4655">
        <v>393</v>
      </c>
      <c r="B4655" s="5">
        <v>43869</v>
      </c>
      <c r="C4655" t="s">
        <v>10</v>
      </c>
      <c r="D4655">
        <v>98</v>
      </c>
      <c r="E4655">
        <v>118</v>
      </c>
      <c r="F4655" s="5">
        <v>43862</v>
      </c>
      <c r="G4655">
        <v>98</v>
      </c>
      <c r="H4655" t="s">
        <v>57</v>
      </c>
    </row>
    <row r="4656" spans="1:8" x14ac:dyDescent="0.3">
      <c r="A4656">
        <v>393</v>
      </c>
      <c r="B4656" s="5">
        <v>43891</v>
      </c>
      <c r="C4656" t="s">
        <v>10</v>
      </c>
      <c r="D4656">
        <v>720</v>
      </c>
      <c r="E4656">
        <v>838</v>
      </c>
      <c r="F4656" s="5">
        <v>43891</v>
      </c>
      <c r="G4656">
        <v>720</v>
      </c>
      <c r="H4656" t="s">
        <v>57</v>
      </c>
    </row>
    <row r="4657" spans="1:8" x14ac:dyDescent="0.3">
      <c r="A4657">
        <v>393</v>
      </c>
      <c r="B4657" s="5">
        <v>43892</v>
      </c>
      <c r="C4657" t="s">
        <v>12</v>
      </c>
      <c r="D4657">
        <v>310</v>
      </c>
      <c r="E4657">
        <v>528</v>
      </c>
      <c r="F4657" s="5">
        <v>43891</v>
      </c>
      <c r="G4657">
        <v>-310</v>
      </c>
      <c r="H4657" t="s">
        <v>57</v>
      </c>
    </row>
    <row r="4658" spans="1:8" x14ac:dyDescent="0.3">
      <c r="A4658">
        <v>393</v>
      </c>
      <c r="B4658" s="5">
        <v>43895</v>
      </c>
      <c r="C4658" t="s">
        <v>10</v>
      </c>
      <c r="D4658">
        <v>867</v>
      </c>
      <c r="E4658">
        <v>1395</v>
      </c>
      <c r="F4658" s="5">
        <v>43891</v>
      </c>
      <c r="G4658">
        <v>867</v>
      </c>
      <c r="H4658" t="s">
        <v>57</v>
      </c>
    </row>
    <row r="4659" spans="1:8" x14ac:dyDescent="0.3">
      <c r="A4659">
        <v>393</v>
      </c>
      <c r="B4659" s="5">
        <v>43907</v>
      </c>
      <c r="C4659" t="s">
        <v>12</v>
      </c>
      <c r="D4659">
        <v>727</v>
      </c>
      <c r="E4659">
        <v>668</v>
      </c>
      <c r="F4659" s="5">
        <v>43891</v>
      </c>
      <c r="G4659">
        <v>-727</v>
      </c>
      <c r="H4659" t="s">
        <v>57</v>
      </c>
    </row>
    <row r="4660" spans="1:8" x14ac:dyDescent="0.3">
      <c r="A4660">
        <v>393</v>
      </c>
      <c r="B4660" s="5">
        <v>43911</v>
      </c>
      <c r="C4660" t="s">
        <v>10</v>
      </c>
      <c r="D4660">
        <v>739</v>
      </c>
      <c r="E4660">
        <v>1407</v>
      </c>
      <c r="F4660" s="5">
        <v>43891</v>
      </c>
      <c r="G4660">
        <v>739</v>
      </c>
      <c r="H4660" t="s">
        <v>57</v>
      </c>
    </row>
    <row r="4661" spans="1:8" x14ac:dyDescent="0.3">
      <c r="A4661">
        <v>393</v>
      </c>
      <c r="B4661" s="5">
        <v>43915</v>
      </c>
      <c r="C4661" t="s">
        <v>11</v>
      </c>
      <c r="D4661">
        <v>327</v>
      </c>
      <c r="E4661">
        <v>1080</v>
      </c>
      <c r="F4661" s="5">
        <v>43891</v>
      </c>
      <c r="G4661">
        <v>-327</v>
      </c>
      <c r="H4661" t="s">
        <v>57</v>
      </c>
    </row>
    <row r="4662" spans="1:8" x14ac:dyDescent="0.3">
      <c r="A4662">
        <v>393</v>
      </c>
      <c r="B4662" s="5">
        <v>43919</v>
      </c>
      <c r="C4662" t="s">
        <v>10</v>
      </c>
      <c r="D4662">
        <v>776</v>
      </c>
      <c r="E4662">
        <v>1856</v>
      </c>
      <c r="F4662" s="5">
        <v>43891</v>
      </c>
      <c r="G4662">
        <v>776</v>
      </c>
      <c r="H4662" t="s">
        <v>57</v>
      </c>
    </row>
    <row r="4663" spans="1:8" x14ac:dyDescent="0.3">
      <c r="A4663">
        <v>393</v>
      </c>
      <c r="B4663" s="5">
        <v>43919</v>
      </c>
      <c r="C4663" t="s">
        <v>12</v>
      </c>
      <c r="D4663">
        <v>356</v>
      </c>
      <c r="E4663">
        <v>1500</v>
      </c>
      <c r="F4663" s="5">
        <v>43891</v>
      </c>
      <c r="G4663">
        <v>-356</v>
      </c>
      <c r="H4663" t="s">
        <v>57</v>
      </c>
    </row>
    <row r="4664" spans="1:8" x14ac:dyDescent="0.3">
      <c r="A4664">
        <v>393</v>
      </c>
      <c r="B4664" s="5">
        <v>43925</v>
      </c>
      <c r="C4664" t="s">
        <v>12</v>
      </c>
      <c r="D4664">
        <v>68</v>
      </c>
      <c r="E4664">
        <v>1432</v>
      </c>
      <c r="F4664" s="5">
        <v>43922</v>
      </c>
      <c r="G4664">
        <v>-68</v>
      </c>
      <c r="H4664" t="s">
        <v>57</v>
      </c>
    </row>
    <row r="4665" spans="1:8" x14ac:dyDescent="0.3">
      <c r="A4665">
        <v>393</v>
      </c>
      <c r="B4665" s="5">
        <v>43926</v>
      </c>
      <c r="C4665" t="s">
        <v>11</v>
      </c>
      <c r="D4665">
        <v>317</v>
      </c>
      <c r="E4665">
        <v>1115</v>
      </c>
      <c r="F4665" s="5">
        <v>43922</v>
      </c>
      <c r="G4665">
        <v>-317</v>
      </c>
      <c r="H4665" t="s">
        <v>57</v>
      </c>
    </row>
    <row r="4666" spans="1:8" x14ac:dyDescent="0.3">
      <c r="A4666">
        <v>393</v>
      </c>
      <c r="B4666" s="5">
        <v>43931</v>
      </c>
      <c r="C4666" t="s">
        <v>11</v>
      </c>
      <c r="D4666">
        <v>476</v>
      </c>
      <c r="E4666">
        <v>639</v>
      </c>
      <c r="F4666" s="5">
        <v>43922</v>
      </c>
      <c r="G4666">
        <v>-476</v>
      </c>
      <c r="H4666" t="s">
        <v>57</v>
      </c>
    </row>
    <row r="4667" spans="1:8" x14ac:dyDescent="0.3">
      <c r="A4667">
        <v>394</v>
      </c>
      <c r="B4667" s="5">
        <v>43834</v>
      </c>
      <c r="C4667" t="s">
        <v>10</v>
      </c>
      <c r="D4667">
        <v>908</v>
      </c>
      <c r="E4667">
        <v>908</v>
      </c>
      <c r="F4667" s="5">
        <v>43831</v>
      </c>
      <c r="G4667">
        <v>908</v>
      </c>
      <c r="H4667" t="s">
        <v>57</v>
      </c>
    </row>
    <row r="4668" spans="1:8" x14ac:dyDescent="0.3">
      <c r="A4668">
        <v>394</v>
      </c>
      <c r="B4668" s="5">
        <v>43834</v>
      </c>
      <c r="C4668" t="s">
        <v>10</v>
      </c>
      <c r="D4668">
        <v>854</v>
      </c>
      <c r="E4668">
        <v>1762</v>
      </c>
      <c r="F4668" s="5">
        <v>43831</v>
      </c>
      <c r="G4668">
        <v>854</v>
      </c>
      <c r="H4668" t="s">
        <v>57</v>
      </c>
    </row>
    <row r="4669" spans="1:8" x14ac:dyDescent="0.3">
      <c r="A4669">
        <v>394</v>
      </c>
      <c r="B4669" s="5">
        <v>43837</v>
      </c>
      <c r="C4669" t="s">
        <v>10</v>
      </c>
      <c r="D4669">
        <v>255</v>
      </c>
      <c r="E4669">
        <v>2017</v>
      </c>
      <c r="F4669" s="5">
        <v>43831</v>
      </c>
      <c r="G4669">
        <v>255</v>
      </c>
      <c r="H4669" t="s">
        <v>57</v>
      </c>
    </row>
    <row r="4670" spans="1:8" x14ac:dyDescent="0.3">
      <c r="A4670">
        <v>394</v>
      </c>
      <c r="B4670" s="5">
        <v>43841</v>
      </c>
      <c r="C4670" t="s">
        <v>11</v>
      </c>
      <c r="D4670">
        <v>218</v>
      </c>
      <c r="E4670">
        <v>1799</v>
      </c>
      <c r="F4670" s="5">
        <v>43831</v>
      </c>
      <c r="G4670">
        <v>-218</v>
      </c>
      <c r="H4670" t="s">
        <v>57</v>
      </c>
    </row>
    <row r="4671" spans="1:8" x14ac:dyDescent="0.3">
      <c r="A4671">
        <v>394</v>
      </c>
      <c r="B4671" s="5">
        <v>43844</v>
      </c>
      <c r="C4671" t="s">
        <v>12</v>
      </c>
      <c r="D4671">
        <v>294</v>
      </c>
      <c r="E4671">
        <v>1505</v>
      </c>
      <c r="F4671" s="5">
        <v>43831</v>
      </c>
      <c r="G4671">
        <v>-294</v>
      </c>
      <c r="H4671" t="s">
        <v>57</v>
      </c>
    </row>
    <row r="4672" spans="1:8" x14ac:dyDescent="0.3">
      <c r="A4672">
        <v>394</v>
      </c>
      <c r="B4672" s="5">
        <v>43849</v>
      </c>
      <c r="C4672" t="s">
        <v>10</v>
      </c>
      <c r="D4672">
        <v>798</v>
      </c>
      <c r="E4672">
        <v>2303</v>
      </c>
      <c r="F4672" s="5">
        <v>43831</v>
      </c>
      <c r="G4672">
        <v>798</v>
      </c>
      <c r="H4672" t="s">
        <v>57</v>
      </c>
    </row>
    <row r="4673" spans="1:8" x14ac:dyDescent="0.3">
      <c r="A4673">
        <v>394</v>
      </c>
      <c r="B4673" s="5">
        <v>43857</v>
      </c>
      <c r="C4673" t="s">
        <v>10</v>
      </c>
      <c r="D4673">
        <v>965</v>
      </c>
      <c r="E4673">
        <v>3268</v>
      </c>
      <c r="F4673" s="5">
        <v>43831</v>
      </c>
      <c r="G4673">
        <v>965</v>
      </c>
      <c r="H4673" t="s">
        <v>57</v>
      </c>
    </row>
    <row r="4674" spans="1:8" x14ac:dyDescent="0.3">
      <c r="A4674">
        <v>394</v>
      </c>
      <c r="B4674" s="5">
        <v>43862</v>
      </c>
      <c r="C4674" t="s">
        <v>11</v>
      </c>
      <c r="D4674">
        <v>850</v>
      </c>
      <c r="E4674">
        <v>2418</v>
      </c>
      <c r="F4674" s="5">
        <v>43862</v>
      </c>
      <c r="G4674">
        <v>-850</v>
      </c>
      <c r="H4674" t="s">
        <v>57</v>
      </c>
    </row>
    <row r="4675" spans="1:8" x14ac:dyDescent="0.3">
      <c r="A4675">
        <v>394</v>
      </c>
      <c r="B4675" s="5">
        <v>43866</v>
      </c>
      <c r="C4675" t="s">
        <v>11</v>
      </c>
      <c r="D4675">
        <v>313</v>
      </c>
      <c r="E4675">
        <v>2105</v>
      </c>
      <c r="F4675" s="5">
        <v>43862</v>
      </c>
      <c r="G4675">
        <v>-313</v>
      </c>
      <c r="H4675" t="s">
        <v>57</v>
      </c>
    </row>
    <row r="4676" spans="1:8" x14ac:dyDescent="0.3">
      <c r="A4676">
        <v>394</v>
      </c>
      <c r="B4676" s="5">
        <v>43870</v>
      </c>
      <c r="C4676" t="s">
        <v>10</v>
      </c>
      <c r="D4676">
        <v>259</v>
      </c>
      <c r="E4676">
        <v>2364</v>
      </c>
      <c r="F4676" s="5">
        <v>43862</v>
      </c>
      <c r="G4676">
        <v>259</v>
      </c>
      <c r="H4676" t="s">
        <v>57</v>
      </c>
    </row>
    <row r="4677" spans="1:8" x14ac:dyDescent="0.3">
      <c r="A4677">
        <v>394</v>
      </c>
      <c r="B4677" s="5">
        <v>43877</v>
      </c>
      <c r="C4677" t="s">
        <v>11</v>
      </c>
      <c r="D4677">
        <v>468</v>
      </c>
      <c r="E4677">
        <v>1896</v>
      </c>
      <c r="F4677" s="5">
        <v>43862</v>
      </c>
      <c r="G4677">
        <v>-468</v>
      </c>
      <c r="H4677" t="s">
        <v>57</v>
      </c>
    </row>
    <row r="4678" spans="1:8" x14ac:dyDescent="0.3">
      <c r="A4678">
        <v>394</v>
      </c>
      <c r="B4678" s="5">
        <v>43880</v>
      </c>
      <c r="C4678" t="s">
        <v>10</v>
      </c>
      <c r="D4678">
        <v>769</v>
      </c>
      <c r="E4678">
        <v>2665</v>
      </c>
      <c r="F4678" s="5">
        <v>43862</v>
      </c>
      <c r="G4678">
        <v>769</v>
      </c>
      <c r="H4678" t="s">
        <v>57</v>
      </c>
    </row>
    <row r="4679" spans="1:8" x14ac:dyDescent="0.3">
      <c r="A4679">
        <v>394</v>
      </c>
      <c r="B4679" s="5">
        <v>43882</v>
      </c>
      <c r="C4679" t="s">
        <v>11</v>
      </c>
      <c r="D4679">
        <v>839</v>
      </c>
      <c r="E4679">
        <v>1826</v>
      </c>
      <c r="F4679" s="5">
        <v>43862</v>
      </c>
      <c r="G4679">
        <v>-839</v>
      </c>
      <c r="H4679" t="s">
        <v>57</v>
      </c>
    </row>
    <row r="4680" spans="1:8" x14ac:dyDescent="0.3">
      <c r="A4680">
        <v>394</v>
      </c>
      <c r="B4680" s="5">
        <v>43889</v>
      </c>
      <c r="C4680" t="s">
        <v>10</v>
      </c>
      <c r="D4680">
        <v>818</v>
      </c>
      <c r="E4680">
        <v>2644</v>
      </c>
      <c r="F4680" s="5">
        <v>43862</v>
      </c>
      <c r="G4680">
        <v>818</v>
      </c>
      <c r="H4680" t="s">
        <v>57</v>
      </c>
    </row>
    <row r="4681" spans="1:8" x14ac:dyDescent="0.3">
      <c r="A4681">
        <v>394</v>
      </c>
      <c r="B4681" s="5">
        <v>43904</v>
      </c>
      <c r="C4681" t="s">
        <v>12</v>
      </c>
      <c r="D4681">
        <v>570</v>
      </c>
      <c r="E4681">
        <v>2074</v>
      </c>
      <c r="F4681" s="5">
        <v>43891</v>
      </c>
      <c r="G4681">
        <v>-570</v>
      </c>
      <c r="H4681" t="s">
        <v>57</v>
      </c>
    </row>
    <row r="4682" spans="1:8" x14ac:dyDescent="0.3">
      <c r="A4682">
        <v>394</v>
      </c>
      <c r="B4682" s="5">
        <v>43906</v>
      </c>
      <c r="C4682" t="s">
        <v>12</v>
      </c>
      <c r="D4682">
        <v>654</v>
      </c>
      <c r="E4682">
        <v>1420</v>
      </c>
      <c r="F4682" s="5">
        <v>43891</v>
      </c>
      <c r="G4682">
        <v>-654</v>
      </c>
      <c r="H4682" t="s">
        <v>57</v>
      </c>
    </row>
    <row r="4683" spans="1:8" x14ac:dyDescent="0.3">
      <c r="A4683">
        <v>395</v>
      </c>
      <c r="B4683" s="5">
        <v>43844</v>
      </c>
      <c r="C4683" t="s">
        <v>10</v>
      </c>
      <c r="D4683">
        <v>40</v>
      </c>
      <c r="E4683">
        <v>40</v>
      </c>
      <c r="F4683" s="5">
        <v>43831</v>
      </c>
      <c r="G4683">
        <v>40</v>
      </c>
      <c r="H4683" t="s">
        <v>57</v>
      </c>
    </row>
    <row r="4684" spans="1:8" x14ac:dyDescent="0.3">
      <c r="A4684">
        <v>395</v>
      </c>
      <c r="B4684" s="5">
        <v>43846</v>
      </c>
      <c r="C4684" t="s">
        <v>11</v>
      </c>
      <c r="D4684">
        <v>636</v>
      </c>
      <c r="E4684">
        <v>-596</v>
      </c>
      <c r="F4684" s="5">
        <v>43831</v>
      </c>
      <c r="G4684">
        <v>-636</v>
      </c>
      <c r="H4684" t="s">
        <v>58</v>
      </c>
    </row>
    <row r="4685" spans="1:8" x14ac:dyDescent="0.3">
      <c r="A4685">
        <v>395</v>
      </c>
      <c r="B4685" s="5">
        <v>43848</v>
      </c>
      <c r="C4685" t="s">
        <v>11</v>
      </c>
      <c r="D4685">
        <v>507</v>
      </c>
      <c r="E4685">
        <v>-1103</v>
      </c>
      <c r="F4685" s="5">
        <v>43831</v>
      </c>
      <c r="G4685">
        <v>-507</v>
      </c>
      <c r="H4685" t="s">
        <v>58</v>
      </c>
    </row>
    <row r="4686" spans="1:8" x14ac:dyDescent="0.3">
      <c r="A4686">
        <v>395</v>
      </c>
      <c r="B4686" s="5">
        <v>43851</v>
      </c>
      <c r="C4686" t="s">
        <v>10</v>
      </c>
      <c r="D4686">
        <v>35</v>
      </c>
      <c r="E4686">
        <v>-1068</v>
      </c>
      <c r="F4686" s="5">
        <v>43831</v>
      </c>
      <c r="G4686">
        <v>35</v>
      </c>
      <c r="H4686" t="s">
        <v>58</v>
      </c>
    </row>
    <row r="4687" spans="1:8" x14ac:dyDescent="0.3">
      <c r="A4687">
        <v>395</v>
      </c>
      <c r="B4687" s="5">
        <v>43853</v>
      </c>
      <c r="C4687" t="s">
        <v>12</v>
      </c>
      <c r="D4687">
        <v>714</v>
      </c>
      <c r="E4687">
        <v>-1782</v>
      </c>
      <c r="F4687" s="5">
        <v>43831</v>
      </c>
      <c r="G4687">
        <v>-714</v>
      </c>
      <c r="H4687" t="s">
        <v>58</v>
      </c>
    </row>
    <row r="4688" spans="1:8" x14ac:dyDescent="0.3">
      <c r="A4688">
        <v>395</v>
      </c>
      <c r="B4688" s="5">
        <v>43875</v>
      </c>
      <c r="C4688" t="s">
        <v>10</v>
      </c>
      <c r="D4688">
        <v>868</v>
      </c>
      <c r="E4688">
        <v>-914</v>
      </c>
      <c r="F4688" s="5">
        <v>43862</v>
      </c>
      <c r="G4688">
        <v>868</v>
      </c>
      <c r="H4688" t="s">
        <v>58</v>
      </c>
    </row>
    <row r="4689" spans="1:8" x14ac:dyDescent="0.3">
      <c r="A4689">
        <v>395</v>
      </c>
      <c r="B4689" s="5">
        <v>43892</v>
      </c>
      <c r="C4689" t="s">
        <v>10</v>
      </c>
      <c r="D4689">
        <v>548</v>
      </c>
      <c r="E4689">
        <v>-366</v>
      </c>
      <c r="F4689" s="5">
        <v>43891</v>
      </c>
      <c r="G4689">
        <v>548</v>
      </c>
      <c r="H4689" t="s">
        <v>58</v>
      </c>
    </row>
    <row r="4690" spans="1:8" x14ac:dyDescent="0.3">
      <c r="A4690">
        <v>395</v>
      </c>
      <c r="B4690" s="5">
        <v>43894</v>
      </c>
      <c r="C4690" t="s">
        <v>10</v>
      </c>
      <c r="D4690">
        <v>396</v>
      </c>
      <c r="E4690">
        <v>30</v>
      </c>
      <c r="F4690" s="5">
        <v>43891</v>
      </c>
      <c r="G4690">
        <v>396</v>
      </c>
      <c r="H4690" t="s">
        <v>57</v>
      </c>
    </row>
    <row r="4691" spans="1:8" x14ac:dyDescent="0.3">
      <c r="A4691">
        <v>395</v>
      </c>
      <c r="B4691" s="5">
        <v>43913</v>
      </c>
      <c r="C4691" t="s">
        <v>11</v>
      </c>
      <c r="D4691">
        <v>583</v>
      </c>
      <c r="E4691">
        <v>-553</v>
      </c>
      <c r="F4691" s="5">
        <v>43891</v>
      </c>
      <c r="G4691">
        <v>-583</v>
      </c>
      <c r="H4691" t="s">
        <v>58</v>
      </c>
    </row>
    <row r="4692" spans="1:8" x14ac:dyDescent="0.3">
      <c r="A4692">
        <v>395</v>
      </c>
      <c r="B4692" s="5">
        <v>43921</v>
      </c>
      <c r="C4692" t="s">
        <v>12</v>
      </c>
      <c r="D4692">
        <v>350</v>
      </c>
      <c r="E4692">
        <v>-903</v>
      </c>
      <c r="F4692" s="5">
        <v>43891</v>
      </c>
      <c r="G4692">
        <v>-350</v>
      </c>
      <c r="H4692" t="s">
        <v>58</v>
      </c>
    </row>
    <row r="4693" spans="1:8" x14ac:dyDescent="0.3">
      <c r="A4693">
        <v>395</v>
      </c>
      <c r="B4693" s="5">
        <v>43930</v>
      </c>
      <c r="C4693" t="s">
        <v>11</v>
      </c>
      <c r="D4693">
        <v>820</v>
      </c>
      <c r="E4693">
        <v>-1723</v>
      </c>
      <c r="F4693" s="5">
        <v>43922</v>
      </c>
      <c r="G4693">
        <v>-820</v>
      </c>
      <c r="H4693" t="s">
        <v>58</v>
      </c>
    </row>
    <row r="4694" spans="1:8" x14ac:dyDescent="0.3">
      <c r="A4694">
        <v>396</v>
      </c>
      <c r="B4694" s="5">
        <v>43831</v>
      </c>
      <c r="C4694" t="s">
        <v>10</v>
      </c>
      <c r="D4694">
        <v>608</v>
      </c>
      <c r="E4694">
        <v>608</v>
      </c>
      <c r="F4694" s="5">
        <v>43831</v>
      </c>
      <c r="G4694">
        <v>608</v>
      </c>
      <c r="H4694" t="s">
        <v>57</v>
      </c>
    </row>
    <row r="4695" spans="1:8" x14ac:dyDescent="0.3">
      <c r="A4695">
        <v>396</v>
      </c>
      <c r="B4695" s="5">
        <v>43831</v>
      </c>
      <c r="C4695" t="s">
        <v>10</v>
      </c>
      <c r="D4695">
        <v>334</v>
      </c>
      <c r="E4695">
        <v>942</v>
      </c>
      <c r="F4695" s="5">
        <v>43831</v>
      </c>
      <c r="G4695">
        <v>334</v>
      </c>
      <c r="H4695" t="s">
        <v>57</v>
      </c>
    </row>
    <row r="4696" spans="1:8" x14ac:dyDescent="0.3">
      <c r="A4696">
        <v>396</v>
      </c>
      <c r="B4696" s="5">
        <v>43832</v>
      </c>
      <c r="C4696" t="s">
        <v>12</v>
      </c>
      <c r="D4696">
        <v>598</v>
      </c>
      <c r="E4696">
        <v>344</v>
      </c>
      <c r="F4696" s="5">
        <v>43831</v>
      </c>
      <c r="G4696">
        <v>-598</v>
      </c>
      <c r="H4696" t="s">
        <v>57</v>
      </c>
    </row>
    <row r="4697" spans="1:8" x14ac:dyDescent="0.3">
      <c r="A4697">
        <v>396</v>
      </c>
      <c r="B4697" s="5">
        <v>43835</v>
      </c>
      <c r="C4697" t="s">
        <v>11</v>
      </c>
      <c r="D4697">
        <v>114</v>
      </c>
      <c r="E4697">
        <v>230</v>
      </c>
      <c r="F4697" s="5">
        <v>43831</v>
      </c>
      <c r="G4697">
        <v>-114</v>
      </c>
      <c r="H4697" t="s">
        <v>57</v>
      </c>
    </row>
    <row r="4698" spans="1:8" x14ac:dyDescent="0.3">
      <c r="A4698">
        <v>396</v>
      </c>
      <c r="B4698" s="5">
        <v>43840</v>
      </c>
      <c r="C4698" t="s">
        <v>10</v>
      </c>
      <c r="D4698">
        <v>460</v>
      </c>
      <c r="E4698">
        <v>690</v>
      </c>
      <c r="F4698" s="5">
        <v>43831</v>
      </c>
      <c r="G4698">
        <v>460</v>
      </c>
      <c r="H4698" t="s">
        <v>57</v>
      </c>
    </row>
    <row r="4699" spans="1:8" x14ac:dyDescent="0.3">
      <c r="A4699">
        <v>396</v>
      </c>
      <c r="B4699" s="5">
        <v>43840</v>
      </c>
      <c r="C4699" t="s">
        <v>12</v>
      </c>
      <c r="D4699">
        <v>878</v>
      </c>
      <c r="E4699">
        <v>-188</v>
      </c>
      <c r="F4699" s="5">
        <v>43831</v>
      </c>
      <c r="G4699">
        <v>-878</v>
      </c>
      <c r="H4699" t="s">
        <v>58</v>
      </c>
    </row>
    <row r="4700" spans="1:8" x14ac:dyDescent="0.3">
      <c r="A4700">
        <v>396</v>
      </c>
      <c r="B4700" s="5">
        <v>43843</v>
      </c>
      <c r="C4700" t="s">
        <v>12</v>
      </c>
      <c r="D4700">
        <v>201</v>
      </c>
      <c r="E4700">
        <v>-389</v>
      </c>
      <c r="F4700" s="5">
        <v>43831</v>
      </c>
      <c r="G4700">
        <v>-201</v>
      </c>
      <c r="H4700" t="s">
        <v>58</v>
      </c>
    </row>
    <row r="4701" spans="1:8" x14ac:dyDescent="0.3">
      <c r="A4701">
        <v>396</v>
      </c>
      <c r="B4701" s="5">
        <v>43848</v>
      </c>
      <c r="C4701" t="s">
        <v>11</v>
      </c>
      <c r="D4701">
        <v>520</v>
      </c>
      <c r="E4701">
        <v>-909</v>
      </c>
      <c r="F4701" s="5">
        <v>43831</v>
      </c>
      <c r="G4701">
        <v>-520</v>
      </c>
      <c r="H4701" t="s">
        <v>58</v>
      </c>
    </row>
    <row r="4702" spans="1:8" x14ac:dyDescent="0.3">
      <c r="A4702">
        <v>396</v>
      </c>
      <c r="B4702" s="5">
        <v>43862</v>
      </c>
      <c r="C4702" t="s">
        <v>12</v>
      </c>
      <c r="D4702">
        <v>454</v>
      </c>
      <c r="E4702">
        <v>-1363</v>
      </c>
      <c r="F4702" s="5">
        <v>43862</v>
      </c>
      <c r="G4702">
        <v>-454</v>
      </c>
      <c r="H4702" t="s">
        <v>58</v>
      </c>
    </row>
    <row r="4703" spans="1:8" x14ac:dyDescent="0.3">
      <c r="A4703">
        <v>396</v>
      </c>
      <c r="B4703" s="5">
        <v>43864</v>
      </c>
      <c r="C4703" t="s">
        <v>12</v>
      </c>
      <c r="D4703">
        <v>221</v>
      </c>
      <c r="E4703">
        <v>-1584</v>
      </c>
      <c r="F4703" s="5">
        <v>43862</v>
      </c>
      <c r="G4703">
        <v>-221</v>
      </c>
      <c r="H4703" t="s">
        <v>58</v>
      </c>
    </row>
    <row r="4704" spans="1:8" x14ac:dyDescent="0.3">
      <c r="A4704">
        <v>396</v>
      </c>
      <c r="B4704" s="5">
        <v>43877</v>
      </c>
      <c r="C4704" t="s">
        <v>10</v>
      </c>
      <c r="D4704">
        <v>230</v>
      </c>
      <c r="E4704">
        <v>-1354</v>
      </c>
      <c r="F4704" s="5">
        <v>43862</v>
      </c>
      <c r="G4704">
        <v>230</v>
      </c>
      <c r="H4704" t="s">
        <v>58</v>
      </c>
    </row>
    <row r="4705" spans="1:8" x14ac:dyDescent="0.3">
      <c r="A4705">
        <v>396</v>
      </c>
      <c r="B4705" s="5">
        <v>43889</v>
      </c>
      <c r="C4705" t="s">
        <v>10</v>
      </c>
      <c r="D4705">
        <v>804</v>
      </c>
      <c r="E4705">
        <v>-550</v>
      </c>
      <c r="F4705" s="5">
        <v>43862</v>
      </c>
      <c r="G4705">
        <v>804</v>
      </c>
      <c r="H4705" t="s">
        <v>58</v>
      </c>
    </row>
    <row r="4706" spans="1:8" x14ac:dyDescent="0.3">
      <c r="A4706">
        <v>396</v>
      </c>
      <c r="B4706" s="5">
        <v>43891</v>
      </c>
      <c r="C4706" t="s">
        <v>11</v>
      </c>
      <c r="D4706">
        <v>792</v>
      </c>
      <c r="E4706">
        <v>-1342</v>
      </c>
      <c r="F4706" s="5">
        <v>43891</v>
      </c>
      <c r="G4706">
        <v>-792</v>
      </c>
      <c r="H4706" t="s">
        <v>58</v>
      </c>
    </row>
    <row r="4707" spans="1:8" x14ac:dyDescent="0.3">
      <c r="A4707">
        <v>396</v>
      </c>
      <c r="B4707" s="5">
        <v>43895</v>
      </c>
      <c r="C4707" t="s">
        <v>12</v>
      </c>
      <c r="D4707">
        <v>586</v>
      </c>
      <c r="E4707">
        <v>-1928</v>
      </c>
      <c r="F4707" s="5">
        <v>43891</v>
      </c>
      <c r="G4707">
        <v>-586</v>
      </c>
      <c r="H4707" t="s">
        <v>58</v>
      </c>
    </row>
    <row r="4708" spans="1:8" x14ac:dyDescent="0.3">
      <c r="A4708">
        <v>396</v>
      </c>
      <c r="B4708" s="5">
        <v>43901</v>
      </c>
      <c r="C4708" t="s">
        <v>11</v>
      </c>
      <c r="D4708">
        <v>403</v>
      </c>
      <c r="E4708">
        <v>-2331</v>
      </c>
      <c r="F4708" s="5">
        <v>43891</v>
      </c>
      <c r="G4708">
        <v>-403</v>
      </c>
      <c r="H4708" t="s">
        <v>58</v>
      </c>
    </row>
    <row r="4709" spans="1:8" x14ac:dyDescent="0.3">
      <c r="A4709">
        <v>396</v>
      </c>
      <c r="B4709" s="5">
        <v>43905</v>
      </c>
      <c r="C4709" t="s">
        <v>11</v>
      </c>
      <c r="D4709">
        <v>680</v>
      </c>
      <c r="E4709">
        <v>-3011</v>
      </c>
      <c r="F4709" s="5">
        <v>43891</v>
      </c>
      <c r="G4709">
        <v>-680</v>
      </c>
      <c r="H4709" t="s">
        <v>58</v>
      </c>
    </row>
    <row r="4710" spans="1:8" x14ac:dyDescent="0.3">
      <c r="A4710">
        <v>396</v>
      </c>
      <c r="B4710" s="5">
        <v>43909</v>
      </c>
      <c r="C4710" t="s">
        <v>10</v>
      </c>
      <c r="D4710">
        <v>245</v>
      </c>
      <c r="E4710">
        <v>-2766</v>
      </c>
      <c r="F4710" s="5">
        <v>43891</v>
      </c>
      <c r="G4710">
        <v>245</v>
      </c>
      <c r="H4710" t="s">
        <v>58</v>
      </c>
    </row>
    <row r="4711" spans="1:8" x14ac:dyDescent="0.3">
      <c r="A4711">
        <v>396</v>
      </c>
      <c r="B4711" s="5">
        <v>43913</v>
      </c>
      <c r="C4711" t="s">
        <v>11</v>
      </c>
      <c r="D4711">
        <v>82</v>
      </c>
      <c r="E4711">
        <v>-2848</v>
      </c>
      <c r="F4711" s="5">
        <v>43891</v>
      </c>
      <c r="G4711">
        <v>-82</v>
      </c>
      <c r="H4711" t="s">
        <v>58</v>
      </c>
    </row>
    <row r="4712" spans="1:8" x14ac:dyDescent="0.3">
      <c r="A4712">
        <v>397</v>
      </c>
      <c r="B4712" s="5">
        <v>43836</v>
      </c>
      <c r="C4712" t="s">
        <v>10</v>
      </c>
      <c r="D4712">
        <v>973</v>
      </c>
      <c r="E4712">
        <v>973</v>
      </c>
      <c r="F4712" s="5">
        <v>43831</v>
      </c>
      <c r="G4712">
        <v>973</v>
      </c>
      <c r="H4712" t="s">
        <v>57</v>
      </c>
    </row>
    <row r="4713" spans="1:8" x14ac:dyDescent="0.3">
      <c r="A4713">
        <v>397</v>
      </c>
      <c r="B4713" s="5">
        <v>43866</v>
      </c>
      <c r="C4713" t="s">
        <v>10</v>
      </c>
      <c r="D4713">
        <v>133</v>
      </c>
      <c r="E4713">
        <v>1106</v>
      </c>
      <c r="F4713" s="5">
        <v>43862</v>
      </c>
      <c r="G4713">
        <v>133</v>
      </c>
      <c r="H4713" t="s">
        <v>57</v>
      </c>
    </row>
    <row r="4714" spans="1:8" x14ac:dyDescent="0.3">
      <c r="A4714">
        <v>397</v>
      </c>
      <c r="B4714" s="5">
        <v>43900</v>
      </c>
      <c r="C4714" t="s">
        <v>10</v>
      </c>
      <c r="D4714">
        <v>676</v>
      </c>
      <c r="E4714">
        <v>1782</v>
      </c>
      <c r="F4714" s="5">
        <v>43891</v>
      </c>
      <c r="G4714">
        <v>676</v>
      </c>
      <c r="H4714" t="s">
        <v>57</v>
      </c>
    </row>
    <row r="4715" spans="1:8" x14ac:dyDescent="0.3">
      <c r="A4715">
        <v>397</v>
      </c>
      <c r="B4715" s="5">
        <v>43901</v>
      </c>
      <c r="C4715" t="s">
        <v>11</v>
      </c>
      <c r="D4715">
        <v>73</v>
      </c>
      <c r="E4715">
        <v>1709</v>
      </c>
      <c r="F4715" s="5">
        <v>43891</v>
      </c>
      <c r="G4715">
        <v>-73</v>
      </c>
      <c r="H4715" t="s">
        <v>57</v>
      </c>
    </row>
    <row r="4716" spans="1:8" x14ac:dyDescent="0.3">
      <c r="A4716">
        <v>398</v>
      </c>
      <c r="B4716" s="5">
        <v>43831</v>
      </c>
      <c r="C4716" t="s">
        <v>10</v>
      </c>
      <c r="D4716">
        <v>196</v>
      </c>
      <c r="E4716">
        <v>196</v>
      </c>
      <c r="F4716" s="5">
        <v>43831</v>
      </c>
      <c r="G4716">
        <v>196</v>
      </c>
      <c r="H4716" t="s">
        <v>57</v>
      </c>
    </row>
    <row r="4717" spans="1:8" x14ac:dyDescent="0.3">
      <c r="A4717">
        <v>398</v>
      </c>
      <c r="B4717" s="5">
        <v>43840</v>
      </c>
      <c r="C4717" t="s">
        <v>11</v>
      </c>
      <c r="D4717">
        <v>951</v>
      </c>
      <c r="E4717">
        <v>-755</v>
      </c>
      <c r="F4717" s="5">
        <v>43831</v>
      </c>
      <c r="G4717">
        <v>-951</v>
      </c>
      <c r="H4717" t="s">
        <v>58</v>
      </c>
    </row>
    <row r="4718" spans="1:8" x14ac:dyDescent="0.3">
      <c r="A4718">
        <v>398</v>
      </c>
      <c r="B4718" s="5">
        <v>43844</v>
      </c>
      <c r="C4718" t="s">
        <v>12</v>
      </c>
      <c r="D4718">
        <v>255</v>
      </c>
      <c r="E4718">
        <v>-1010</v>
      </c>
      <c r="F4718" s="5">
        <v>43831</v>
      </c>
      <c r="G4718">
        <v>-255</v>
      </c>
      <c r="H4718" t="s">
        <v>58</v>
      </c>
    </row>
    <row r="4719" spans="1:8" x14ac:dyDescent="0.3">
      <c r="A4719">
        <v>398</v>
      </c>
      <c r="B4719" s="5">
        <v>43846</v>
      </c>
      <c r="C4719" t="s">
        <v>12</v>
      </c>
      <c r="D4719">
        <v>195</v>
      </c>
      <c r="E4719">
        <v>-1205</v>
      </c>
      <c r="F4719" s="5">
        <v>43831</v>
      </c>
      <c r="G4719">
        <v>-195</v>
      </c>
      <c r="H4719" t="s">
        <v>58</v>
      </c>
    </row>
    <row r="4720" spans="1:8" x14ac:dyDescent="0.3">
      <c r="A4720">
        <v>398</v>
      </c>
      <c r="B4720" s="5">
        <v>43853</v>
      </c>
      <c r="C4720" t="s">
        <v>10</v>
      </c>
      <c r="D4720">
        <v>523</v>
      </c>
      <c r="E4720">
        <v>-682</v>
      </c>
      <c r="F4720" s="5">
        <v>43831</v>
      </c>
      <c r="G4720">
        <v>523</v>
      </c>
      <c r="H4720" t="s">
        <v>58</v>
      </c>
    </row>
    <row r="4721" spans="1:8" x14ac:dyDescent="0.3">
      <c r="A4721">
        <v>398</v>
      </c>
      <c r="B4721" s="5">
        <v>43857</v>
      </c>
      <c r="C4721" t="s">
        <v>11</v>
      </c>
      <c r="D4721">
        <v>570</v>
      </c>
      <c r="E4721">
        <v>-1252</v>
      </c>
      <c r="F4721" s="5">
        <v>43831</v>
      </c>
      <c r="G4721">
        <v>-570</v>
      </c>
      <c r="H4721" t="s">
        <v>58</v>
      </c>
    </row>
    <row r="4722" spans="1:8" x14ac:dyDescent="0.3">
      <c r="A4722">
        <v>398</v>
      </c>
      <c r="B4722" s="5">
        <v>43861</v>
      </c>
      <c r="C4722" t="s">
        <v>10</v>
      </c>
      <c r="D4722">
        <v>823</v>
      </c>
      <c r="E4722">
        <v>-429</v>
      </c>
      <c r="F4722" s="5">
        <v>43831</v>
      </c>
      <c r="G4722">
        <v>823</v>
      </c>
      <c r="H4722" t="s">
        <v>58</v>
      </c>
    </row>
    <row r="4723" spans="1:8" x14ac:dyDescent="0.3">
      <c r="A4723">
        <v>398</v>
      </c>
      <c r="B4723" s="5">
        <v>43863</v>
      </c>
      <c r="C4723" t="s">
        <v>11</v>
      </c>
      <c r="D4723">
        <v>38</v>
      </c>
      <c r="E4723">
        <v>-467</v>
      </c>
      <c r="F4723" s="5">
        <v>43862</v>
      </c>
      <c r="G4723">
        <v>-38</v>
      </c>
      <c r="H4723" t="s">
        <v>58</v>
      </c>
    </row>
    <row r="4724" spans="1:8" x14ac:dyDescent="0.3">
      <c r="A4724">
        <v>398</v>
      </c>
      <c r="B4724" s="5">
        <v>43874</v>
      </c>
      <c r="C4724" t="s">
        <v>11</v>
      </c>
      <c r="D4724">
        <v>546</v>
      </c>
      <c r="E4724">
        <v>-1013</v>
      </c>
      <c r="F4724" s="5">
        <v>43862</v>
      </c>
      <c r="G4724">
        <v>-546</v>
      </c>
      <c r="H4724" t="s">
        <v>58</v>
      </c>
    </row>
    <row r="4725" spans="1:8" x14ac:dyDescent="0.3">
      <c r="A4725">
        <v>398</v>
      </c>
      <c r="B4725" s="5">
        <v>43875</v>
      </c>
      <c r="C4725" t="s">
        <v>11</v>
      </c>
      <c r="D4725">
        <v>902</v>
      </c>
      <c r="E4725">
        <v>-1915</v>
      </c>
      <c r="F4725" s="5">
        <v>43862</v>
      </c>
      <c r="G4725">
        <v>-902</v>
      </c>
      <c r="H4725" t="s">
        <v>58</v>
      </c>
    </row>
    <row r="4726" spans="1:8" x14ac:dyDescent="0.3">
      <c r="A4726">
        <v>398</v>
      </c>
      <c r="B4726" s="5">
        <v>43877</v>
      </c>
      <c r="C4726" t="s">
        <v>12</v>
      </c>
      <c r="D4726">
        <v>232</v>
      </c>
      <c r="E4726">
        <v>-2147</v>
      </c>
      <c r="F4726" s="5">
        <v>43862</v>
      </c>
      <c r="G4726">
        <v>-232</v>
      </c>
      <c r="H4726" t="s">
        <v>58</v>
      </c>
    </row>
    <row r="4727" spans="1:8" x14ac:dyDescent="0.3">
      <c r="A4727">
        <v>398</v>
      </c>
      <c r="B4727" s="5">
        <v>43881</v>
      </c>
      <c r="C4727" t="s">
        <v>11</v>
      </c>
      <c r="D4727">
        <v>150</v>
      </c>
      <c r="E4727">
        <v>-2297</v>
      </c>
      <c r="F4727" s="5">
        <v>43862</v>
      </c>
      <c r="G4727">
        <v>-150</v>
      </c>
      <c r="H4727" t="s">
        <v>58</v>
      </c>
    </row>
    <row r="4728" spans="1:8" x14ac:dyDescent="0.3">
      <c r="A4728">
        <v>398</v>
      </c>
      <c r="B4728" s="5">
        <v>43888</v>
      </c>
      <c r="C4728" t="s">
        <v>11</v>
      </c>
      <c r="D4728">
        <v>874</v>
      </c>
      <c r="E4728">
        <v>-3171</v>
      </c>
      <c r="F4728" s="5">
        <v>43862</v>
      </c>
      <c r="G4728">
        <v>-874</v>
      </c>
      <c r="H4728" t="s">
        <v>58</v>
      </c>
    </row>
    <row r="4729" spans="1:8" x14ac:dyDescent="0.3">
      <c r="A4729">
        <v>398</v>
      </c>
      <c r="B4729" s="5">
        <v>43899</v>
      </c>
      <c r="C4729" t="s">
        <v>10</v>
      </c>
      <c r="D4729">
        <v>873</v>
      </c>
      <c r="E4729">
        <v>-2298</v>
      </c>
      <c r="F4729" s="5">
        <v>43891</v>
      </c>
      <c r="G4729">
        <v>873</v>
      </c>
      <c r="H4729" t="s">
        <v>58</v>
      </c>
    </row>
    <row r="4730" spans="1:8" x14ac:dyDescent="0.3">
      <c r="A4730">
        <v>398</v>
      </c>
      <c r="B4730" s="5">
        <v>43900</v>
      </c>
      <c r="C4730" t="s">
        <v>12</v>
      </c>
      <c r="D4730">
        <v>678</v>
      </c>
      <c r="E4730">
        <v>-2976</v>
      </c>
      <c r="F4730" s="5">
        <v>43891</v>
      </c>
      <c r="G4730">
        <v>-678</v>
      </c>
      <c r="H4730" t="s">
        <v>58</v>
      </c>
    </row>
    <row r="4731" spans="1:8" x14ac:dyDescent="0.3">
      <c r="A4731">
        <v>398</v>
      </c>
      <c r="B4731" s="5">
        <v>43904</v>
      </c>
      <c r="C4731" t="s">
        <v>12</v>
      </c>
      <c r="D4731">
        <v>817</v>
      </c>
      <c r="E4731">
        <v>-3793</v>
      </c>
      <c r="F4731" s="5">
        <v>43891</v>
      </c>
      <c r="G4731">
        <v>-817</v>
      </c>
      <c r="H4731" t="s">
        <v>58</v>
      </c>
    </row>
    <row r="4732" spans="1:8" x14ac:dyDescent="0.3">
      <c r="A4732">
        <v>398</v>
      </c>
      <c r="B4732" s="5">
        <v>43911</v>
      </c>
      <c r="C4732" t="s">
        <v>11</v>
      </c>
      <c r="D4732">
        <v>201</v>
      </c>
      <c r="E4732">
        <v>-3994</v>
      </c>
      <c r="F4732" s="5">
        <v>43891</v>
      </c>
      <c r="G4732">
        <v>-201</v>
      </c>
      <c r="H4732" t="s">
        <v>58</v>
      </c>
    </row>
    <row r="4733" spans="1:8" x14ac:dyDescent="0.3">
      <c r="A4733">
        <v>398</v>
      </c>
      <c r="B4733" s="5">
        <v>43912</v>
      </c>
      <c r="C4733" t="s">
        <v>11</v>
      </c>
      <c r="D4733">
        <v>916</v>
      </c>
      <c r="E4733">
        <v>-4910</v>
      </c>
      <c r="F4733" s="5">
        <v>43891</v>
      </c>
      <c r="G4733">
        <v>-916</v>
      </c>
      <c r="H4733" t="s">
        <v>58</v>
      </c>
    </row>
    <row r="4734" spans="1:8" x14ac:dyDescent="0.3">
      <c r="A4734">
        <v>398</v>
      </c>
      <c r="B4734" s="5">
        <v>43914</v>
      </c>
      <c r="C4734" t="s">
        <v>10</v>
      </c>
      <c r="D4734">
        <v>874</v>
      </c>
      <c r="E4734">
        <v>-4036</v>
      </c>
      <c r="F4734" s="5">
        <v>43891</v>
      </c>
      <c r="G4734">
        <v>874</v>
      </c>
      <c r="H4734" t="s">
        <v>58</v>
      </c>
    </row>
    <row r="4735" spans="1:8" x14ac:dyDescent="0.3">
      <c r="A4735">
        <v>398</v>
      </c>
      <c r="B4735" s="5">
        <v>43914</v>
      </c>
      <c r="C4735" t="s">
        <v>10</v>
      </c>
      <c r="D4735">
        <v>635</v>
      </c>
      <c r="E4735">
        <v>-3401</v>
      </c>
      <c r="F4735" s="5">
        <v>43891</v>
      </c>
      <c r="G4735">
        <v>635</v>
      </c>
      <c r="H4735" t="s">
        <v>58</v>
      </c>
    </row>
    <row r="4736" spans="1:8" x14ac:dyDescent="0.3">
      <c r="A4736">
        <v>399</v>
      </c>
      <c r="B4736" s="5">
        <v>43843</v>
      </c>
      <c r="C4736" t="s">
        <v>12</v>
      </c>
      <c r="D4736">
        <v>187</v>
      </c>
      <c r="E4736">
        <v>-187</v>
      </c>
      <c r="F4736" s="5">
        <v>43831</v>
      </c>
      <c r="G4736">
        <v>-187</v>
      </c>
      <c r="H4736" t="s">
        <v>58</v>
      </c>
    </row>
    <row r="4737" spans="1:8" x14ac:dyDescent="0.3">
      <c r="A4737">
        <v>399</v>
      </c>
      <c r="B4737" s="5">
        <v>43843</v>
      </c>
      <c r="C4737" t="s">
        <v>10</v>
      </c>
      <c r="D4737">
        <v>780</v>
      </c>
      <c r="E4737">
        <v>593</v>
      </c>
      <c r="F4737" s="5">
        <v>43831</v>
      </c>
      <c r="G4737">
        <v>780</v>
      </c>
      <c r="H4737" t="s">
        <v>57</v>
      </c>
    </row>
    <row r="4738" spans="1:8" x14ac:dyDescent="0.3">
      <c r="A4738">
        <v>399</v>
      </c>
      <c r="B4738" s="5">
        <v>43867</v>
      </c>
      <c r="C4738" t="s">
        <v>11</v>
      </c>
      <c r="D4738">
        <v>999</v>
      </c>
      <c r="E4738">
        <v>-406</v>
      </c>
      <c r="F4738" s="5">
        <v>43862</v>
      </c>
      <c r="G4738">
        <v>-999</v>
      </c>
      <c r="H4738" t="s">
        <v>58</v>
      </c>
    </row>
    <row r="4739" spans="1:8" x14ac:dyDescent="0.3">
      <c r="A4739">
        <v>399</v>
      </c>
      <c r="B4739" s="5">
        <v>43875</v>
      </c>
      <c r="C4739" t="s">
        <v>10</v>
      </c>
      <c r="D4739">
        <v>105</v>
      </c>
      <c r="E4739">
        <v>-301</v>
      </c>
      <c r="F4739" s="5">
        <v>43862</v>
      </c>
      <c r="G4739">
        <v>105</v>
      </c>
      <c r="H4739" t="s">
        <v>58</v>
      </c>
    </row>
    <row r="4740" spans="1:8" x14ac:dyDescent="0.3">
      <c r="A4740">
        <v>399</v>
      </c>
      <c r="B4740" s="5">
        <v>43897</v>
      </c>
      <c r="C4740" t="s">
        <v>12</v>
      </c>
      <c r="D4740">
        <v>265</v>
      </c>
      <c r="E4740">
        <v>-566</v>
      </c>
      <c r="F4740" s="5">
        <v>43891</v>
      </c>
      <c r="G4740">
        <v>-265</v>
      </c>
      <c r="H4740" t="s">
        <v>58</v>
      </c>
    </row>
    <row r="4741" spans="1:8" x14ac:dyDescent="0.3">
      <c r="A4741">
        <v>399</v>
      </c>
      <c r="B4741" s="5">
        <v>43903</v>
      </c>
      <c r="C4741" t="s">
        <v>12</v>
      </c>
      <c r="D4741">
        <v>769</v>
      </c>
      <c r="E4741">
        <v>-1335</v>
      </c>
      <c r="F4741" s="5">
        <v>43891</v>
      </c>
      <c r="G4741">
        <v>-769</v>
      </c>
      <c r="H4741" t="s">
        <v>58</v>
      </c>
    </row>
    <row r="4742" spans="1:8" x14ac:dyDescent="0.3">
      <c r="A4742">
        <v>399</v>
      </c>
      <c r="B4742" s="5">
        <v>43903</v>
      </c>
      <c r="C4742" t="s">
        <v>10</v>
      </c>
      <c r="D4742">
        <v>804</v>
      </c>
      <c r="E4742">
        <v>-531</v>
      </c>
      <c r="F4742" s="5">
        <v>43891</v>
      </c>
      <c r="G4742">
        <v>804</v>
      </c>
      <c r="H4742" t="s">
        <v>58</v>
      </c>
    </row>
    <row r="4743" spans="1:8" x14ac:dyDescent="0.3">
      <c r="A4743">
        <v>399</v>
      </c>
      <c r="B4743" s="5">
        <v>43912</v>
      </c>
      <c r="C4743" t="s">
        <v>12</v>
      </c>
      <c r="D4743">
        <v>957</v>
      </c>
      <c r="E4743">
        <v>-1488</v>
      </c>
      <c r="F4743" s="5">
        <v>43891</v>
      </c>
      <c r="G4743">
        <v>-957</v>
      </c>
      <c r="H4743" t="s">
        <v>58</v>
      </c>
    </row>
    <row r="4744" spans="1:8" x14ac:dyDescent="0.3">
      <c r="A4744">
        <v>399</v>
      </c>
      <c r="B4744" s="5">
        <v>43922</v>
      </c>
      <c r="C4744" t="s">
        <v>12</v>
      </c>
      <c r="D4744">
        <v>229</v>
      </c>
      <c r="E4744">
        <v>-1717</v>
      </c>
      <c r="F4744" s="5">
        <v>43922</v>
      </c>
      <c r="G4744">
        <v>-229</v>
      </c>
      <c r="H4744" t="s">
        <v>58</v>
      </c>
    </row>
    <row r="4745" spans="1:8" x14ac:dyDescent="0.3">
      <c r="A4745">
        <v>400</v>
      </c>
      <c r="B4745" s="5">
        <v>43854</v>
      </c>
      <c r="C4745" t="s">
        <v>10</v>
      </c>
      <c r="D4745">
        <v>691</v>
      </c>
      <c r="E4745">
        <v>691</v>
      </c>
      <c r="F4745" s="5">
        <v>43831</v>
      </c>
      <c r="G4745">
        <v>691</v>
      </c>
      <c r="H4745" t="s">
        <v>57</v>
      </c>
    </row>
    <row r="4746" spans="1:8" x14ac:dyDescent="0.3">
      <c r="A4746">
        <v>400</v>
      </c>
      <c r="B4746" s="5">
        <v>43856</v>
      </c>
      <c r="C4746" t="s">
        <v>12</v>
      </c>
      <c r="D4746">
        <v>536</v>
      </c>
      <c r="E4746">
        <v>155</v>
      </c>
      <c r="F4746" s="5">
        <v>43831</v>
      </c>
      <c r="G4746">
        <v>-536</v>
      </c>
      <c r="H4746" t="s">
        <v>57</v>
      </c>
    </row>
    <row r="4747" spans="1:8" x14ac:dyDescent="0.3">
      <c r="A4747">
        <v>400</v>
      </c>
      <c r="B4747" s="5">
        <v>43865</v>
      </c>
      <c r="C4747" t="s">
        <v>12</v>
      </c>
      <c r="D4747">
        <v>242</v>
      </c>
      <c r="E4747">
        <v>-87</v>
      </c>
      <c r="F4747" s="5">
        <v>43862</v>
      </c>
      <c r="G4747">
        <v>-242</v>
      </c>
      <c r="H4747" t="s">
        <v>58</v>
      </c>
    </row>
    <row r="4748" spans="1:8" x14ac:dyDescent="0.3">
      <c r="A4748">
        <v>400</v>
      </c>
      <c r="B4748" s="5">
        <v>43882</v>
      </c>
      <c r="C4748" t="s">
        <v>11</v>
      </c>
      <c r="D4748">
        <v>395</v>
      </c>
      <c r="E4748">
        <v>-482</v>
      </c>
      <c r="F4748" s="5">
        <v>43862</v>
      </c>
      <c r="G4748">
        <v>-395</v>
      </c>
      <c r="H4748" t="s">
        <v>58</v>
      </c>
    </row>
    <row r="4749" spans="1:8" x14ac:dyDescent="0.3">
      <c r="A4749">
        <v>400</v>
      </c>
      <c r="B4749" s="5">
        <v>43887</v>
      </c>
      <c r="C4749" t="s">
        <v>10</v>
      </c>
      <c r="D4749">
        <v>73</v>
      </c>
      <c r="E4749">
        <v>-409</v>
      </c>
      <c r="F4749" s="5">
        <v>43862</v>
      </c>
      <c r="G4749">
        <v>73</v>
      </c>
      <c r="H4749" t="s">
        <v>58</v>
      </c>
    </row>
    <row r="4750" spans="1:8" x14ac:dyDescent="0.3">
      <c r="A4750">
        <v>400</v>
      </c>
      <c r="B4750" s="5">
        <v>43932</v>
      </c>
      <c r="C4750" t="s">
        <v>10</v>
      </c>
      <c r="D4750">
        <v>944</v>
      </c>
      <c r="E4750">
        <v>535</v>
      </c>
      <c r="F4750" s="5">
        <v>43922</v>
      </c>
      <c r="G4750">
        <v>944</v>
      </c>
      <c r="H4750" t="s">
        <v>57</v>
      </c>
    </row>
    <row r="4751" spans="1:8" x14ac:dyDescent="0.3">
      <c r="A4751">
        <v>400</v>
      </c>
      <c r="B4751" s="5">
        <v>43939</v>
      </c>
      <c r="C4751" t="s">
        <v>10</v>
      </c>
      <c r="D4751">
        <v>803</v>
      </c>
      <c r="E4751">
        <v>1338</v>
      </c>
      <c r="F4751" s="5">
        <v>43922</v>
      </c>
      <c r="G4751">
        <v>803</v>
      </c>
      <c r="H4751" t="s">
        <v>57</v>
      </c>
    </row>
    <row r="4752" spans="1:8" x14ac:dyDescent="0.3">
      <c r="A4752">
        <v>401</v>
      </c>
      <c r="B4752" s="5">
        <v>43833</v>
      </c>
      <c r="C4752" t="s">
        <v>10</v>
      </c>
      <c r="D4752">
        <v>956</v>
      </c>
      <c r="E4752">
        <v>956</v>
      </c>
      <c r="F4752" s="5">
        <v>43831</v>
      </c>
      <c r="G4752">
        <v>956</v>
      </c>
      <c r="H4752" t="s">
        <v>57</v>
      </c>
    </row>
    <row r="4753" spans="1:8" x14ac:dyDescent="0.3">
      <c r="A4753">
        <v>401</v>
      </c>
      <c r="B4753" s="5">
        <v>43851</v>
      </c>
      <c r="C4753" t="s">
        <v>12</v>
      </c>
      <c r="D4753">
        <v>854</v>
      </c>
      <c r="E4753">
        <v>102</v>
      </c>
      <c r="F4753" s="5">
        <v>43831</v>
      </c>
      <c r="G4753">
        <v>-854</v>
      </c>
      <c r="H4753" t="s">
        <v>57</v>
      </c>
    </row>
    <row r="4754" spans="1:8" x14ac:dyDescent="0.3">
      <c r="A4754">
        <v>401</v>
      </c>
      <c r="B4754" s="5">
        <v>43890</v>
      </c>
      <c r="C4754" t="s">
        <v>12</v>
      </c>
      <c r="D4754">
        <v>127</v>
      </c>
      <c r="E4754">
        <v>-25</v>
      </c>
      <c r="F4754" s="5">
        <v>43862</v>
      </c>
      <c r="G4754">
        <v>-127</v>
      </c>
      <c r="H4754" t="s">
        <v>58</v>
      </c>
    </row>
    <row r="4755" spans="1:8" x14ac:dyDescent="0.3">
      <c r="A4755">
        <v>401</v>
      </c>
      <c r="B4755" s="5">
        <v>43897</v>
      </c>
      <c r="C4755" t="s">
        <v>11</v>
      </c>
      <c r="D4755">
        <v>855</v>
      </c>
      <c r="E4755">
        <v>-880</v>
      </c>
      <c r="F4755" s="5">
        <v>43891</v>
      </c>
      <c r="G4755">
        <v>-855</v>
      </c>
      <c r="H4755" t="s">
        <v>58</v>
      </c>
    </row>
    <row r="4756" spans="1:8" x14ac:dyDescent="0.3">
      <c r="A4756">
        <v>401</v>
      </c>
      <c r="B4756" s="5">
        <v>43910</v>
      </c>
      <c r="C4756" t="s">
        <v>10</v>
      </c>
      <c r="D4756">
        <v>963</v>
      </c>
      <c r="E4756">
        <v>83</v>
      </c>
      <c r="F4756" s="5">
        <v>43891</v>
      </c>
      <c r="G4756">
        <v>963</v>
      </c>
      <c r="H4756" t="s">
        <v>57</v>
      </c>
    </row>
    <row r="4757" spans="1:8" x14ac:dyDescent="0.3">
      <c r="A4757">
        <v>402</v>
      </c>
      <c r="B4757" s="5">
        <v>43835</v>
      </c>
      <c r="C4757" t="s">
        <v>10</v>
      </c>
      <c r="D4757">
        <v>435</v>
      </c>
      <c r="E4757">
        <v>435</v>
      </c>
      <c r="F4757" s="5">
        <v>43831</v>
      </c>
      <c r="G4757">
        <v>435</v>
      </c>
      <c r="H4757" t="s">
        <v>57</v>
      </c>
    </row>
    <row r="4758" spans="1:8" x14ac:dyDescent="0.3">
      <c r="A4758">
        <v>402</v>
      </c>
      <c r="B4758" s="5">
        <v>43843</v>
      </c>
      <c r="C4758" t="s">
        <v>12</v>
      </c>
      <c r="D4758">
        <v>127</v>
      </c>
      <c r="E4758">
        <v>308</v>
      </c>
      <c r="F4758" s="5">
        <v>43831</v>
      </c>
      <c r="G4758">
        <v>-127</v>
      </c>
      <c r="H4758" t="s">
        <v>57</v>
      </c>
    </row>
    <row r="4759" spans="1:8" x14ac:dyDescent="0.3">
      <c r="A4759">
        <v>402</v>
      </c>
      <c r="B4759" s="5">
        <v>43849</v>
      </c>
      <c r="C4759" t="s">
        <v>10</v>
      </c>
      <c r="D4759">
        <v>805</v>
      </c>
      <c r="E4759">
        <v>1113</v>
      </c>
      <c r="F4759" s="5">
        <v>43831</v>
      </c>
      <c r="G4759">
        <v>805</v>
      </c>
      <c r="H4759" t="s">
        <v>57</v>
      </c>
    </row>
    <row r="4760" spans="1:8" x14ac:dyDescent="0.3">
      <c r="A4760">
        <v>402</v>
      </c>
      <c r="B4760" s="5">
        <v>43861</v>
      </c>
      <c r="C4760" t="s">
        <v>10</v>
      </c>
      <c r="D4760">
        <v>365</v>
      </c>
      <c r="E4760">
        <v>1478</v>
      </c>
      <c r="F4760" s="5">
        <v>43831</v>
      </c>
      <c r="G4760">
        <v>365</v>
      </c>
      <c r="H4760" t="s">
        <v>57</v>
      </c>
    </row>
    <row r="4761" spans="1:8" x14ac:dyDescent="0.3">
      <c r="A4761">
        <v>402</v>
      </c>
      <c r="B4761" s="5">
        <v>43871</v>
      </c>
      <c r="C4761" t="s">
        <v>10</v>
      </c>
      <c r="D4761">
        <v>166</v>
      </c>
      <c r="E4761">
        <v>1644</v>
      </c>
      <c r="F4761" s="5">
        <v>43862</v>
      </c>
      <c r="G4761">
        <v>166</v>
      </c>
      <c r="H4761" t="s">
        <v>57</v>
      </c>
    </row>
    <row r="4762" spans="1:8" x14ac:dyDescent="0.3">
      <c r="A4762">
        <v>402</v>
      </c>
      <c r="B4762" s="5">
        <v>43879</v>
      </c>
      <c r="C4762" t="s">
        <v>11</v>
      </c>
      <c r="D4762">
        <v>45</v>
      </c>
      <c r="E4762">
        <v>1599</v>
      </c>
      <c r="F4762" s="5">
        <v>43862</v>
      </c>
      <c r="G4762">
        <v>-45</v>
      </c>
      <c r="H4762" t="s">
        <v>57</v>
      </c>
    </row>
    <row r="4763" spans="1:8" x14ac:dyDescent="0.3">
      <c r="A4763">
        <v>402</v>
      </c>
      <c r="B4763" s="5">
        <v>43907</v>
      </c>
      <c r="C4763" t="s">
        <v>11</v>
      </c>
      <c r="D4763">
        <v>803</v>
      </c>
      <c r="E4763">
        <v>796</v>
      </c>
      <c r="F4763" s="5">
        <v>43891</v>
      </c>
      <c r="G4763">
        <v>-803</v>
      </c>
      <c r="H4763" t="s">
        <v>57</v>
      </c>
    </row>
    <row r="4764" spans="1:8" x14ac:dyDescent="0.3">
      <c r="A4764">
        <v>403</v>
      </c>
      <c r="B4764" s="5">
        <v>43843</v>
      </c>
      <c r="C4764" t="s">
        <v>10</v>
      </c>
      <c r="D4764">
        <v>232</v>
      </c>
      <c r="E4764">
        <v>232</v>
      </c>
      <c r="F4764" s="5">
        <v>43831</v>
      </c>
      <c r="G4764">
        <v>232</v>
      </c>
      <c r="H4764" t="s">
        <v>57</v>
      </c>
    </row>
    <row r="4765" spans="1:8" x14ac:dyDescent="0.3">
      <c r="A4765">
        <v>403</v>
      </c>
      <c r="B4765" s="5">
        <v>43854</v>
      </c>
      <c r="C4765" t="s">
        <v>12</v>
      </c>
      <c r="D4765">
        <v>60</v>
      </c>
      <c r="E4765">
        <v>172</v>
      </c>
      <c r="F4765" s="5">
        <v>43831</v>
      </c>
      <c r="G4765">
        <v>-60</v>
      </c>
      <c r="H4765" t="s">
        <v>57</v>
      </c>
    </row>
    <row r="4766" spans="1:8" x14ac:dyDescent="0.3">
      <c r="A4766">
        <v>403</v>
      </c>
      <c r="B4766" s="5">
        <v>43855</v>
      </c>
      <c r="C4766" t="s">
        <v>10</v>
      </c>
      <c r="D4766">
        <v>649</v>
      </c>
      <c r="E4766">
        <v>821</v>
      </c>
      <c r="F4766" s="5">
        <v>43831</v>
      </c>
      <c r="G4766">
        <v>649</v>
      </c>
      <c r="H4766" t="s">
        <v>57</v>
      </c>
    </row>
    <row r="4767" spans="1:8" x14ac:dyDescent="0.3">
      <c r="A4767">
        <v>403</v>
      </c>
      <c r="B4767" s="5">
        <v>43860</v>
      </c>
      <c r="C4767" t="s">
        <v>12</v>
      </c>
      <c r="D4767">
        <v>518</v>
      </c>
      <c r="E4767">
        <v>303</v>
      </c>
      <c r="F4767" s="5">
        <v>43831</v>
      </c>
      <c r="G4767">
        <v>-518</v>
      </c>
      <c r="H4767" t="s">
        <v>57</v>
      </c>
    </row>
    <row r="4768" spans="1:8" x14ac:dyDescent="0.3">
      <c r="A4768">
        <v>403</v>
      </c>
      <c r="B4768" s="5">
        <v>43893</v>
      </c>
      <c r="C4768" t="s">
        <v>11</v>
      </c>
      <c r="D4768">
        <v>81</v>
      </c>
      <c r="E4768">
        <v>222</v>
      </c>
      <c r="F4768" s="5">
        <v>43891</v>
      </c>
      <c r="G4768">
        <v>-81</v>
      </c>
      <c r="H4768" t="s">
        <v>57</v>
      </c>
    </row>
    <row r="4769" spans="1:8" x14ac:dyDescent="0.3">
      <c r="A4769">
        <v>403</v>
      </c>
      <c r="B4769" s="5">
        <v>43899</v>
      </c>
      <c r="C4769" t="s">
        <v>10</v>
      </c>
      <c r="D4769">
        <v>765</v>
      </c>
      <c r="E4769">
        <v>987</v>
      </c>
      <c r="F4769" s="5">
        <v>43891</v>
      </c>
      <c r="G4769">
        <v>765</v>
      </c>
      <c r="H4769" t="s">
        <v>57</v>
      </c>
    </row>
    <row r="4770" spans="1:8" x14ac:dyDescent="0.3">
      <c r="A4770">
        <v>403</v>
      </c>
      <c r="B4770" s="5">
        <v>43927</v>
      </c>
      <c r="C4770" t="s">
        <v>10</v>
      </c>
      <c r="D4770">
        <v>60</v>
      </c>
      <c r="E4770">
        <v>1047</v>
      </c>
      <c r="F4770" s="5">
        <v>43922</v>
      </c>
      <c r="G4770">
        <v>60</v>
      </c>
      <c r="H4770" t="s">
        <v>57</v>
      </c>
    </row>
    <row r="4771" spans="1:8" x14ac:dyDescent="0.3">
      <c r="A4771">
        <v>404</v>
      </c>
      <c r="B4771" s="5">
        <v>43832</v>
      </c>
      <c r="C4771" t="s">
        <v>10</v>
      </c>
      <c r="D4771">
        <v>724</v>
      </c>
      <c r="E4771">
        <v>724</v>
      </c>
      <c r="F4771" s="5">
        <v>43831</v>
      </c>
      <c r="G4771">
        <v>724</v>
      </c>
      <c r="H4771" t="s">
        <v>57</v>
      </c>
    </row>
    <row r="4772" spans="1:8" x14ac:dyDescent="0.3">
      <c r="A4772">
        <v>404</v>
      </c>
      <c r="B4772" s="5">
        <v>43832</v>
      </c>
      <c r="C4772" t="s">
        <v>12</v>
      </c>
      <c r="D4772">
        <v>636</v>
      </c>
      <c r="E4772">
        <v>88</v>
      </c>
      <c r="F4772" s="5">
        <v>43831</v>
      </c>
      <c r="G4772">
        <v>-636</v>
      </c>
      <c r="H4772" t="s">
        <v>57</v>
      </c>
    </row>
    <row r="4773" spans="1:8" x14ac:dyDescent="0.3">
      <c r="A4773">
        <v>404</v>
      </c>
      <c r="B4773" s="5">
        <v>43835</v>
      </c>
      <c r="C4773" t="s">
        <v>12</v>
      </c>
      <c r="D4773">
        <v>42</v>
      </c>
      <c r="E4773">
        <v>46</v>
      </c>
      <c r="F4773" s="5">
        <v>43831</v>
      </c>
      <c r="G4773">
        <v>-42</v>
      </c>
      <c r="H4773" t="s">
        <v>57</v>
      </c>
    </row>
    <row r="4774" spans="1:8" x14ac:dyDescent="0.3">
      <c r="A4774">
        <v>404</v>
      </c>
      <c r="B4774" s="5">
        <v>43837</v>
      </c>
      <c r="C4774" t="s">
        <v>12</v>
      </c>
      <c r="D4774">
        <v>137</v>
      </c>
      <c r="E4774">
        <v>-91</v>
      </c>
      <c r="F4774" s="5">
        <v>43831</v>
      </c>
      <c r="G4774">
        <v>-137</v>
      </c>
      <c r="H4774" t="s">
        <v>58</v>
      </c>
    </row>
    <row r="4775" spans="1:8" x14ac:dyDescent="0.3">
      <c r="A4775">
        <v>404</v>
      </c>
      <c r="B4775" s="5">
        <v>43839</v>
      </c>
      <c r="C4775" t="s">
        <v>10</v>
      </c>
      <c r="D4775">
        <v>229</v>
      </c>
      <c r="E4775">
        <v>138</v>
      </c>
      <c r="F4775" s="5">
        <v>43831</v>
      </c>
      <c r="G4775">
        <v>229</v>
      </c>
      <c r="H4775" t="s">
        <v>57</v>
      </c>
    </row>
    <row r="4776" spans="1:8" x14ac:dyDescent="0.3">
      <c r="A4776">
        <v>404</v>
      </c>
      <c r="B4776" s="5">
        <v>43846</v>
      </c>
      <c r="C4776" t="s">
        <v>11</v>
      </c>
      <c r="D4776">
        <v>592</v>
      </c>
      <c r="E4776">
        <v>-454</v>
      </c>
      <c r="F4776" s="5">
        <v>43831</v>
      </c>
      <c r="G4776">
        <v>-592</v>
      </c>
      <c r="H4776" t="s">
        <v>58</v>
      </c>
    </row>
    <row r="4777" spans="1:8" x14ac:dyDescent="0.3">
      <c r="A4777">
        <v>404</v>
      </c>
      <c r="B4777" s="5">
        <v>43846</v>
      </c>
      <c r="C4777" t="s">
        <v>10</v>
      </c>
      <c r="D4777">
        <v>933</v>
      </c>
      <c r="E4777">
        <v>479</v>
      </c>
      <c r="F4777" s="5">
        <v>43831</v>
      </c>
      <c r="G4777">
        <v>933</v>
      </c>
      <c r="H4777" t="s">
        <v>57</v>
      </c>
    </row>
    <row r="4778" spans="1:8" x14ac:dyDescent="0.3">
      <c r="A4778">
        <v>404</v>
      </c>
      <c r="B4778" s="5">
        <v>43847</v>
      </c>
      <c r="C4778" t="s">
        <v>11</v>
      </c>
      <c r="D4778">
        <v>190</v>
      </c>
      <c r="E4778">
        <v>289</v>
      </c>
      <c r="F4778" s="5">
        <v>43831</v>
      </c>
      <c r="G4778">
        <v>-190</v>
      </c>
      <c r="H4778" t="s">
        <v>57</v>
      </c>
    </row>
    <row r="4779" spans="1:8" x14ac:dyDescent="0.3">
      <c r="A4779">
        <v>404</v>
      </c>
      <c r="B4779" s="5">
        <v>43854</v>
      </c>
      <c r="C4779" t="s">
        <v>12</v>
      </c>
      <c r="D4779">
        <v>867</v>
      </c>
      <c r="E4779">
        <v>-578</v>
      </c>
      <c r="F4779" s="5">
        <v>43831</v>
      </c>
      <c r="G4779">
        <v>-867</v>
      </c>
      <c r="H4779" t="s">
        <v>58</v>
      </c>
    </row>
    <row r="4780" spans="1:8" x14ac:dyDescent="0.3">
      <c r="A4780">
        <v>404</v>
      </c>
      <c r="B4780" s="5">
        <v>43855</v>
      </c>
      <c r="C4780" t="s">
        <v>10</v>
      </c>
      <c r="D4780">
        <v>333</v>
      </c>
      <c r="E4780">
        <v>-245</v>
      </c>
      <c r="F4780" s="5">
        <v>43831</v>
      </c>
      <c r="G4780">
        <v>333</v>
      </c>
      <c r="H4780" t="s">
        <v>58</v>
      </c>
    </row>
    <row r="4781" spans="1:8" x14ac:dyDescent="0.3">
      <c r="A4781">
        <v>404</v>
      </c>
      <c r="B4781" s="5">
        <v>43866</v>
      </c>
      <c r="C4781" t="s">
        <v>12</v>
      </c>
      <c r="D4781">
        <v>44</v>
      </c>
      <c r="E4781">
        <v>-289</v>
      </c>
      <c r="F4781" s="5">
        <v>43862</v>
      </c>
      <c r="G4781">
        <v>-44</v>
      </c>
      <c r="H4781" t="s">
        <v>58</v>
      </c>
    </row>
    <row r="4782" spans="1:8" x14ac:dyDescent="0.3">
      <c r="A4782">
        <v>404</v>
      </c>
      <c r="B4782" s="5">
        <v>43867</v>
      </c>
      <c r="C4782" t="s">
        <v>10</v>
      </c>
      <c r="D4782">
        <v>329</v>
      </c>
      <c r="E4782">
        <v>40</v>
      </c>
      <c r="F4782" s="5">
        <v>43862</v>
      </c>
      <c r="G4782">
        <v>329</v>
      </c>
      <c r="H4782" t="s">
        <v>57</v>
      </c>
    </row>
    <row r="4783" spans="1:8" x14ac:dyDescent="0.3">
      <c r="A4783">
        <v>404</v>
      </c>
      <c r="B4783" s="5">
        <v>43873</v>
      </c>
      <c r="C4783" t="s">
        <v>10</v>
      </c>
      <c r="D4783">
        <v>981</v>
      </c>
      <c r="E4783">
        <v>1021</v>
      </c>
      <c r="F4783" s="5">
        <v>43862</v>
      </c>
      <c r="G4783">
        <v>981</v>
      </c>
      <c r="H4783" t="s">
        <v>57</v>
      </c>
    </row>
    <row r="4784" spans="1:8" x14ac:dyDescent="0.3">
      <c r="A4784">
        <v>404</v>
      </c>
      <c r="B4784" s="5">
        <v>43875</v>
      </c>
      <c r="C4784" t="s">
        <v>11</v>
      </c>
      <c r="D4784">
        <v>515</v>
      </c>
      <c r="E4784">
        <v>506</v>
      </c>
      <c r="F4784" s="5">
        <v>43862</v>
      </c>
      <c r="G4784">
        <v>-515</v>
      </c>
      <c r="H4784" t="s">
        <v>57</v>
      </c>
    </row>
    <row r="4785" spans="1:8" x14ac:dyDescent="0.3">
      <c r="A4785">
        <v>404</v>
      </c>
      <c r="B4785" s="5">
        <v>43888</v>
      </c>
      <c r="C4785" t="s">
        <v>11</v>
      </c>
      <c r="D4785">
        <v>853</v>
      </c>
      <c r="E4785">
        <v>-347</v>
      </c>
      <c r="F4785" s="5">
        <v>43862</v>
      </c>
      <c r="G4785">
        <v>-853</v>
      </c>
      <c r="H4785" t="s">
        <v>58</v>
      </c>
    </row>
    <row r="4786" spans="1:8" x14ac:dyDescent="0.3">
      <c r="A4786">
        <v>404</v>
      </c>
      <c r="B4786" s="5">
        <v>43898</v>
      </c>
      <c r="C4786" t="s">
        <v>10</v>
      </c>
      <c r="D4786">
        <v>41</v>
      </c>
      <c r="E4786">
        <v>-306</v>
      </c>
      <c r="F4786" s="5">
        <v>43891</v>
      </c>
      <c r="G4786">
        <v>41</v>
      </c>
      <c r="H4786" t="s">
        <v>58</v>
      </c>
    </row>
    <row r="4787" spans="1:8" x14ac:dyDescent="0.3">
      <c r="A4787">
        <v>404</v>
      </c>
      <c r="B4787" s="5">
        <v>43901</v>
      </c>
      <c r="C4787" t="s">
        <v>12</v>
      </c>
      <c r="D4787">
        <v>351</v>
      </c>
      <c r="E4787">
        <v>-657</v>
      </c>
      <c r="F4787" s="5">
        <v>43891</v>
      </c>
      <c r="G4787">
        <v>-351</v>
      </c>
      <c r="H4787" t="s">
        <v>58</v>
      </c>
    </row>
    <row r="4788" spans="1:8" x14ac:dyDescent="0.3">
      <c r="A4788">
        <v>404</v>
      </c>
      <c r="B4788" s="5">
        <v>43906</v>
      </c>
      <c r="C4788" t="s">
        <v>11</v>
      </c>
      <c r="D4788">
        <v>563</v>
      </c>
      <c r="E4788">
        <v>-1220</v>
      </c>
      <c r="F4788" s="5">
        <v>43891</v>
      </c>
      <c r="G4788">
        <v>-563</v>
      </c>
      <c r="H4788" t="s">
        <v>58</v>
      </c>
    </row>
    <row r="4789" spans="1:8" x14ac:dyDescent="0.3">
      <c r="A4789">
        <v>404</v>
      </c>
      <c r="B4789" s="5">
        <v>43913</v>
      </c>
      <c r="C4789" t="s">
        <v>11</v>
      </c>
      <c r="D4789">
        <v>720</v>
      </c>
      <c r="E4789">
        <v>-1940</v>
      </c>
      <c r="F4789" s="5">
        <v>43891</v>
      </c>
      <c r="G4789">
        <v>-720</v>
      </c>
      <c r="H4789" t="s">
        <v>58</v>
      </c>
    </row>
    <row r="4790" spans="1:8" x14ac:dyDescent="0.3">
      <c r="A4790">
        <v>404</v>
      </c>
      <c r="B4790" s="5">
        <v>43917</v>
      </c>
      <c r="C4790" t="s">
        <v>10</v>
      </c>
      <c r="D4790">
        <v>364</v>
      </c>
      <c r="E4790">
        <v>-1576</v>
      </c>
      <c r="F4790" s="5">
        <v>43891</v>
      </c>
      <c r="G4790">
        <v>364</v>
      </c>
      <c r="H4790" t="s">
        <v>58</v>
      </c>
    </row>
    <row r="4791" spans="1:8" x14ac:dyDescent="0.3">
      <c r="A4791">
        <v>404</v>
      </c>
      <c r="B4791" s="5">
        <v>43921</v>
      </c>
      <c r="C4791" t="s">
        <v>11</v>
      </c>
      <c r="D4791">
        <v>908</v>
      </c>
      <c r="E4791">
        <v>-2484</v>
      </c>
      <c r="F4791" s="5">
        <v>43891</v>
      </c>
      <c r="G4791">
        <v>-908</v>
      </c>
      <c r="H4791" t="s">
        <v>58</v>
      </c>
    </row>
    <row r="4792" spans="1:8" x14ac:dyDescent="0.3">
      <c r="A4792">
        <v>405</v>
      </c>
      <c r="B4792" s="5">
        <v>43834</v>
      </c>
      <c r="C4792" t="s">
        <v>10</v>
      </c>
      <c r="D4792">
        <v>413</v>
      </c>
      <c r="E4792">
        <v>413</v>
      </c>
      <c r="F4792" s="5">
        <v>43831</v>
      </c>
      <c r="G4792">
        <v>413</v>
      </c>
      <c r="H4792" t="s">
        <v>57</v>
      </c>
    </row>
    <row r="4793" spans="1:8" x14ac:dyDescent="0.3">
      <c r="A4793">
        <v>405</v>
      </c>
      <c r="B4793" s="5">
        <v>43842</v>
      </c>
      <c r="C4793" t="s">
        <v>12</v>
      </c>
      <c r="D4793">
        <v>975</v>
      </c>
      <c r="E4793">
        <v>-562</v>
      </c>
      <c r="F4793" s="5">
        <v>43831</v>
      </c>
      <c r="G4793">
        <v>-975</v>
      </c>
      <c r="H4793" t="s">
        <v>58</v>
      </c>
    </row>
    <row r="4794" spans="1:8" x14ac:dyDescent="0.3">
      <c r="A4794">
        <v>405</v>
      </c>
      <c r="B4794" s="5">
        <v>43843</v>
      </c>
      <c r="C4794" t="s">
        <v>11</v>
      </c>
      <c r="D4794">
        <v>209</v>
      </c>
      <c r="E4794">
        <v>-771</v>
      </c>
      <c r="F4794" s="5">
        <v>43831</v>
      </c>
      <c r="G4794">
        <v>-209</v>
      </c>
      <c r="H4794" t="s">
        <v>58</v>
      </c>
    </row>
    <row r="4795" spans="1:8" x14ac:dyDescent="0.3">
      <c r="A4795">
        <v>405</v>
      </c>
      <c r="B4795" s="5">
        <v>43844</v>
      </c>
      <c r="C4795" t="s">
        <v>10</v>
      </c>
      <c r="D4795">
        <v>480</v>
      </c>
      <c r="E4795">
        <v>-291</v>
      </c>
      <c r="F4795" s="5">
        <v>43831</v>
      </c>
      <c r="G4795">
        <v>480</v>
      </c>
      <c r="H4795" t="s">
        <v>58</v>
      </c>
    </row>
    <row r="4796" spans="1:8" x14ac:dyDescent="0.3">
      <c r="A4796">
        <v>405</v>
      </c>
      <c r="B4796" s="5">
        <v>43847</v>
      </c>
      <c r="C4796" t="s">
        <v>11</v>
      </c>
      <c r="D4796">
        <v>492</v>
      </c>
      <c r="E4796">
        <v>-783</v>
      </c>
      <c r="F4796" s="5">
        <v>43831</v>
      </c>
      <c r="G4796">
        <v>-492</v>
      </c>
      <c r="H4796" t="s">
        <v>58</v>
      </c>
    </row>
    <row r="4797" spans="1:8" x14ac:dyDescent="0.3">
      <c r="A4797">
        <v>405</v>
      </c>
      <c r="B4797" s="5">
        <v>43847</v>
      </c>
      <c r="C4797" t="s">
        <v>11</v>
      </c>
      <c r="D4797">
        <v>754</v>
      </c>
      <c r="E4797">
        <v>-1537</v>
      </c>
      <c r="F4797" s="5">
        <v>43831</v>
      </c>
      <c r="G4797">
        <v>-754</v>
      </c>
      <c r="H4797" t="s">
        <v>58</v>
      </c>
    </row>
    <row r="4798" spans="1:8" x14ac:dyDescent="0.3">
      <c r="A4798">
        <v>405</v>
      </c>
      <c r="B4798" s="5">
        <v>43850</v>
      </c>
      <c r="C4798" t="s">
        <v>11</v>
      </c>
      <c r="D4798">
        <v>458</v>
      </c>
      <c r="E4798">
        <v>-1995</v>
      </c>
      <c r="F4798" s="5">
        <v>43831</v>
      </c>
      <c r="G4798">
        <v>-458</v>
      </c>
      <c r="H4798" t="s">
        <v>58</v>
      </c>
    </row>
    <row r="4799" spans="1:8" x14ac:dyDescent="0.3">
      <c r="A4799">
        <v>405</v>
      </c>
      <c r="B4799" s="5">
        <v>43859</v>
      </c>
      <c r="C4799" t="s">
        <v>11</v>
      </c>
      <c r="D4799">
        <v>902</v>
      </c>
      <c r="E4799">
        <v>-2897</v>
      </c>
      <c r="F4799" s="5">
        <v>43831</v>
      </c>
      <c r="G4799">
        <v>-902</v>
      </c>
      <c r="H4799" t="s">
        <v>58</v>
      </c>
    </row>
    <row r="4800" spans="1:8" x14ac:dyDescent="0.3">
      <c r="A4800">
        <v>405</v>
      </c>
      <c r="B4800" s="5">
        <v>43862</v>
      </c>
      <c r="C4800" t="s">
        <v>11</v>
      </c>
      <c r="D4800">
        <v>593</v>
      </c>
      <c r="E4800">
        <v>-3490</v>
      </c>
      <c r="F4800" s="5">
        <v>43862</v>
      </c>
      <c r="G4800">
        <v>-593</v>
      </c>
      <c r="H4800" t="s">
        <v>58</v>
      </c>
    </row>
    <row r="4801" spans="1:8" x14ac:dyDescent="0.3">
      <c r="A4801">
        <v>405</v>
      </c>
      <c r="B4801" s="5">
        <v>43868</v>
      </c>
      <c r="C4801" t="s">
        <v>11</v>
      </c>
      <c r="D4801">
        <v>438</v>
      </c>
      <c r="E4801">
        <v>-3928</v>
      </c>
      <c r="F4801" s="5">
        <v>43862</v>
      </c>
      <c r="G4801">
        <v>-438</v>
      </c>
      <c r="H4801" t="s">
        <v>58</v>
      </c>
    </row>
    <row r="4802" spans="1:8" x14ac:dyDescent="0.3">
      <c r="A4802">
        <v>405</v>
      </c>
      <c r="B4802" s="5">
        <v>43880</v>
      </c>
      <c r="C4802" t="s">
        <v>12</v>
      </c>
      <c r="D4802">
        <v>742</v>
      </c>
      <c r="E4802">
        <v>-4670</v>
      </c>
      <c r="F4802" s="5">
        <v>43862</v>
      </c>
      <c r="G4802">
        <v>-742</v>
      </c>
      <c r="H4802" t="s">
        <v>58</v>
      </c>
    </row>
    <row r="4803" spans="1:8" x14ac:dyDescent="0.3">
      <c r="A4803">
        <v>405</v>
      </c>
      <c r="B4803" s="5">
        <v>43886</v>
      </c>
      <c r="C4803" t="s">
        <v>10</v>
      </c>
      <c r="D4803">
        <v>545</v>
      </c>
      <c r="E4803">
        <v>-4125</v>
      </c>
      <c r="F4803" s="5">
        <v>43862</v>
      </c>
      <c r="G4803">
        <v>545</v>
      </c>
      <c r="H4803" t="s">
        <v>58</v>
      </c>
    </row>
    <row r="4804" spans="1:8" x14ac:dyDescent="0.3">
      <c r="A4804">
        <v>405</v>
      </c>
      <c r="B4804" s="5">
        <v>43897</v>
      </c>
      <c r="C4804" t="s">
        <v>10</v>
      </c>
      <c r="D4804">
        <v>702</v>
      </c>
      <c r="E4804">
        <v>-3423</v>
      </c>
      <c r="F4804" s="5">
        <v>43891</v>
      </c>
      <c r="G4804">
        <v>702</v>
      </c>
      <c r="H4804" t="s">
        <v>58</v>
      </c>
    </row>
    <row r="4805" spans="1:8" x14ac:dyDescent="0.3">
      <c r="A4805">
        <v>405</v>
      </c>
      <c r="B4805" s="5">
        <v>43900</v>
      </c>
      <c r="C4805" t="s">
        <v>11</v>
      </c>
      <c r="D4805">
        <v>456</v>
      </c>
      <c r="E4805">
        <v>-3879</v>
      </c>
      <c r="F4805" s="5">
        <v>43891</v>
      </c>
      <c r="G4805">
        <v>-456</v>
      </c>
      <c r="H4805" t="s">
        <v>58</v>
      </c>
    </row>
    <row r="4806" spans="1:8" x14ac:dyDescent="0.3">
      <c r="A4806">
        <v>405</v>
      </c>
      <c r="B4806" s="5">
        <v>43903</v>
      </c>
      <c r="C4806" t="s">
        <v>11</v>
      </c>
      <c r="D4806">
        <v>984</v>
      </c>
      <c r="E4806">
        <v>-4863</v>
      </c>
      <c r="F4806" s="5">
        <v>43891</v>
      </c>
      <c r="G4806">
        <v>-984</v>
      </c>
      <c r="H4806" t="s">
        <v>58</v>
      </c>
    </row>
    <row r="4807" spans="1:8" x14ac:dyDescent="0.3">
      <c r="A4807">
        <v>405</v>
      </c>
      <c r="B4807" s="5">
        <v>43904</v>
      </c>
      <c r="C4807" t="s">
        <v>10</v>
      </c>
      <c r="D4807">
        <v>38</v>
      </c>
      <c r="E4807">
        <v>-4825</v>
      </c>
      <c r="F4807" s="5">
        <v>43891</v>
      </c>
      <c r="G4807">
        <v>38</v>
      </c>
      <c r="H4807" t="s">
        <v>58</v>
      </c>
    </row>
    <row r="4808" spans="1:8" x14ac:dyDescent="0.3">
      <c r="A4808">
        <v>405</v>
      </c>
      <c r="B4808" s="5">
        <v>43908</v>
      </c>
      <c r="C4808" t="s">
        <v>12</v>
      </c>
      <c r="D4808">
        <v>671</v>
      </c>
      <c r="E4808">
        <v>-5496</v>
      </c>
      <c r="F4808" s="5">
        <v>43891</v>
      </c>
      <c r="G4808">
        <v>-671</v>
      </c>
      <c r="H4808" t="s">
        <v>58</v>
      </c>
    </row>
    <row r="4809" spans="1:8" x14ac:dyDescent="0.3">
      <c r="A4809">
        <v>405</v>
      </c>
      <c r="B4809" s="5">
        <v>43917</v>
      </c>
      <c r="C4809" t="s">
        <v>11</v>
      </c>
      <c r="D4809">
        <v>171</v>
      </c>
      <c r="E4809">
        <v>-5667</v>
      </c>
      <c r="F4809" s="5">
        <v>43891</v>
      </c>
      <c r="G4809">
        <v>-171</v>
      </c>
      <c r="H4809" t="s">
        <v>58</v>
      </c>
    </row>
    <row r="4810" spans="1:8" x14ac:dyDescent="0.3">
      <c r="A4810">
        <v>405</v>
      </c>
      <c r="B4810" s="5">
        <v>43920</v>
      </c>
      <c r="C4810" t="s">
        <v>12</v>
      </c>
      <c r="D4810">
        <v>836</v>
      </c>
      <c r="E4810">
        <v>-6503</v>
      </c>
      <c r="F4810" s="5">
        <v>43891</v>
      </c>
      <c r="G4810">
        <v>-836</v>
      </c>
      <c r="H4810" t="s">
        <v>58</v>
      </c>
    </row>
    <row r="4811" spans="1:8" x14ac:dyDescent="0.3">
      <c r="A4811">
        <v>405</v>
      </c>
      <c r="B4811" s="5">
        <v>43921</v>
      </c>
      <c r="C4811" t="s">
        <v>12</v>
      </c>
      <c r="D4811">
        <v>379</v>
      </c>
      <c r="E4811">
        <v>-6882</v>
      </c>
      <c r="F4811" s="5">
        <v>43891</v>
      </c>
      <c r="G4811">
        <v>-379</v>
      </c>
      <c r="H4811" t="s">
        <v>58</v>
      </c>
    </row>
    <row r="4812" spans="1:8" x14ac:dyDescent="0.3">
      <c r="A4812">
        <v>405</v>
      </c>
      <c r="B4812" s="5">
        <v>43923</v>
      </c>
      <c r="C4812" t="s">
        <v>11</v>
      </c>
      <c r="D4812">
        <v>188</v>
      </c>
      <c r="E4812">
        <v>-7070</v>
      </c>
      <c r="F4812" s="5">
        <v>43922</v>
      </c>
      <c r="G4812">
        <v>-188</v>
      </c>
      <c r="H4812" t="s">
        <v>58</v>
      </c>
    </row>
    <row r="4813" spans="1:8" x14ac:dyDescent="0.3">
      <c r="A4813">
        <v>406</v>
      </c>
      <c r="B4813" s="5">
        <v>43856</v>
      </c>
      <c r="C4813" t="s">
        <v>10</v>
      </c>
      <c r="D4813">
        <v>795</v>
      </c>
      <c r="E4813">
        <v>795</v>
      </c>
      <c r="F4813" s="5">
        <v>43831</v>
      </c>
      <c r="G4813">
        <v>795</v>
      </c>
      <c r="H4813" t="s">
        <v>57</v>
      </c>
    </row>
    <row r="4814" spans="1:8" x14ac:dyDescent="0.3">
      <c r="A4814">
        <v>406</v>
      </c>
      <c r="B4814" s="5">
        <v>43862</v>
      </c>
      <c r="C4814" t="s">
        <v>10</v>
      </c>
      <c r="D4814">
        <v>829</v>
      </c>
      <c r="E4814">
        <v>1624</v>
      </c>
      <c r="F4814" s="5">
        <v>43862</v>
      </c>
      <c r="G4814">
        <v>829</v>
      </c>
      <c r="H4814" t="s">
        <v>57</v>
      </c>
    </row>
    <row r="4815" spans="1:8" x14ac:dyDescent="0.3">
      <c r="A4815">
        <v>406</v>
      </c>
      <c r="B4815" s="5">
        <v>43873</v>
      </c>
      <c r="C4815" t="s">
        <v>12</v>
      </c>
      <c r="D4815">
        <v>424</v>
      </c>
      <c r="E4815">
        <v>1200</v>
      </c>
      <c r="F4815" s="5">
        <v>43862</v>
      </c>
      <c r="G4815">
        <v>-424</v>
      </c>
      <c r="H4815" t="s">
        <v>57</v>
      </c>
    </row>
    <row r="4816" spans="1:8" x14ac:dyDescent="0.3">
      <c r="A4816">
        <v>406</v>
      </c>
      <c r="B4816" s="5">
        <v>43876</v>
      </c>
      <c r="C4816" t="s">
        <v>12</v>
      </c>
      <c r="D4816">
        <v>69</v>
      </c>
      <c r="E4816">
        <v>1131</v>
      </c>
      <c r="F4816" s="5">
        <v>43862</v>
      </c>
      <c r="G4816">
        <v>-69</v>
      </c>
      <c r="H4816" t="s">
        <v>57</v>
      </c>
    </row>
    <row r="4817" spans="1:8" x14ac:dyDescent="0.3">
      <c r="A4817">
        <v>406</v>
      </c>
      <c r="B4817" s="5">
        <v>43892</v>
      </c>
      <c r="C4817" t="s">
        <v>10</v>
      </c>
      <c r="D4817">
        <v>177</v>
      </c>
      <c r="E4817">
        <v>1308</v>
      </c>
      <c r="F4817" s="5">
        <v>43891</v>
      </c>
      <c r="G4817">
        <v>177</v>
      </c>
      <c r="H4817" t="s">
        <v>57</v>
      </c>
    </row>
    <row r="4818" spans="1:8" x14ac:dyDescent="0.3">
      <c r="A4818">
        <v>406</v>
      </c>
      <c r="B4818" s="5">
        <v>43893</v>
      </c>
      <c r="C4818" t="s">
        <v>10</v>
      </c>
      <c r="D4818">
        <v>337</v>
      </c>
      <c r="E4818">
        <v>1645</v>
      </c>
      <c r="F4818" s="5">
        <v>43891</v>
      </c>
      <c r="G4818">
        <v>337</v>
      </c>
      <c r="H4818" t="s">
        <v>57</v>
      </c>
    </row>
    <row r="4819" spans="1:8" x14ac:dyDescent="0.3">
      <c r="A4819">
        <v>406</v>
      </c>
      <c r="B4819" s="5">
        <v>43894</v>
      </c>
      <c r="C4819" t="s">
        <v>10</v>
      </c>
      <c r="D4819">
        <v>51</v>
      </c>
      <c r="E4819">
        <v>1696</v>
      </c>
      <c r="F4819" s="5">
        <v>43891</v>
      </c>
      <c r="G4819">
        <v>51</v>
      </c>
      <c r="H4819" t="s">
        <v>57</v>
      </c>
    </row>
    <row r="4820" spans="1:8" x14ac:dyDescent="0.3">
      <c r="A4820">
        <v>406</v>
      </c>
      <c r="B4820" s="5">
        <v>43899</v>
      </c>
      <c r="C4820" t="s">
        <v>10</v>
      </c>
      <c r="D4820">
        <v>385</v>
      </c>
      <c r="E4820">
        <v>2081</v>
      </c>
      <c r="F4820" s="5">
        <v>43891</v>
      </c>
      <c r="G4820">
        <v>385</v>
      </c>
      <c r="H4820" t="s">
        <v>57</v>
      </c>
    </row>
    <row r="4821" spans="1:8" x14ac:dyDescent="0.3">
      <c r="A4821">
        <v>406</v>
      </c>
      <c r="B4821" s="5">
        <v>43902</v>
      </c>
      <c r="C4821" t="s">
        <v>12</v>
      </c>
      <c r="D4821">
        <v>114</v>
      </c>
      <c r="E4821">
        <v>1967</v>
      </c>
      <c r="F4821" s="5">
        <v>43891</v>
      </c>
      <c r="G4821">
        <v>-114</v>
      </c>
      <c r="H4821" t="s">
        <v>57</v>
      </c>
    </row>
    <row r="4822" spans="1:8" x14ac:dyDescent="0.3">
      <c r="A4822">
        <v>406</v>
      </c>
      <c r="B4822" s="5">
        <v>43914</v>
      </c>
      <c r="C4822" t="s">
        <v>10</v>
      </c>
      <c r="D4822">
        <v>394</v>
      </c>
      <c r="E4822">
        <v>2361</v>
      </c>
      <c r="F4822" s="5">
        <v>43891</v>
      </c>
      <c r="G4822">
        <v>394</v>
      </c>
      <c r="H4822" t="s">
        <v>57</v>
      </c>
    </row>
    <row r="4823" spans="1:8" x14ac:dyDescent="0.3">
      <c r="A4823">
        <v>406</v>
      </c>
      <c r="B4823" s="5">
        <v>43918</v>
      </c>
      <c r="C4823" t="s">
        <v>10</v>
      </c>
      <c r="D4823">
        <v>236</v>
      </c>
      <c r="E4823">
        <v>2597</v>
      </c>
      <c r="F4823" s="5">
        <v>43891</v>
      </c>
      <c r="G4823">
        <v>236</v>
      </c>
      <c r="H4823" t="s">
        <v>57</v>
      </c>
    </row>
    <row r="4824" spans="1:8" x14ac:dyDescent="0.3">
      <c r="A4824">
        <v>406</v>
      </c>
      <c r="B4824" s="5">
        <v>43924</v>
      </c>
      <c r="C4824" t="s">
        <v>12</v>
      </c>
      <c r="D4824">
        <v>262</v>
      </c>
      <c r="E4824">
        <v>2335</v>
      </c>
      <c r="F4824" s="5">
        <v>43922</v>
      </c>
      <c r="G4824">
        <v>-262</v>
      </c>
      <c r="H4824" t="s">
        <v>57</v>
      </c>
    </row>
    <row r="4825" spans="1:8" x14ac:dyDescent="0.3">
      <c r="A4825">
        <v>406</v>
      </c>
      <c r="B4825" s="5">
        <v>43925</v>
      </c>
      <c r="C4825" t="s">
        <v>12</v>
      </c>
      <c r="D4825">
        <v>606</v>
      </c>
      <c r="E4825">
        <v>1729</v>
      </c>
      <c r="F4825" s="5">
        <v>43922</v>
      </c>
      <c r="G4825">
        <v>-606</v>
      </c>
      <c r="H4825" t="s">
        <v>57</v>
      </c>
    </row>
    <row r="4826" spans="1:8" x14ac:dyDescent="0.3">
      <c r="A4826">
        <v>406</v>
      </c>
      <c r="B4826" s="5">
        <v>43927</v>
      </c>
      <c r="C4826" t="s">
        <v>10</v>
      </c>
      <c r="D4826">
        <v>892</v>
      </c>
      <c r="E4826">
        <v>2621</v>
      </c>
      <c r="F4826" s="5">
        <v>43922</v>
      </c>
      <c r="G4826">
        <v>892</v>
      </c>
      <c r="H4826" t="s">
        <v>57</v>
      </c>
    </row>
    <row r="4827" spans="1:8" x14ac:dyDescent="0.3">
      <c r="A4827">
        <v>406</v>
      </c>
      <c r="B4827" s="5">
        <v>43931</v>
      </c>
      <c r="C4827" t="s">
        <v>12</v>
      </c>
      <c r="D4827">
        <v>342</v>
      </c>
      <c r="E4827">
        <v>2279</v>
      </c>
      <c r="F4827" s="5">
        <v>43922</v>
      </c>
      <c r="G4827">
        <v>-342</v>
      </c>
      <c r="H4827" t="s">
        <v>57</v>
      </c>
    </row>
    <row r="4828" spans="1:8" x14ac:dyDescent="0.3">
      <c r="A4828">
        <v>407</v>
      </c>
      <c r="B4828" s="5">
        <v>43844</v>
      </c>
      <c r="C4828" t="s">
        <v>10</v>
      </c>
      <c r="D4828">
        <v>804</v>
      </c>
      <c r="E4828">
        <v>804</v>
      </c>
      <c r="F4828" s="5">
        <v>43831</v>
      </c>
      <c r="G4828">
        <v>804</v>
      </c>
      <c r="H4828" t="s">
        <v>57</v>
      </c>
    </row>
    <row r="4829" spans="1:8" x14ac:dyDescent="0.3">
      <c r="A4829">
        <v>407</v>
      </c>
      <c r="B4829" s="5">
        <v>43853</v>
      </c>
      <c r="C4829" t="s">
        <v>12</v>
      </c>
      <c r="D4829">
        <v>821</v>
      </c>
      <c r="E4829">
        <v>-17</v>
      </c>
      <c r="F4829" s="5">
        <v>43831</v>
      </c>
      <c r="G4829">
        <v>-821</v>
      </c>
      <c r="H4829" t="s">
        <v>58</v>
      </c>
    </row>
    <row r="4830" spans="1:8" x14ac:dyDescent="0.3">
      <c r="A4830">
        <v>407</v>
      </c>
      <c r="B4830" s="5">
        <v>43855</v>
      </c>
      <c r="C4830" t="s">
        <v>10</v>
      </c>
      <c r="D4830">
        <v>24</v>
      </c>
      <c r="E4830">
        <v>7</v>
      </c>
      <c r="F4830" s="5">
        <v>43831</v>
      </c>
      <c r="G4830">
        <v>24</v>
      </c>
      <c r="H4830" t="s">
        <v>57</v>
      </c>
    </row>
    <row r="4831" spans="1:8" x14ac:dyDescent="0.3">
      <c r="A4831">
        <v>407</v>
      </c>
      <c r="B4831" s="5">
        <v>43865</v>
      </c>
      <c r="C4831" t="s">
        <v>10</v>
      </c>
      <c r="D4831">
        <v>643</v>
      </c>
      <c r="E4831">
        <v>650</v>
      </c>
      <c r="F4831" s="5">
        <v>43862</v>
      </c>
      <c r="G4831">
        <v>643</v>
      </c>
      <c r="H4831" t="s">
        <v>57</v>
      </c>
    </row>
    <row r="4832" spans="1:8" x14ac:dyDescent="0.3">
      <c r="A4832">
        <v>407</v>
      </c>
      <c r="B4832" s="5">
        <v>43866</v>
      </c>
      <c r="C4832" t="s">
        <v>11</v>
      </c>
      <c r="D4832">
        <v>604</v>
      </c>
      <c r="E4832">
        <v>46</v>
      </c>
      <c r="F4832" s="5">
        <v>43862</v>
      </c>
      <c r="G4832">
        <v>-604</v>
      </c>
      <c r="H4832" t="s">
        <v>57</v>
      </c>
    </row>
    <row r="4833" spans="1:8" x14ac:dyDescent="0.3">
      <c r="A4833">
        <v>407</v>
      </c>
      <c r="B4833" s="5">
        <v>43906</v>
      </c>
      <c r="C4833" t="s">
        <v>12</v>
      </c>
      <c r="D4833">
        <v>946</v>
      </c>
      <c r="E4833">
        <v>-900</v>
      </c>
      <c r="F4833" s="5">
        <v>43891</v>
      </c>
      <c r="G4833">
        <v>-946</v>
      </c>
      <c r="H4833" t="s">
        <v>58</v>
      </c>
    </row>
    <row r="4834" spans="1:8" x14ac:dyDescent="0.3">
      <c r="A4834">
        <v>407</v>
      </c>
      <c r="B4834" s="5">
        <v>43922</v>
      </c>
      <c r="C4834" t="s">
        <v>11</v>
      </c>
      <c r="D4834">
        <v>999</v>
      </c>
      <c r="E4834">
        <v>-1899</v>
      </c>
      <c r="F4834" s="5">
        <v>43922</v>
      </c>
      <c r="G4834">
        <v>-999</v>
      </c>
      <c r="H4834" t="s">
        <v>58</v>
      </c>
    </row>
    <row r="4835" spans="1:8" x14ac:dyDescent="0.3">
      <c r="A4835">
        <v>407</v>
      </c>
      <c r="B4835" s="5">
        <v>43924</v>
      </c>
      <c r="C4835" t="s">
        <v>11</v>
      </c>
      <c r="D4835">
        <v>969</v>
      </c>
      <c r="E4835">
        <v>-2868</v>
      </c>
      <c r="F4835" s="5">
        <v>43922</v>
      </c>
      <c r="G4835">
        <v>-969</v>
      </c>
      <c r="H4835" t="s">
        <v>58</v>
      </c>
    </row>
    <row r="4836" spans="1:8" x14ac:dyDescent="0.3">
      <c r="A4836">
        <v>407</v>
      </c>
      <c r="B4836" s="5">
        <v>43925</v>
      </c>
      <c r="C4836" t="s">
        <v>11</v>
      </c>
      <c r="D4836">
        <v>407</v>
      </c>
      <c r="E4836">
        <v>-3275</v>
      </c>
      <c r="F4836" s="5">
        <v>43922</v>
      </c>
      <c r="G4836">
        <v>-407</v>
      </c>
      <c r="H4836" t="s">
        <v>58</v>
      </c>
    </row>
    <row r="4837" spans="1:8" x14ac:dyDescent="0.3">
      <c r="A4837">
        <v>408</v>
      </c>
      <c r="B4837" s="5">
        <v>43851</v>
      </c>
      <c r="C4837" t="s">
        <v>10</v>
      </c>
      <c r="D4837">
        <v>514</v>
      </c>
      <c r="E4837">
        <v>514</v>
      </c>
      <c r="F4837" s="5">
        <v>43831</v>
      </c>
      <c r="G4837">
        <v>514</v>
      </c>
      <c r="H4837" t="s">
        <v>57</v>
      </c>
    </row>
    <row r="4838" spans="1:8" x14ac:dyDescent="0.3">
      <c r="A4838">
        <v>408</v>
      </c>
      <c r="B4838" s="5">
        <v>43860</v>
      </c>
      <c r="C4838" t="s">
        <v>12</v>
      </c>
      <c r="D4838">
        <v>659</v>
      </c>
      <c r="E4838">
        <v>-145</v>
      </c>
      <c r="F4838" s="5">
        <v>43831</v>
      </c>
      <c r="G4838">
        <v>-659</v>
      </c>
      <c r="H4838" t="s">
        <v>58</v>
      </c>
    </row>
    <row r="4839" spans="1:8" x14ac:dyDescent="0.3">
      <c r="A4839">
        <v>408</v>
      </c>
      <c r="B4839" s="5">
        <v>43899</v>
      </c>
      <c r="C4839" t="s">
        <v>10</v>
      </c>
      <c r="D4839">
        <v>945</v>
      </c>
      <c r="E4839">
        <v>800</v>
      </c>
      <c r="F4839" s="5">
        <v>43891</v>
      </c>
      <c r="G4839">
        <v>945</v>
      </c>
      <c r="H4839" t="s">
        <v>57</v>
      </c>
    </row>
    <row r="4840" spans="1:8" x14ac:dyDescent="0.3">
      <c r="A4840">
        <v>408</v>
      </c>
      <c r="B4840" s="5">
        <v>43935</v>
      </c>
      <c r="C4840" t="s">
        <v>11</v>
      </c>
      <c r="D4840">
        <v>932</v>
      </c>
      <c r="E4840">
        <v>-132</v>
      </c>
      <c r="F4840" s="5">
        <v>43922</v>
      </c>
      <c r="G4840">
        <v>-932</v>
      </c>
      <c r="H4840" t="s">
        <v>58</v>
      </c>
    </row>
    <row r="4841" spans="1:8" x14ac:dyDescent="0.3">
      <c r="A4841">
        <v>409</v>
      </c>
      <c r="B4841" s="5">
        <v>43852</v>
      </c>
      <c r="C4841" t="s">
        <v>10</v>
      </c>
      <c r="D4841">
        <v>155</v>
      </c>
      <c r="E4841">
        <v>155</v>
      </c>
      <c r="F4841" s="5">
        <v>43831</v>
      </c>
      <c r="G4841">
        <v>155</v>
      </c>
      <c r="H4841" t="s">
        <v>57</v>
      </c>
    </row>
    <row r="4842" spans="1:8" x14ac:dyDescent="0.3">
      <c r="A4842">
        <v>409</v>
      </c>
      <c r="B4842" s="5">
        <v>43872</v>
      </c>
      <c r="C4842" t="s">
        <v>10</v>
      </c>
      <c r="D4842">
        <v>713</v>
      </c>
      <c r="E4842">
        <v>868</v>
      </c>
      <c r="F4842" s="5">
        <v>43862</v>
      </c>
      <c r="G4842">
        <v>713</v>
      </c>
      <c r="H4842" t="s">
        <v>57</v>
      </c>
    </row>
    <row r="4843" spans="1:8" x14ac:dyDescent="0.3">
      <c r="A4843">
        <v>409</v>
      </c>
      <c r="B4843" s="5">
        <v>43874</v>
      </c>
      <c r="C4843" t="s">
        <v>10</v>
      </c>
      <c r="D4843">
        <v>556</v>
      </c>
      <c r="E4843">
        <v>1424</v>
      </c>
      <c r="F4843" s="5">
        <v>43862</v>
      </c>
      <c r="G4843">
        <v>556</v>
      </c>
      <c r="H4843" t="s">
        <v>57</v>
      </c>
    </row>
    <row r="4844" spans="1:8" x14ac:dyDescent="0.3">
      <c r="A4844">
        <v>409</v>
      </c>
      <c r="B4844" s="5">
        <v>43879</v>
      </c>
      <c r="C4844" t="s">
        <v>11</v>
      </c>
      <c r="D4844">
        <v>990</v>
      </c>
      <c r="E4844">
        <v>434</v>
      </c>
      <c r="F4844" s="5">
        <v>43862</v>
      </c>
      <c r="G4844">
        <v>-990</v>
      </c>
      <c r="H4844" t="s">
        <v>57</v>
      </c>
    </row>
    <row r="4845" spans="1:8" x14ac:dyDescent="0.3">
      <c r="A4845">
        <v>409</v>
      </c>
      <c r="B4845" s="5">
        <v>43885</v>
      </c>
      <c r="C4845" t="s">
        <v>10</v>
      </c>
      <c r="D4845">
        <v>937</v>
      </c>
      <c r="E4845">
        <v>1371</v>
      </c>
      <c r="F4845" s="5">
        <v>43862</v>
      </c>
      <c r="G4845">
        <v>937</v>
      </c>
      <c r="H4845" t="s">
        <v>57</v>
      </c>
    </row>
    <row r="4846" spans="1:8" x14ac:dyDescent="0.3">
      <c r="A4846">
        <v>409</v>
      </c>
      <c r="B4846" s="5">
        <v>43891</v>
      </c>
      <c r="C4846" t="s">
        <v>10</v>
      </c>
      <c r="D4846">
        <v>983</v>
      </c>
      <c r="E4846">
        <v>2354</v>
      </c>
      <c r="F4846" s="5">
        <v>43891</v>
      </c>
      <c r="G4846">
        <v>983</v>
      </c>
      <c r="H4846" t="s">
        <v>57</v>
      </c>
    </row>
    <row r="4847" spans="1:8" x14ac:dyDescent="0.3">
      <c r="A4847">
        <v>409</v>
      </c>
      <c r="B4847" s="5">
        <v>43908</v>
      </c>
      <c r="C4847" t="s">
        <v>12</v>
      </c>
      <c r="D4847">
        <v>924</v>
      </c>
      <c r="E4847">
        <v>1430</v>
      </c>
      <c r="F4847" s="5">
        <v>43891</v>
      </c>
      <c r="G4847">
        <v>-924</v>
      </c>
      <c r="H4847" t="s">
        <v>57</v>
      </c>
    </row>
    <row r="4848" spans="1:8" x14ac:dyDescent="0.3">
      <c r="A4848">
        <v>409</v>
      </c>
      <c r="B4848" s="5">
        <v>43910</v>
      </c>
      <c r="C4848" t="s">
        <v>10</v>
      </c>
      <c r="D4848">
        <v>650</v>
      </c>
      <c r="E4848">
        <v>2080</v>
      </c>
      <c r="F4848" s="5">
        <v>43891</v>
      </c>
      <c r="G4848">
        <v>650</v>
      </c>
      <c r="H4848" t="s">
        <v>57</v>
      </c>
    </row>
    <row r="4849" spans="1:8" x14ac:dyDescent="0.3">
      <c r="A4849">
        <v>409</v>
      </c>
      <c r="B4849" s="5">
        <v>43914</v>
      </c>
      <c r="C4849" t="s">
        <v>10</v>
      </c>
      <c r="D4849">
        <v>61</v>
      </c>
      <c r="E4849">
        <v>2141</v>
      </c>
      <c r="F4849" s="5">
        <v>43891</v>
      </c>
      <c r="G4849">
        <v>61</v>
      </c>
      <c r="H4849" t="s">
        <v>57</v>
      </c>
    </row>
    <row r="4850" spans="1:8" x14ac:dyDescent="0.3">
      <c r="A4850">
        <v>409</v>
      </c>
      <c r="B4850" s="5">
        <v>43915</v>
      </c>
      <c r="C4850" t="s">
        <v>10</v>
      </c>
      <c r="D4850">
        <v>314</v>
      </c>
      <c r="E4850">
        <v>2455</v>
      </c>
      <c r="F4850" s="5">
        <v>43891</v>
      </c>
      <c r="G4850">
        <v>314</v>
      </c>
      <c r="H4850" t="s">
        <v>57</v>
      </c>
    </row>
    <row r="4851" spans="1:8" x14ac:dyDescent="0.3">
      <c r="A4851">
        <v>409</v>
      </c>
      <c r="B4851" s="5">
        <v>43934</v>
      </c>
      <c r="C4851" t="s">
        <v>12</v>
      </c>
      <c r="D4851">
        <v>894</v>
      </c>
      <c r="E4851">
        <v>1561</v>
      </c>
      <c r="F4851" s="5">
        <v>43922</v>
      </c>
      <c r="G4851">
        <v>-894</v>
      </c>
      <c r="H4851" t="s">
        <v>57</v>
      </c>
    </row>
    <row r="4852" spans="1:8" x14ac:dyDescent="0.3">
      <c r="A4852">
        <v>409</v>
      </c>
      <c r="B4852" s="5">
        <v>43937</v>
      </c>
      <c r="C4852" t="s">
        <v>10</v>
      </c>
      <c r="D4852">
        <v>629</v>
      </c>
      <c r="E4852">
        <v>2190</v>
      </c>
      <c r="F4852" s="5">
        <v>43922</v>
      </c>
      <c r="G4852">
        <v>629</v>
      </c>
      <c r="H4852" t="s">
        <v>57</v>
      </c>
    </row>
    <row r="4853" spans="1:8" x14ac:dyDescent="0.3">
      <c r="A4853">
        <v>409</v>
      </c>
      <c r="B4853" s="5">
        <v>43938</v>
      </c>
      <c r="C4853" t="s">
        <v>10</v>
      </c>
      <c r="D4853">
        <v>433</v>
      </c>
      <c r="E4853">
        <v>2623</v>
      </c>
      <c r="F4853" s="5">
        <v>43922</v>
      </c>
      <c r="G4853">
        <v>433</v>
      </c>
      <c r="H4853" t="s">
        <v>57</v>
      </c>
    </row>
    <row r="4854" spans="1:8" x14ac:dyDescent="0.3">
      <c r="A4854">
        <v>410</v>
      </c>
      <c r="B4854" s="5">
        <v>43837</v>
      </c>
      <c r="C4854" t="s">
        <v>10</v>
      </c>
      <c r="D4854">
        <v>601</v>
      </c>
      <c r="E4854">
        <v>601</v>
      </c>
      <c r="F4854" s="5">
        <v>43831</v>
      </c>
      <c r="G4854">
        <v>601</v>
      </c>
      <c r="H4854" t="s">
        <v>57</v>
      </c>
    </row>
    <row r="4855" spans="1:8" x14ac:dyDescent="0.3">
      <c r="A4855">
        <v>410</v>
      </c>
      <c r="B4855" s="5">
        <v>43838</v>
      </c>
      <c r="C4855" t="s">
        <v>11</v>
      </c>
      <c r="D4855">
        <v>171</v>
      </c>
      <c r="E4855">
        <v>430</v>
      </c>
      <c r="F4855" s="5">
        <v>43831</v>
      </c>
      <c r="G4855">
        <v>-171</v>
      </c>
      <c r="H4855" t="s">
        <v>57</v>
      </c>
    </row>
    <row r="4856" spans="1:8" x14ac:dyDescent="0.3">
      <c r="A4856">
        <v>410</v>
      </c>
      <c r="B4856" s="5">
        <v>43851</v>
      </c>
      <c r="C4856" t="s">
        <v>10</v>
      </c>
      <c r="D4856">
        <v>595</v>
      </c>
      <c r="E4856">
        <v>1025</v>
      </c>
      <c r="F4856" s="5">
        <v>43831</v>
      </c>
      <c r="G4856">
        <v>595</v>
      </c>
      <c r="H4856" t="s">
        <v>57</v>
      </c>
    </row>
    <row r="4857" spans="1:8" x14ac:dyDescent="0.3">
      <c r="A4857">
        <v>410</v>
      </c>
      <c r="B4857" s="5">
        <v>43868</v>
      </c>
      <c r="C4857" t="s">
        <v>11</v>
      </c>
      <c r="D4857">
        <v>103</v>
      </c>
      <c r="E4857">
        <v>922</v>
      </c>
      <c r="F4857" s="5">
        <v>43862</v>
      </c>
      <c r="G4857">
        <v>-103</v>
      </c>
      <c r="H4857" t="s">
        <v>57</v>
      </c>
    </row>
    <row r="4858" spans="1:8" x14ac:dyDescent="0.3">
      <c r="A4858">
        <v>410</v>
      </c>
      <c r="B4858" s="5">
        <v>43871</v>
      </c>
      <c r="C4858" t="s">
        <v>12</v>
      </c>
      <c r="D4858">
        <v>723</v>
      </c>
      <c r="E4858">
        <v>199</v>
      </c>
      <c r="F4858" s="5">
        <v>43862</v>
      </c>
      <c r="G4858">
        <v>-723</v>
      </c>
      <c r="H4858" t="s">
        <v>57</v>
      </c>
    </row>
    <row r="4859" spans="1:8" x14ac:dyDescent="0.3">
      <c r="A4859">
        <v>410</v>
      </c>
      <c r="B4859" s="5">
        <v>43894</v>
      </c>
      <c r="C4859" t="s">
        <v>10</v>
      </c>
      <c r="D4859">
        <v>136</v>
      </c>
      <c r="E4859">
        <v>335</v>
      </c>
      <c r="F4859" s="5">
        <v>43891</v>
      </c>
      <c r="G4859">
        <v>136</v>
      </c>
      <c r="H4859" t="s">
        <v>57</v>
      </c>
    </row>
    <row r="4860" spans="1:8" x14ac:dyDescent="0.3">
      <c r="A4860">
        <v>410</v>
      </c>
      <c r="B4860" s="5">
        <v>43899</v>
      </c>
      <c r="C4860" t="s">
        <v>12</v>
      </c>
      <c r="D4860">
        <v>78</v>
      </c>
      <c r="E4860">
        <v>257</v>
      </c>
      <c r="F4860" s="5">
        <v>43891</v>
      </c>
      <c r="G4860">
        <v>-78</v>
      </c>
      <c r="H4860" t="s">
        <v>57</v>
      </c>
    </row>
    <row r="4861" spans="1:8" x14ac:dyDescent="0.3">
      <c r="A4861">
        <v>410</v>
      </c>
      <c r="B4861" s="5">
        <v>43904</v>
      </c>
      <c r="C4861" t="s">
        <v>12</v>
      </c>
      <c r="D4861">
        <v>666</v>
      </c>
      <c r="E4861">
        <v>-409</v>
      </c>
      <c r="F4861" s="5">
        <v>43891</v>
      </c>
      <c r="G4861">
        <v>-666</v>
      </c>
      <c r="H4861" t="s">
        <v>58</v>
      </c>
    </row>
    <row r="4862" spans="1:8" x14ac:dyDescent="0.3">
      <c r="A4862">
        <v>410</v>
      </c>
      <c r="B4862" s="5">
        <v>43906</v>
      </c>
      <c r="C4862" t="s">
        <v>10</v>
      </c>
      <c r="D4862">
        <v>135</v>
      </c>
      <c r="E4862">
        <v>-274</v>
      </c>
      <c r="F4862" s="5">
        <v>43891</v>
      </c>
      <c r="G4862">
        <v>135</v>
      </c>
      <c r="H4862" t="s">
        <v>58</v>
      </c>
    </row>
    <row r="4863" spans="1:8" x14ac:dyDescent="0.3">
      <c r="A4863">
        <v>410</v>
      </c>
      <c r="B4863" s="5">
        <v>43918</v>
      </c>
      <c r="C4863" t="s">
        <v>10</v>
      </c>
      <c r="D4863">
        <v>222</v>
      </c>
      <c r="E4863">
        <v>-52</v>
      </c>
      <c r="F4863" s="5">
        <v>43891</v>
      </c>
      <c r="G4863">
        <v>222</v>
      </c>
      <c r="H4863" t="s">
        <v>58</v>
      </c>
    </row>
    <row r="4864" spans="1:8" x14ac:dyDescent="0.3">
      <c r="A4864">
        <v>411</v>
      </c>
      <c r="B4864" s="5">
        <v>43857</v>
      </c>
      <c r="C4864" t="s">
        <v>10</v>
      </c>
      <c r="D4864">
        <v>551</v>
      </c>
      <c r="E4864">
        <v>551</v>
      </c>
      <c r="F4864" s="5">
        <v>43831</v>
      </c>
      <c r="G4864">
        <v>551</v>
      </c>
      <c r="H4864" t="s">
        <v>57</v>
      </c>
    </row>
    <row r="4865" spans="1:8" x14ac:dyDescent="0.3">
      <c r="A4865">
        <v>411</v>
      </c>
      <c r="B4865" s="5">
        <v>43929</v>
      </c>
      <c r="C4865" t="s">
        <v>11</v>
      </c>
      <c r="D4865">
        <v>871</v>
      </c>
      <c r="E4865">
        <v>-320</v>
      </c>
      <c r="F4865" s="5">
        <v>43922</v>
      </c>
      <c r="G4865">
        <v>-871</v>
      </c>
      <c r="H4865" t="s">
        <v>58</v>
      </c>
    </row>
    <row r="4866" spans="1:8" x14ac:dyDescent="0.3">
      <c r="A4866">
        <v>411</v>
      </c>
      <c r="B4866" s="5">
        <v>43944</v>
      </c>
      <c r="C4866" t="s">
        <v>11</v>
      </c>
      <c r="D4866">
        <v>661</v>
      </c>
      <c r="E4866">
        <v>-981</v>
      </c>
      <c r="F4866" s="5">
        <v>43922</v>
      </c>
      <c r="G4866">
        <v>-661</v>
      </c>
      <c r="H4866" t="s">
        <v>58</v>
      </c>
    </row>
    <row r="4867" spans="1:8" x14ac:dyDescent="0.3">
      <c r="A4867">
        <v>412</v>
      </c>
      <c r="B4867" s="5">
        <v>43831</v>
      </c>
      <c r="C4867" t="s">
        <v>10</v>
      </c>
      <c r="D4867">
        <v>381</v>
      </c>
      <c r="E4867">
        <v>381</v>
      </c>
      <c r="F4867" s="5">
        <v>43831</v>
      </c>
      <c r="G4867">
        <v>381</v>
      </c>
      <c r="H4867" t="s">
        <v>57</v>
      </c>
    </row>
    <row r="4868" spans="1:8" x14ac:dyDescent="0.3">
      <c r="A4868">
        <v>412</v>
      </c>
      <c r="B4868" s="5">
        <v>43833</v>
      </c>
      <c r="C4868" t="s">
        <v>11</v>
      </c>
      <c r="D4868">
        <v>242</v>
      </c>
      <c r="E4868">
        <v>139</v>
      </c>
      <c r="F4868" s="5">
        <v>43831</v>
      </c>
      <c r="G4868">
        <v>-242</v>
      </c>
      <c r="H4868" t="s">
        <v>57</v>
      </c>
    </row>
    <row r="4869" spans="1:8" x14ac:dyDescent="0.3">
      <c r="A4869">
        <v>412</v>
      </c>
      <c r="B4869" s="5">
        <v>43836</v>
      </c>
      <c r="C4869" t="s">
        <v>10</v>
      </c>
      <c r="D4869">
        <v>583</v>
      </c>
      <c r="E4869">
        <v>722</v>
      </c>
      <c r="F4869" s="5">
        <v>43831</v>
      </c>
      <c r="G4869">
        <v>583</v>
      </c>
      <c r="H4869" t="s">
        <v>57</v>
      </c>
    </row>
    <row r="4870" spans="1:8" x14ac:dyDescent="0.3">
      <c r="A4870">
        <v>412</v>
      </c>
      <c r="B4870" s="5">
        <v>43880</v>
      </c>
      <c r="C4870" t="s">
        <v>12</v>
      </c>
      <c r="D4870">
        <v>114</v>
      </c>
      <c r="E4870">
        <v>608</v>
      </c>
      <c r="F4870" s="5">
        <v>43862</v>
      </c>
      <c r="G4870">
        <v>-114</v>
      </c>
      <c r="H4870" t="s">
        <v>57</v>
      </c>
    </row>
    <row r="4871" spans="1:8" x14ac:dyDescent="0.3">
      <c r="A4871">
        <v>413</v>
      </c>
      <c r="B4871" s="5">
        <v>43856</v>
      </c>
      <c r="C4871" t="s">
        <v>10</v>
      </c>
      <c r="D4871">
        <v>927</v>
      </c>
      <c r="E4871">
        <v>927</v>
      </c>
      <c r="F4871" s="5">
        <v>43831</v>
      </c>
      <c r="G4871">
        <v>927</v>
      </c>
      <c r="H4871" t="s">
        <v>57</v>
      </c>
    </row>
    <row r="4872" spans="1:8" x14ac:dyDescent="0.3">
      <c r="A4872">
        <v>413</v>
      </c>
      <c r="B4872" s="5">
        <v>43858</v>
      </c>
      <c r="C4872" t="s">
        <v>12</v>
      </c>
      <c r="D4872">
        <v>793</v>
      </c>
      <c r="E4872">
        <v>134</v>
      </c>
      <c r="F4872" s="5">
        <v>43831</v>
      </c>
      <c r="G4872">
        <v>-793</v>
      </c>
      <c r="H4872" t="s">
        <v>57</v>
      </c>
    </row>
    <row r="4873" spans="1:8" x14ac:dyDescent="0.3">
      <c r="A4873">
        <v>413</v>
      </c>
      <c r="B4873" s="5">
        <v>43858</v>
      </c>
      <c r="C4873" t="s">
        <v>10</v>
      </c>
      <c r="D4873">
        <v>508</v>
      </c>
      <c r="E4873">
        <v>642</v>
      </c>
      <c r="F4873" s="5">
        <v>43831</v>
      </c>
      <c r="G4873">
        <v>508</v>
      </c>
      <c r="H4873" t="s">
        <v>57</v>
      </c>
    </row>
    <row r="4874" spans="1:8" x14ac:dyDescent="0.3">
      <c r="A4874">
        <v>413</v>
      </c>
      <c r="B4874" s="5">
        <v>43862</v>
      </c>
      <c r="C4874" t="s">
        <v>10</v>
      </c>
      <c r="D4874">
        <v>851</v>
      </c>
      <c r="E4874">
        <v>1493</v>
      </c>
      <c r="F4874" s="5">
        <v>43862</v>
      </c>
      <c r="G4874">
        <v>851</v>
      </c>
      <c r="H4874" t="s">
        <v>57</v>
      </c>
    </row>
    <row r="4875" spans="1:8" x14ac:dyDescent="0.3">
      <c r="A4875">
        <v>413</v>
      </c>
      <c r="B4875" s="5">
        <v>43866</v>
      </c>
      <c r="C4875" t="s">
        <v>12</v>
      </c>
      <c r="D4875">
        <v>389</v>
      </c>
      <c r="E4875">
        <v>1104</v>
      </c>
      <c r="F4875" s="5">
        <v>43862</v>
      </c>
      <c r="G4875">
        <v>-389</v>
      </c>
      <c r="H4875" t="s">
        <v>57</v>
      </c>
    </row>
    <row r="4876" spans="1:8" x14ac:dyDescent="0.3">
      <c r="A4876">
        <v>413</v>
      </c>
      <c r="B4876" s="5">
        <v>43871</v>
      </c>
      <c r="C4876" t="s">
        <v>10</v>
      </c>
      <c r="D4876">
        <v>223</v>
      </c>
      <c r="E4876">
        <v>1327</v>
      </c>
      <c r="F4876" s="5">
        <v>43862</v>
      </c>
      <c r="G4876">
        <v>223</v>
      </c>
      <c r="H4876" t="s">
        <v>57</v>
      </c>
    </row>
    <row r="4877" spans="1:8" x14ac:dyDescent="0.3">
      <c r="A4877">
        <v>413</v>
      </c>
      <c r="B4877" s="5">
        <v>43877</v>
      </c>
      <c r="C4877" t="s">
        <v>12</v>
      </c>
      <c r="D4877">
        <v>957</v>
      </c>
      <c r="E4877">
        <v>370</v>
      </c>
      <c r="F4877" s="5">
        <v>43862</v>
      </c>
      <c r="G4877">
        <v>-957</v>
      </c>
      <c r="H4877" t="s">
        <v>57</v>
      </c>
    </row>
    <row r="4878" spans="1:8" x14ac:dyDescent="0.3">
      <c r="A4878">
        <v>413</v>
      </c>
      <c r="B4878" s="5">
        <v>43886</v>
      </c>
      <c r="C4878" t="s">
        <v>10</v>
      </c>
      <c r="D4878">
        <v>702</v>
      </c>
      <c r="E4878">
        <v>1072</v>
      </c>
      <c r="F4878" s="5">
        <v>43862</v>
      </c>
      <c r="G4878">
        <v>702</v>
      </c>
      <c r="H4878" t="s">
        <v>57</v>
      </c>
    </row>
    <row r="4879" spans="1:8" x14ac:dyDescent="0.3">
      <c r="A4879">
        <v>413</v>
      </c>
      <c r="B4879" s="5">
        <v>43922</v>
      </c>
      <c r="C4879" t="s">
        <v>11</v>
      </c>
      <c r="D4879">
        <v>271</v>
      </c>
      <c r="E4879">
        <v>801</v>
      </c>
      <c r="F4879" s="5">
        <v>43922</v>
      </c>
      <c r="G4879">
        <v>-271</v>
      </c>
      <c r="H4879" t="s">
        <v>57</v>
      </c>
    </row>
    <row r="4880" spans="1:8" x14ac:dyDescent="0.3">
      <c r="A4880">
        <v>414</v>
      </c>
      <c r="B4880" s="5">
        <v>43838</v>
      </c>
      <c r="C4880" t="s">
        <v>10</v>
      </c>
      <c r="D4880">
        <v>445</v>
      </c>
      <c r="E4880">
        <v>445</v>
      </c>
      <c r="F4880" s="5">
        <v>43831</v>
      </c>
      <c r="G4880">
        <v>445</v>
      </c>
      <c r="H4880" t="s">
        <v>57</v>
      </c>
    </row>
    <row r="4881" spans="1:8" x14ac:dyDescent="0.3">
      <c r="A4881">
        <v>414</v>
      </c>
      <c r="B4881" s="5">
        <v>43851</v>
      </c>
      <c r="C4881" t="s">
        <v>12</v>
      </c>
      <c r="D4881">
        <v>414</v>
      </c>
      <c r="E4881">
        <v>31</v>
      </c>
      <c r="F4881" s="5">
        <v>43831</v>
      </c>
      <c r="G4881">
        <v>-414</v>
      </c>
      <c r="H4881" t="s">
        <v>57</v>
      </c>
    </row>
    <row r="4882" spans="1:8" x14ac:dyDescent="0.3">
      <c r="A4882">
        <v>414</v>
      </c>
      <c r="B4882" s="5">
        <v>43852</v>
      </c>
      <c r="C4882" t="s">
        <v>10</v>
      </c>
      <c r="D4882">
        <v>711</v>
      </c>
      <c r="E4882">
        <v>742</v>
      </c>
      <c r="F4882" s="5">
        <v>43831</v>
      </c>
      <c r="G4882">
        <v>711</v>
      </c>
      <c r="H4882" t="s">
        <v>57</v>
      </c>
    </row>
    <row r="4883" spans="1:8" x14ac:dyDescent="0.3">
      <c r="A4883">
        <v>414</v>
      </c>
      <c r="B4883" s="5">
        <v>43858</v>
      </c>
      <c r="C4883" t="s">
        <v>12</v>
      </c>
      <c r="D4883">
        <v>303</v>
      </c>
      <c r="E4883">
        <v>439</v>
      </c>
      <c r="F4883" s="5">
        <v>43831</v>
      </c>
      <c r="G4883">
        <v>-303</v>
      </c>
      <c r="H4883" t="s">
        <v>57</v>
      </c>
    </row>
    <row r="4884" spans="1:8" x14ac:dyDescent="0.3">
      <c r="A4884">
        <v>414</v>
      </c>
      <c r="B4884" s="5">
        <v>43894</v>
      </c>
      <c r="C4884" t="s">
        <v>10</v>
      </c>
      <c r="D4884">
        <v>616</v>
      </c>
      <c r="E4884">
        <v>1055</v>
      </c>
      <c r="F4884" s="5">
        <v>43891</v>
      </c>
      <c r="G4884">
        <v>616</v>
      </c>
      <c r="H4884" t="s">
        <v>57</v>
      </c>
    </row>
    <row r="4885" spans="1:8" x14ac:dyDescent="0.3">
      <c r="A4885">
        <v>414</v>
      </c>
      <c r="B4885" s="5">
        <v>43903</v>
      </c>
      <c r="C4885" t="s">
        <v>10</v>
      </c>
      <c r="D4885">
        <v>863</v>
      </c>
      <c r="E4885">
        <v>1918</v>
      </c>
      <c r="F4885" s="5">
        <v>43891</v>
      </c>
      <c r="G4885">
        <v>863</v>
      </c>
      <c r="H4885" t="s">
        <v>57</v>
      </c>
    </row>
    <row r="4886" spans="1:8" x14ac:dyDescent="0.3">
      <c r="A4886">
        <v>415</v>
      </c>
      <c r="B4886" s="5">
        <v>43837</v>
      </c>
      <c r="C4886" t="s">
        <v>10</v>
      </c>
      <c r="D4886">
        <v>566</v>
      </c>
      <c r="E4886">
        <v>566</v>
      </c>
      <c r="F4886" s="5">
        <v>43831</v>
      </c>
      <c r="G4886">
        <v>566</v>
      </c>
      <c r="H4886" t="s">
        <v>57</v>
      </c>
    </row>
    <row r="4887" spans="1:8" x14ac:dyDescent="0.3">
      <c r="A4887">
        <v>415</v>
      </c>
      <c r="B4887" s="5">
        <v>43837</v>
      </c>
      <c r="C4887" t="s">
        <v>10</v>
      </c>
      <c r="D4887">
        <v>152</v>
      </c>
      <c r="E4887">
        <v>718</v>
      </c>
      <c r="F4887" s="5">
        <v>43831</v>
      </c>
      <c r="G4887">
        <v>152</v>
      </c>
      <c r="H4887" t="s">
        <v>57</v>
      </c>
    </row>
    <row r="4888" spans="1:8" x14ac:dyDescent="0.3">
      <c r="A4888">
        <v>415</v>
      </c>
      <c r="B4888" s="5">
        <v>43852</v>
      </c>
      <c r="C4888" t="s">
        <v>11</v>
      </c>
      <c r="D4888">
        <v>192</v>
      </c>
      <c r="E4888">
        <v>526</v>
      </c>
      <c r="F4888" s="5">
        <v>43831</v>
      </c>
      <c r="G4888">
        <v>-192</v>
      </c>
      <c r="H4888" t="s">
        <v>57</v>
      </c>
    </row>
    <row r="4889" spans="1:8" x14ac:dyDescent="0.3">
      <c r="A4889">
        <v>415</v>
      </c>
      <c r="B4889" s="5">
        <v>43861</v>
      </c>
      <c r="C4889" t="s">
        <v>11</v>
      </c>
      <c r="D4889">
        <v>195</v>
      </c>
      <c r="E4889">
        <v>331</v>
      </c>
      <c r="F4889" s="5">
        <v>43831</v>
      </c>
      <c r="G4889">
        <v>-195</v>
      </c>
      <c r="H4889" t="s">
        <v>57</v>
      </c>
    </row>
    <row r="4890" spans="1:8" x14ac:dyDescent="0.3">
      <c r="A4890">
        <v>415</v>
      </c>
      <c r="B4890" s="5">
        <v>43874</v>
      </c>
      <c r="C4890" t="s">
        <v>11</v>
      </c>
      <c r="D4890">
        <v>67</v>
      </c>
      <c r="E4890">
        <v>264</v>
      </c>
      <c r="F4890" s="5">
        <v>43862</v>
      </c>
      <c r="G4890">
        <v>-67</v>
      </c>
      <c r="H4890" t="s">
        <v>57</v>
      </c>
    </row>
    <row r="4891" spans="1:8" x14ac:dyDescent="0.3">
      <c r="A4891">
        <v>415</v>
      </c>
      <c r="B4891" s="5">
        <v>43883</v>
      </c>
      <c r="C4891" t="s">
        <v>11</v>
      </c>
      <c r="D4891">
        <v>850</v>
      </c>
      <c r="E4891">
        <v>-586</v>
      </c>
      <c r="F4891" s="5">
        <v>43862</v>
      </c>
      <c r="G4891">
        <v>-850</v>
      </c>
      <c r="H4891" t="s">
        <v>58</v>
      </c>
    </row>
    <row r="4892" spans="1:8" x14ac:dyDescent="0.3">
      <c r="A4892">
        <v>415</v>
      </c>
      <c r="B4892" s="5">
        <v>43891</v>
      </c>
      <c r="C4892" t="s">
        <v>11</v>
      </c>
      <c r="D4892">
        <v>981</v>
      </c>
      <c r="E4892">
        <v>-1567</v>
      </c>
      <c r="F4892" s="5">
        <v>43891</v>
      </c>
      <c r="G4892">
        <v>-981</v>
      </c>
      <c r="H4892" t="s">
        <v>58</v>
      </c>
    </row>
    <row r="4893" spans="1:8" x14ac:dyDescent="0.3">
      <c r="A4893">
        <v>415</v>
      </c>
      <c r="B4893" s="5">
        <v>43893</v>
      </c>
      <c r="C4893" t="s">
        <v>12</v>
      </c>
      <c r="D4893">
        <v>318</v>
      </c>
      <c r="E4893">
        <v>-1885</v>
      </c>
      <c r="F4893" s="5">
        <v>43891</v>
      </c>
      <c r="G4893">
        <v>-318</v>
      </c>
      <c r="H4893" t="s">
        <v>58</v>
      </c>
    </row>
    <row r="4894" spans="1:8" x14ac:dyDescent="0.3">
      <c r="A4894">
        <v>415</v>
      </c>
      <c r="B4894" s="5">
        <v>43894</v>
      </c>
      <c r="C4894" t="s">
        <v>11</v>
      </c>
      <c r="D4894">
        <v>972</v>
      </c>
      <c r="E4894">
        <v>-2857</v>
      </c>
      <c r="F4894" s="5">
        <v>43891</v>
      </c>
      <c r="G4894">
        <v>-972</v>
      </c>
      <c r="H4894" t="s">
        <v>58</v>
      </c>
    </row>
    <row r="4895" spans="1:8" x14ac:dyDescent="0.3">
      <c r="A4895">
        <v>415</v>
      </c>
      <c r="B4895" s="5">
        <v>43895</v>
      </c>
      <c r="C4895" t="s">
        <v>10</v>
      </c>
      <c r="D4895">
        <v>227</v>
      </c>
      <c r="E4895">
        <v>-2630</v>
      </c>
      <c r="F4895" s="5">
        <v>43891</v>
      </c>
      <c r="G4895">
        <v>227</v>
      </c>
      <c r="H4895" t="s">
        <v>58</v>
      </c>
    </row>
    <row r="4896" spans="1:8" x14ac:dyDescent="0.3">
      <c r="A4896">
        <v>415</v>
      </c>
      <c r="B4896" s="5">
        <v>43900</v>
      </c>
      <c r="C4896" t="s">
        <v>10</v>
      </c>
      <c r="D4896">
        <v>252</v>
      </c>
      <c r="E4896">
        <v>-2378</v>
      </c>
      <c r="F4896" s="5">
        <v>43891</v>
      </c>
      <c r="G4896">
        <v>252</v>
      </c>
      <c r="H4896" t="s">
        <v>58</v>
      </c>
    </row>
    <row r="4897" spans="1:8" x14ac:dyDescent="0.3">
      <c r="A4897">
        <v>415</v>
      </c>
      <c r="B4897" s="5">
        <v>43905</v>
      </c>
      <c r="C4897" t="s">
        <v>11</v>
      </c>
      <c r="D4897">
        <v>365</v>
      </c>
      <c r="E4897">
        <v>-2743</v>
      </c>
      <c r="F4897" s="5">
        <v>43891</v>
      </c>
      <c r="G4897">
        <v>-365</v>
      </c>
      <c r="H4897" t="s">
        <v>58</v>
      </c>
    </row>
    <row r="4898" spans="1:8" x14ac:dyDescent="0.3">
      <c r="A4898">
        <v>415</v>
      </c>
      <c r="B4898" s="5">
        <v>43910</v>
      </c>
      <c r="C4898" t="s">
        <v>12</v>
      </c>
      <c r="D4898">
        <v>947</v>
      </c>
      <c r="E4898">
        <v>-3690</v>
      </c>
      <c r="F4898" s="5">
        <v>43891</v>
      </c>
      <c r="G4898">
        <v>-947</v>
      </c>
      <c r="H4898" t="s">
        <v>58</v>
      </c>
    </row>
    <row r="4899" spans="1:8" x14ac:dyDescent="0.3">
      <c r="A4899">
        <v>415</v>
      </c>
      <c r="B4899" s="5">
        <v>43912</v>
      </c>
      <c r="C4899" t="s">
        <v>12</v>
      </c>
      <c r="D4899">
        <v>597</v>
      </c>
      <c r="E4899">
        <v>-4287</v>
      </c>
      <c r="F4899" s="5">
        <v>43891</v>
      </c>
      <c r="G4899">
        <v>-597</v>
      </c>
      <c r="H4899" t="s">
        <v>58</v>
      </c>
    </row>
    <row r="4900" spans="1:8" x14ac:dyDescent="0.3">
      <c r="A4900">
        <v>416</v>
      </c>
      <c r="B4900" s="5">
        <v>43846</v>
      </c>
      <c r="C4900" t="s">
        <v>10</v>
      </c>
      <c r="D4900">
        <v>756</v>
      </c>
      <c r="E4900">
        <v>756</v>
      </c>
      <c r="F4900" s="5">
        <v>43831</v>
      </c>
      <c r="G4900">
        <v>756</v>
      </c>
      <c r="H4900" t="s">
        <v>57</v>
      </c>
    </row>
    <row r="4901" spans="1:8" x14ac:dyDescent="0.3">
      <c r="A4901">
        <v>416</v>
      </c>
      <c r="B4901" s="5">
        <v>43863</v>
      </c>
      <c r="C4901" t="s">
        <v>10</v>
      </c>
      <c r="D4901">
        <v>996</v>
      </c>
      <c r="E4901">
        <v>1752</v>
      </c>
      <c r="F4901" s="5">
        <v>43862</v>
      </c>
      <c r="G4901">
        <v>996</v>
      </c>
      <c r="H4901" t="s">
        <v>57</v>
      </c>
    </row>
    <row r="4902" spans="1:8" x14ac:dyDescent="0.3">
      <c r="A4902">
        <v>416</v>
      </c>
      <c r="B4902" s="5">
        <v>43864</v>
      </c>
      <c r="C4902" t="s">
        <v>12</v>
      </c>
      <c r="D4902">
        <v>806</v>
      </c>
      <c r="E4902">
        <v>946</v>
      </c>
      <c r="F4902" s="5">
        <v>43862</v>
      </c>
      <c r="G4902">
        <v>-806</v>
      </c>
      <c r="H4902" t="s">
        <v>57</v>
      </c>
    </row>
    <row r="4903" spans="1:8" x14ac:dyDescent="0.3">
      <c r="A4903">
        <v>416</v>
      </c>
      <c r="B4903" s="5">
        <v>43864</v>
      </c>
      <c r="C4903" t="s">
        <v>12</v>
      </c>
      <c r="D4903">
        <v>990</v>
      </c>
      <c r="E4903">
        <v>-44</v>
      </c>
      <c r="F4903" s="5">
        <v>43862</v>
      </c>
      <c r="G4903">
        <v>-990</v>
      </c>
      <c r="H4903" t="s">
        <v>58</v>
      </c>
    </row>
    <row r="4904" spans="1:8" x14ac:dyDescent="0.3">
      <c r="A4904">
        <v>416</v>
      </c>
      <c r="B4904" s="5">
        <v>43871</v>
      </c>
      <c r="C4904" t="s">
        <v>10</v>
      </c>
      <c r="D4904">
        <v>699</v>
      </c>
      <c r="E4904">
        <v>655</v>
      </c>
      <c r="F4904" s="5">
        <v>43862</v>
      </c>
      <c r="G4904">
        <v>699</v>
      </c>
      <c r="H4904" t="s">
        <v>57</v>
      </c>
    </row>
    <row r="4905" spans="1:8" x14ac:dyDescent="0.3">
      <c r="A4905">
        <v>416</v>
      </c>
      <c r="B4905" s="5">
        <v>43873</v>
      </c>
      <c r="C4905" t="s">
        <v>10</v>
      </c>
      <c r="D4905">
        <v>256</v>
      </c>
      <c r="E4905">
        <v>911</v>
      </c>
      <c r="F4905" s="5">
        <v>43862</v>
      </c>
      <c r="G4905">
        <v>256</v>
      </c>
      <c r="H4905" t="s">
        <v>57</v>
      </c>
    </row>
    <row r="4906" spans="1:8" x14ac:dyDescent="0.3">
      <c r="A4906">
        <v>416</v>
      </c>
      <c r="B4906" s="5">
        <v>43878</v>
      </c>
      <c r="C4906" t="s">
        <v>10</v>
      </c>
      <c r="D4906">
        <v>990</v>
      </c>
      <c r="E4906">
        <v>1901</v>
      </c>
      <c r="F4906" s="5">
        <v>43862</v>
      </c>
      <c r="G4906">
        <v>990</v>
      </c>
      <c r="H4906" t="s">
        <v>57</v>
      </c>
    </row>
    <row r="4907" spans="1:8" x14ac:dyDescent="0.3">
      <c r="A4907">
        <v>416</v>
      </c>
      <c r="B4907" s="5">
        <v>43881</v>
      </c>
      <c r="C4907" t="s">
        <v>11</v>
      </c>
      <c r="D4907">
        <v>186</v>
      </c>
      <c r="E4907">
        <v>1715</v>
      </c>
      <c r="F4907" s="5">
        <v>43862</v>
      </c>
      <c r="G4907">
        <v>-186</v>
      </c>
      <c r="H4907" t="s">
        <v>57</v>
      </c>
    </row>
    <row r="4908" spans="1:8" x14ac:dyDescent="0.3">
      <c r="A4908">
        <v>416</v>
      </c>
      <c r="B4908" s="5">
        <v>43900</v>
      </c>
      <c r="C4908" t="s">
        <v>10</v>
      </c>
      <c r="D4908">
        <v>904</v>
      </c>
      <c r="E4908">
        <v>2619</v>
      </c>
      <c r="F4908" s="5">
        <v>43891</v>
      </c>
      <c r="G4908">
        <v>904</v>
      </c>
      <c r="H4908" t="s">
        <v>57</v>
      </c>
    </row>
    <row r="4909" spans="1:8" x14ac:dyDescent="0.3">
      <c r="A4909">
        <v>416</v>
      </c>
      <c r="B4909" s="5">
        <v>43901</v>
      </c>
      <c r="C4909" t="s">
        <v>10</v>
      </c>
      <c r="D4909">
        <v>407</v>
      </c>
      <c r="E4909">
        <v>3026</v>
      </c>
      <c r="F4909" s="5">
        <v>43891</v>
      </c>
      <c r="G4909">
        <v>407</v>
      </c>
      <c r="H4909" t="s">
        <v>57</v>
      </c>
    </row>
    <row r="4910" spans="1:8" x14ac:dyDescent="0.3">
      <c r="A4910">
        <v>416</v>
      </c>
      <c r="B4910" s="5">
        <v>43903</v>
      </c>
      <c r="C4910" t="s">
        <v>11</v>
      </c>
      <c r="D4910">
        <v>144</v>
      </c>
      <c r="E4910">
        <v>2882</v>
      </c>
      <c r="F4910" s="5">
        <v>43891</v>
      </c>
      <c r="G4910">
        <v>-144</v>
      </c>
      <c r="H4910" t="s">
        <v>57</v>
      </c>
    </row>
    <row r="4911" spans="1:8" x14ac:dyDescent="0.3">
      <c r="A4911">
        <v>416</v>
      </c>
      <c r="B4911" s="5">
        <v>43904</v>
      </c>
      <c r="C4911" t="s">
        <v>10</v>
      </c>
      <c r="D4911">
        <v>791</v>
      </c>
      <c r="E4911">
        <v>3673</v>
      </c>
      <c r="F4911" s="5">
        <v>43891</v>
      </c>
      <c r="G4911">
        <v>791</v>
      </c>
      <c r="H4911" t="s">
        <v>57</v>
      </c>
    </row>
    <row r="4912" spans="1:8" x14ac:dyDescent="0.3">
      <c r="A4912">
        <v>416</v>
      </c>
      <c r="B4912" s="5">
        <v>43913</v>
      </c>
      <c r="C4912" t="s">
        <v>10</v>
      </c>
      <c r="D4912">
        <v>660</v>
      </c>
      <c r="E4912">
        <v>4333</v>
      </c>
      <c r="F4912" s="5">
        <v>43891</v>
      </c>
      <c r="G4912">
        <v>660</v>
      </c>
      <c r="H4912" t="s">
        <v>57</v>
      </c>
    </row>
    <row r="4913" spans="1:8" x14ac:dyDescent="0.3">
      <c r="A4913">
        <v>416</v>
      </c>
      <c r="B4913" s="5">
        <v>43914</v>
      </c>
      <c r="C4913" t="s">
        <v>11</v>
      </c>
      <c r="D4913">
        <v>425</v>
      </c>
      <c r="E4913">
        <v>3908</v>
      </c>
      <c r="F4913" s="5">
        <v>43891</v>
      </c>
      <c r="G4913">
        <v>-425</v>
      </c>
      <c r="H4913" t="s">
        <v>57</v>
      </c>
    </row>
    <row r="4914" spans="1:8" x14ac:dyDescent="0.3">
      <c r="A4914">
        <v>416</v>
      </c>
      <c r="B4914" s="5">
        <v>43917</v>
      </c>
      <c r="C4914" t="s">
        <v>11</v>
      </c>
      <c r="D4914">
        <v>584</v>
      </c>
      <c r="E4914">
        <v>3324</v>
      </c>
      <c r="F4914" s="5">
        <v>43891</v>
      </c>
      <c r="G4914">
        <v>-584</v>
      </c>
      <c r="H4914" t="s">
        <v>57</v>
      </c>
    </row>
    <row r="4915" spans="1:8" x14ac:dyDescent="0.3">
      <c r="A4915">
        <v>416</v>
      </c>
      <c r="B4915" s="5">
        <v>43924</v>
      </c>
      <c r="C4915" t="s">
        <v>10</v>
      </c>
      <c r="D4915">
        <v>152</v>
      </c>
      <c r="E4915">
        <v>3476</v>
      </c>
      <c r="F4915" s="5">
        <v>43922</v>
      </c>
      <c r="G4915">
        <v>152</v>
      </c>
      <c r="H4915" t="s">
        <v>57</v>
      </c>
    </row>
    <row r="4916" spans="1:8" x14ac:dyDescent="0.3">
      <c r="A4916">
        <v>416</v>
      </c>
      <c r="B4916" s="5">
        <v>43925</v>
      </c>
      <c r="C4916" t="s">
        <v>11</v>
      </c>
      <c r="D4916">
        <v>183</v>
      </c>
      <c r="E4916">
        <v>3293</v>
      </c>
      <c r="F4916" s="5">
        <v>43922</v>
      </c>
      <c r="G4916">
        <v>-183</v>
      </c>
      <c r="H4916" t="s">
        <v>57</v>
      </c>
    </row>
    <row r="4917" spans="1:8" x14ac:dyDescent="0.3">
      <c r="A4917">
        <v>416</v>
      </c>
      <c r="B4917" s="5">
        <v>43928</v>
      </c>
      <c r="C4917" t="s">
        <v>10</v>
      </c>
      <c r="D4917">
        <v>675</v>
      </c>
      <c r="E4917">
        <v>3968</v>
      </c>
      <c r="F4917" s="5">
        <v>43922</v>
      </c>
      <c r="G4917">
        <v>675</v>
      </c>
      <c r="H4917" t="s">
        <v>57</v>
      </c>
    </row>
    <row r="4918" spans="1:8" x14ac:dyDescent="0.3">
      <c r="A4918">
        <v>416</v>
      </c>
      <c r="B4918" s="5">
        <v>43931</v>
      </c>
      <c r="C4918" t="s">
        <v>11</v>
      </c>
      <c r="D4918">
        <v>70</v>
      </c>
      <c r="E4918">
        <v>3898</v>
      </c>
      <c r="F4918" s="5">
        <v>43922</v>
      </c>
      <c r="G4918">
        <v>-70</v>
      </c>
      <c r="H4918" t="s">
        <v>57</v>
      </c>
    </row>
    <row r="4919" spans="1:8" x14ac:dyDescent="0.3">
      <c r="A4919">
        <v>417</v>
      </c>
      <c r="B4919" s="5">
        <v>43834</v>
      </c>
      <c r="C4919" t="s">
        <v>10</v>
      </c>
      <c r="D4919">
        <v>213</v>
      </c>
      <c r="E4919">
        <v>213</v>
      </c>
      <c r="F4919" s="5">
        <v>43831</v>
      </c>
      <c r="G4919">
        <v>213</v>
      </c>
      <c r="H4919" t="s">
        <v>57</v>
      </c>
    </row>
    <row r="4920" spans="1:8" x14ac:dyDescent="0.3">
      <c r="A4920">
        <v>417</v>
      </c>
      <c r="B4920" s="5">
        <v>43835</v>
      </c>
      <c r="C4920" t="s">
        <v>10</v>
      </c>
      <c r="D4920">
        <v>977</v>
      </c>
      <c r="E4920">
        <v>1190</v>
      </c>
      <c r="F4920" s="5">
        <v>43831</v>
      </c>
      <c r="G4920">
        <v>977</v>
      </c>
      <c r="H4920" t="s">
        <v>57</v>
      </c>
    </row>
    <row r="4921" spans="1:8" x14ac:dyDescent="0.3">
      <c r="A4921">
        <v>417</v>
      </c>
      <c r="B4921" s="5">
        <v>43838</v>
      </c>
      <c r="C4921" t="s">
        <v>10</v>
      </c>
      <c r="D4921">
        <v>832</v>
      </c>
      <c r="E4921">
        <v>2022</v>
      </c>
      <c r="F4921" s="5">
        <v>43831</v>
      </c>
      <c r="G4921">
        <v>832</v>
      </c>
      <c r="H4921" t="s">
        <v>57</v>
      </c>
    </row>
    <row r="4922" spans="1:8" x14ac:dyDescent="0.3">
      <c r="A4922">
        <v>417</v>
      </c>
      <c r="B4922" s="5">
        <v>43847</v>
      </c>
      <c r="C4922" t="s">
        <v>11</v>
      </c>
      <c r="D4922">
        <v>343</v>
      </c>
      <c r="E4922">
        <v>1679</v>
      </c>
      <c r="F4922" s="5">
        <v>43831</v>
      </c>
      <c r="G4922">
        <v>-343</v>
      </c>
      <c r="H4922" t="s">
        <v>57</v>
      </c>
    </row>
    <row r="4923" spans="1:8" x14ac:dyDescent="0.3">
      <c r="A4923">
        <v>417</v>
      </c>
      <c r="B4923" s="5">
        <v>43852</v>
      </c>
      <c r="C4923" t="s">
        <v>11</v>
      </c>
      <c r="D4923">
        <v>972</v>
      </c>
      <c r="E4923">
        <v>707</v>
      </c>
      <c r="F4923" s="5">
        <v>43831</v>
      </c>
      <c r="G4923">
        <v>-972</v>
      </c>
      <c r="H4923" t="s">
        <v>57</v>
      </c>
    </row>
    <row r="4924" spans="1:8" x14ac:dyDescent="0.3">
      <c r="A4924">
        <v>417</v>
      </c>
      <c r="B4924" s="5">
        <v>43866</v>
      </c>
      <c r="C4924" t="s">
        <v>10</v>
      </c>
      <c r="D4924">
        <v>792</v>
      </c>
      <c r="E4924">
        <v>1499</v>
      </c>
      <c r="F4924" s="5">
        <v>43862</v>
      </c>
      <c r="G4924">
        <v>792</v>
      </c>
      <c r="H4924" t="s">
        <v>57</v>
      </c>
    </row>
    <row r="4925" spans="1:8" x14ac:dyDescent="0.3">
      <c r="A4925">
        <v>417</v>
      </c>
      <c r="B4925" s="5">
        <v>43867</v>
      </c>
      <c r="C4925" t="s">
        <v>11</v>
      </c>
      <c r="D4925">
        <v>453</v>
      </c>
      <c r="E4925">
        <v>1046</v>
      </c>
      <c r="F4925" s="5">
        <v>43862</v>
      </c>
      <c r="G4925">
        <v>-453</v>
      </c>
      <c r="H4925" t="s">
        <v>57</v>
      </c>
    </row>
    <row r="4926" spans="1:8" x14ac:dyDescent="0.3">
      <c r="A4926">
        <v>417</v>
      </c>
      <c r="B4926" s="5">
        <v>43867</v>
      </c>
      <c r="C4926" t="s">
        <v>11</v>
      </c>
      <c r="D4926">
        <v>916</v>
      </c>
      <c r="E4926">
        <v>130</v>
      </c>
      <c r="F4926" s="5">
        <v>43862</v>
      </c>
      <c r="G4926">
        <v>-916</v>
      </c>
      <c r="H4926" t="s">
        <v>57</v>
      </c>
    </row>
    <row r="4927" spans="1:8" x14ac:dyDescent="0.3">
      <c r="A4927">
        <v>417</v>
      </c>
      <c r="B4927" s="5">
        <v>43881</v>
      </c>
      <c r="C4927" t="s">
        <v>11</v>
      </c>
      <c r="D4927">
        <v>220</v>
      </c>
      <c r="E4927">
        <v>-90</v>
      </c>
      <c r="F4927" s="5">
        <v>43862</v>
      </c>
      <c r="G4927">
        <v>-220</v>
      </c>
      <c r="H4927" t="s">
        <v>58</v>
      </c>
    </row>
    <row r="4928" spans="1:8" x14ac:dyDescent="0.3">
      <c r="A4928">
        <v>417</v>
      </c>
      <c r="B4928" s="5">
        <v>43882</v>
      </c>
      <c r="C4928" t="s">
        <v>12</v>
      </c>
      <c r="D4928">
        <v>320</v>
      </c>
      <c r="E4928">
        <v>-410</v>
      </c>
      <c r="F4928" s="5">
        <v>43862</v>
      </c>
      <c r="G4928">
        <v>-320</v>
      </c>
      <c r="H4928" t="s">
        <v>58</v>
      </c>
    </row>
    <row r="4929" spans="1:8" x14ac:dyDescent="0.3">
      <c r="A4929">
        <v>417</v>
      </c>
      <c r="B4929" s="5">
        <v>43885</v>
      </c>
      <c r="C4929" t="s">
        <v>11</v>
      </c>
      <c r="D4929">
        <v>472</v>
      </c>
      <c r="E4929">
        <v>-882</v>
      </c>
      <c r="F4929" s="5">
        <v>43862</v>
      </c>
      <c r="G4929">
        <v>-472</v>
      </c>
      <c r="H4929" t="s">
        <v>58</v>
      </c>
    </row>
    <row r="4930" spans="1:8" x14ac:dyDescent="0.3">
      <c r="A4930">
        <v>417</v>
      </c>
      <c r="B4930" s="5">
        <v>43890</v>
      </c>
      <c r="C4930" t="s">
        <v>11</v>
      </c>
      <c r="D4930">
        <v>197</v>
      </c>
      <c r="E4930">
        <v>-1079</v>
      </c>
      <c r="F4930" s="5">
        <v>43862</v>
      </c>
      <c r="G4930">
        <v>-197</v>
      </c>
      <c r="H4930" t="s">
        <v>58</v>
      </c>
    </row>
    <row r="4931" spans="1:8" x14ac:dyDescent="0.3">
      <c r="A4931">
        <v>417</v>
      </c>
      <c r="B4931" s="5">
        <v>43894</v>
      </c>
      <c r="C4931" t="s">
        <v>11</v>
      </c>
      <c r="D4931">
        <v>620</v>
      </c>
      <c r="E4931">
        <v>-1699</v>
      </c>
      <c r="F4931" s="5">
        <v>43891</v>
      </c>
      <c r="G4931">
        <v>-620</v>
      </c>
      <c r="H4931" t="s">
        <v>58</v>
      </c>
    </row>
    <row r="4932" spans="1:8" x14ac:dyDescent="0.3">
      <c r="A4932">
        <v>417</v>
      </c>
      <c r="B4932" s="5">
        <v>43920</v>
      </c>
      <c r="C4932" t="s">
        <v>10</v>
      </c>
      <c r="D4932">
        <v>159</v>
      </c>
      <c r="E4932">
        <v>-1540</v>
      </c>
      <c r="F4932" s="5">
        <v>43891</v>
      </c>
      <c r="G4932">
        <v>159</v>
      </c>
      <c r="H4932" t="s">
        <v>58</v>
      </c>
    </row>
    <row r="4933" spans="1:8" x14ac:dyDescent="0.3">
      <c r="A4933">
        <v>417</v>
      </c>
      <c r="B4933" s="5">
        <v>43922</v>
      </c>
      <c r="C4933" t="s">
        <v>11</v>
      </c>
      <c r="D4933">
        <v>307</v>
      </c>
      <c r="E4933">
        <v>-1847</v>
      </c>
      <c r="F4933" s="5">
        <v>43922</v>
      </c>
      <c r="G4933">
        <v>-307</v>
      </c>
      <c r="H4933" t="s">
        <v>58</v>
      </c>
    </row>
    <row r="4934" spans="1:8" x14ac:dyDescent="0.3">
      <c r="A4934">
        <v>418</v>
      </c>
      <c r="B4934" s="5">
        <v>43837</v>
      </c>
      <c r="C4934" t="s">
        <v>10</v>
      </c>
      <c r="D4934">
        <v>688</v>
      </c>
      <c r="E4934">
        <v>688</v>
      </c>
      <c r="F4934" s="5">
        <v>43831</v>
      </c>
      <c r="G4934">
        <v>688</v>
      </c>
      <c r="H4934" t="s">
        <v>57</v>
      </c>
    </row>
    <row r="4935" spans="1:8" x14ac:dyDescent="0.3">
      <c r="A4935">
        <v>418</v>
      </c>
      <c r="B4935" s="5">
        <v>43841</v>
      </c>
      <c r="C4935" t="s">
        <v>11</v>
      </c>
      <c r="D4935">
        <v>427</v>
      </c>
      <c r="E4935">
        <v>261</v>
      </c>
      <c r="F4935" s="5">
        <v>43831</v>
      </c>
      <c r="G4935">
        <v>-427</v>
      </c>
      <c r="H4935" t="s">
        <v>57</v>
      </c>
    </row>
    <row r="4936" spans="1:8" x14ac:dyDescent="0.3">
      <c r="A4936">
        <v>418</v>
      </c>
      <c r="B4936" s="5">
        <v>43844</v>
      </c>
      <c r="C4936" t="s">
        <v>10</v>
      </c>
      <c r="D4936">
        <v>205</v>
      </c>
      <c r="E4936">
        <v>466</v>
      </c>
      <c r="F4936" s="5">
        <v>43831</v>
      </c>
      <c r="G4936">
        <v>205</v>
      </c>
      <c r="H4936" t="s">
        <v>57</v>
      </c>
    </row>
    <row r="4937" spans="1:8" x14ac:dyDescent="0.3">
      <c r="A4937">
        <v>418</v>
      </c>
      <c r="B4937" s="5">
        <v>43851</v>
      </c>
      <c r="C4937" t="s">
        <v>10</v>
      </c>
      <c r="D4937">
        <v>390</v>
      </c>
      <c r="E4937">
        <v>856</v>
      </c>
      <c r="F4937" s="5">
        <v>43831</v>
      </c>
      <c r="G4937">
        <v>390</v>
      </c>
      <c r="H4937" t="s">
        <v>57</v>
      </c>
    </row>
    <row r="4938" spans="1:8" x14ac:dyDescent="0.3">
      <c r="A4938">
        <v>418</v>
      </c>
      <c r="B4938" s="5">
        <v>43858</v>
      </c>
      <c r="C4938" t="s">
        <v>12</v>
      </c>
      <c r="D4938">
        <v>285</v>
      </c>
      <c r="E4938">
        <v>571</v>
      </c>
      <c r="F4938" s="5">
        <v>43831</v>
      </c>
      <c r="G4938">
        <v>-285</v>
      </c>
      <c r="H4938" t="s">
        <v>57</v>
      </c>
    </row>
    <row r="4939" spans="1:8" x14ac:dyDescent="0.3">
      <c r="A4939">
        <v>418</v>
      </c>
      <c r="B4939" s="5">
        <v>43860</v>
      </c>
      <c r="C4939" t="s">
        <v>12</v>
      </c>
      <c r="D4939">
        <v>732</v>
      </c>
      <c r="E4939">
        <v>-161</v>
      </c>
      <c r="F4939" s="5">
        <v>43831</v>
      </c>
      <c r="G4939">
        <v>-732</v>
      </c>
      <c r="H4939" t="s">
        <v>58</v>
      </c>
    </row>
    <row r="4940" spans="1:8" x14ac:dyDescent="0.3">
      <c r="A4940">
        <v>418</v>
      </c>
      <c r="B4940" s="5">
        <v>43861</v>
      </c>
      <c r="C4940" t="s">
        <v>12</v>
      </c>
      <c r="D4940">
        <v>338</v>
      </c>
      <c r="E4940">
        <v>-499</v>
      </c>
      <c r="F4940" s="5">
        <v>43831</v>
      </c>
      <c r="G4940">
        <v>-338</v>
      </c>
      <c r="H4940" t="s">
        <v>58</v>
      </c>
    </row>
    <row r="4941" spans="1:8" x14ac:dyDescent="0.3">
      <c r="A4941">
        <v>418</v>
      </c>
      <c r="B4941" s="5">
        <v>43867</v>
      </c>
      <c r="C4941" t="s">
        <v>11</v>
      </c>
      <c r="D4941">
        <v>739</v>
      </c>
      <c r="E4941">
        <v>-1238</v>
      </c>
      <c r="F4941" s="5">
        <v>43862</v>
      </c>
      <c r="G4941">
        <v>-739</v>
      </c>
      <c r="H4941" t="s">
        <v>58</v>
      </c>
    </row>
    <row r="4942" spans="1:8" x14ac:dyDescent="0.3">
      <c r="A4942">
        <v>418</v>
      </c>
      <c r="B4942" s="5">
        <v>43872</v>
      </c>
      <c r="C4942" t="s">
        <v>11</v>
      </c>
      <c r="D4942">
        <v>586</v>
      </c>
      <c r="E4942">
        <v>-1824</v>
      </c>
      <c r="F4942" s="5">
        <v>43862</v>
      </c>
      <c r="G4942">
        <v>-586</v>
      </c>
      <c r="H4942" t="s">
        <v>58</v>
      </c>
    </row>
    <row r="4943" spans="1:8" x14ac:dyDescent="0.3">
      <c r="A4943">
        <v>418</v>
      </c>
      <c r="B4943" s="5">
        <v>43877</v>
      </c>
      <c r="C4943" t="s">
        <v>10</v>
      </c>
      <c r="D4943">
        <v>730</v>
      </c>
      <c r="E4943">
        <v>-1094</v>
      </c>
      <c r="F4943" s="5">
        <v>43862</v>
      </c>
      <c r="G4943">
        <v>730</v>
      </c>
      <c r="H4943" t="s">
        <v>58</v>
      </c>
    </row>
    <row r="4944" spans="1:8" x14ac:dyDescent="0.3">
      <c r="A4944">
        <v>418</v>
      </c>
      <c r="B4944" s="5">
        <v>43879</v>
      </c>
      <c r="C4944" t="s">
        <v>12</v>
      </c>
      <c r="D4944">
        <v>936</v>
      </c>
      <c r="E4944">
        <v>-2030</v>
      </c>
      <c r="F4944" s="5">
        <v>43862</v>
      </c>
      <c r="G4944">
        <v>-936</v>
      </c>
      <c r="H4944" t="s">
        <v>58</v>
      </c>
    </row>
    <row r="4945" spans="1:8" x14ac:dyDescent="0.3">
      <c r="A4945">
        <v>418</v>
      </c>
      <c r="B4945" s="5">
        <v>43879</v>
      </c>
      <c r="C4945" t="s">
        <v>10</v>
      </c>
      <c r="D4945">
        <v>567</v>
      </c>
      <c r="E4945">
        <v>-1463</v>
      </c>
      <c r="F4945" s="5">
        <v>43862</v>
      </c>
      <c r="G4945">
        <v>567</v>
      </c>
      <c r="H4945" t="s">
        <v>58</v>
      </c>
    </row>
    <row r="4946" spans="1:8" x14ac:dyDescent="0.3">
      <c r="A4946">
        <v>418</v>
      </c>
      <c r="B4946" s="5">
        <v>43882</v>
      </c>
      <c r="C4946" t="s">
        <v>10</v>
      </c>
      <c r="D4946">
        <v>824</v>
      </c>
      <c r="E4946">
        <v>-639</v>
      </c>
      <c r="F4946" s="5">
        <v>43862</v>
      </c>
      <c r="G4946">
        <v>824</v>
      </c>
      <c r="H4946" t="s">
        <v>58</v>
      </c>
    </row>
    <row r="4947" spans="1:8" x14ac:dyDescent="0.3">
      <c r="A4947">
        <v>418</v>
      </c>
      <c r="B4947" s="5">
        <v>43886</v>
      </c>
      <c r="C4947" t="s">
        <v>12</v>
      </c>
      <c r="D4947">
        <v>357</v>
      </c>
      <c r="E4947">
        <v>-996</v>
      </c>
      <c r="F4947" s="5">
        <v>43862</v>
      </c>
      <c r="G4947">
        <v>-357</v>
      </c>
      <c r="H4947" t="s">
        <v>58</v>
      </c>
    </row>
    <row r="4948" spans="1:8" x14ac:dyDescent="0.3">
      <c r="A4948">
        <v>418</v>
      </c>
      <c r="B4948" s="5">
        <v>43893</v>
      </c>
      <c r="C4948" t="s">
        <v>10</v>
      </c>
      <c r="D4948">
        <v>473</v>
      </c>
      <c r="E4948">
        <v>-523</v>
      </c>
      <c r="F4948" s="5">
        <v>43891</v>
      </c>
      <c r="G4948">
        <v>473</v>
      </c>
      <c r="H4948" t="s">
        <v>58</v>
      </c>
    </row>
    <row r="4949" spans="1:8" x14ac:dyDescent="0.3">
      <c r="A4949">
        <v>418</v>
      </c>
      <c r="B4949" s="5">
        <v>43902</v>
      </c>
      <c r="C4949" t="s">
        <v>12</v>
      </c>
      <c r="D4949">
        <v>289</v>
      </c>
      <c r="E4949">
        <v>-812</v>
      </c>
      <c r="F4949" s="5">
        <v>43891</v>
      </c>
      <c r="G4949">
        <v>-289</v>
      </c>
      <c r="H4949" t="s">
        <v>58</v>
      </c>
    </row>
    <row r="4950" spans="1:8" x14ac:dyDescent="0.3">
      <c r="A4950">
        <v>418</v>
      </c>
      <c r="B4950" s="5">
        <v>43903</v>
      </c>
      <c r="C4950" t="s">
        <v>11</v>
      </c>
      <c r="D4950">
        <v>812</v>
      </c>
      <c r="E4950">
        <v>-1624</v>
      </c>
      <c r="F4950" s="5">
        <v>43891</v>
      </c>
      <c r="G4950">
        <v>-812</v>
      </c>
      <c r="H4950" t="s">
        <v>58</v>
      </c>
    </row>
    <row r="4951" spans="1:8" x14ac:dyDescent="0.3">
      <c r="A4951">
        <v>418</v>
      </c>
      <c r="B4951" s="5">
        <v>43923</v>
      </c>
      <c r="C4951" t="s">
        <v>10</v>
      </c>
      <c r="D4951">
        <v>386</v>
      </c>
      <c r="E4951">
        <v>-1238</v>
      </c>
      <c r="F4951" s="5">
        <v>43922</v>
      </c>
      <c r="G4951">
        <v>386</v>
      </c>
      <c r="H4951" t="s">
        <v>58</v>
      </c>
    </row>
    <row r="4952" spans="1:8" x14ac:dyDescent="0.3">
      <c r="A4952">
        <v>418</v>
      </c>
      <c r="B4952" s="5">
        <v>43926</v>
      </c>
      <c r="C4952" t="s">
        <v>11</v>
      </c>
      <c r="D4952">
        <v>590</v>
      </c>
      <c r="E4952">
        <v>-1828</v>
      </c>
      <c r="F4952" s="5">
        <v>43922</v>
      </c>
      <c r="G4952">
        <v>-590</v>
      </c>
      <c r="H4952" t="s">
        <v>58</v>
      </c>
    </row>
    <row r="4953" spans="1:8" x14ac:dyDescent="0.3">
      <c r="A4953">
        <v>419</v>
      </c>
      <c r="B4953" s="5">
        <v>43841</v>
      </c>
      <c r="C4953" t="s">
        <v>10</v>
      </c>
      <c r="D4953">
        <v>711</v>
      </c>
      <c r="E4953">
        <v>711</v>
      </c>
      <c r="F4953" s="5">
        <v>43831</v>
      </c>
      <c r="G4953">
        <v>711</v>
      </c>
      <c r="H4953" t="s">
        <v>57</v>
      </c>
    </row>
    <row r="4954" spans="1:8" x14ac:dyDescent="0.3">
      <c r="A4954">
        <v>419</v>
      </c>
      <c r="B4954" s="5">
        <v>43842</v>
      </c>
      <c r="C4954" t="s">
        <v>12</v>
      </c>
      <c r="D4954">
        <v>217</v>
      </c>
      <c r="E4954">
        <v>494</v>
      </c>
      <c r="F4954" s="5">
        <v>43831</v>
      </c>
      <c r="G4954">
        <v>-217</v>
      </c>
      <c r="H4954" t="s">
        <v>57</v>
      </c>
    </row>
    <row r="4955" spans="1:8" x14ac:dyDescent="0.3">
      <c r="A4955">
        <v>419</v>
      </c>
      <c r="B4955" s="5">
        <v>43848</v>
      </c>
      <c r="C4955" t="s">
        <v>10</v>
      </c>
      <c r="D4955">
        <v>699</v>
      </c>
      <c r="E4955">
        <v>1193</v>
      </c>
      <c r="F4955" s="5">
        <v>43831</v>
      </c>
      <c r="G4955">
        <v>699</v>
      </c>
      <c r="H4955" t="s">
        <v>57</v>
      </c>
    </row>
    <row r="4956" spans="1:8" x14ac:dyDescent="0.3">
      <c r="A4956">
        <v>419</v>
      </c>
      <c r="B4956" s="5">
        <v>43870</v>
      </c>
      <c r="C4956" t="s">
        <v>11</v>
      </c>
      <c r="D4956">
        <v>779</v>
      </c>
      <c r="E4956">
        <v>414</v>
      </c>
      <c r="F4956" s="5">
        <v>43862</v>
      </c>
      <c r="G4956">
        <v>-779</v>
      </c>
      <c r="H4956" t="s">
        <v>57</v>
      </c>
    </row>
    <row r="4957" spans="1:8" x14ac:dyDescent="0.3">
      <c r="A4957">
        <v>419</v>
      </c>
      <c r="B4957" s="5">
        <v>43872</v>
      </c>
      <c r="C4957" t="s">
        <v>11</v>
      </c>
      <c r="D4957">
        <v>755</v>
      </c>
      <c r="E4957">
        <v>-341</v>
      </c>
      <c r="F4957" s="5">
        <v>43862</v>
      </c>
      <c r="G4957">
        <v>-755</v>
      </c>
      <c r="H4957" t="s">
        <v>58</v>
      </c>
    </row>
    <row r="4958" spans="1:8" x14ac:dyDescent="0.3">
      <c r="A4958">
        <v>419</v>
      </c>
      <c r="B4958" s="5">
        <v>43884</v>
      </c>
      <c r="C4958" t="s">
        <v>10</v>
      </c>
      <c r="D4958">
        <v>159</v>
      </c>
      <c r="E4958">
        <v>-182</v>
      </c>
      <c r="F4958" s="5">
        <v>43862</v>
      </c>
      <c r="G4958">
        <v>159</v>
      </c>
      <c r="H4958" t="s">
        <v>58</v>
      </c>
    </row>
    <row r="4959" spans="1:8" x14ac:dyDescent="0.3">
      <c r="A4959">
        <v>419</v>
      </c>
      <c r="B4959" s="5">
        <v>43889</v>
      </c>
      <c r="C4959" t="s">
        <v>10</v>
      </c>
      <c r="D4959">
        <v>305</v>
      </c>
      <c r="E4959">
        <v>123</v>
      </c>
      <c r="F4959" s="5">
        <v>43862</v>
      </c>
      <c r="G4959">
        <v>305</v>
      </c>
      <c r="H4959" t="s">
        <v>57</v>
      </c>
    </row>
    <row r="4960" spans="1:8" x14ac:dyDescent="0.3">
      <c r="A4960">
        <v>419</v>
      </c>
      <c r="B4960" s="5">
        <v>43903</v>
      </c>
      <c r="C4960" t="s">
        <v>11</v>
      </c>
      <c r="D4960">
        <v>523</v>
      </c>
      <c r="E4960">
        <v>-400</v>
      </c>
      <c r="F4960" s="5">
        <v>43891</v>
      </c>
      <c r="G4960">
        <v>-523</v>
      </c>
      <c r="H4960" t="s">
        <v>58</v>
      </c>
    </row>
    <row r="4961" spans="1:8" x14ac:dyDescent="0.3">
      <c r="A4961">
        <v>419</v>
      </c>
      <c r="B4961" s="5">
        <v>43910</v>
      </c>
      <c r="C4961" t="s">
        <v>11</v>
      </c>
      <c r="D4961">
        <v>84</v>
      </c>
      <c r="E4961">
        <v>-484</v>
      </c>
      <c r="F4961" s="5">
        <v>43891</v>
      </c>
      <c r="G4961">
        <v>-84</v>
      </c>
      <c r="H4961" t="s">
        <v>58</v>
      </c>
    </row>
    <row r="4962" spans="1:8" x14ac:dyDescent="0.3">
      <c r="A4962">
        <v>419</v>
      </c>
      <c r="B4962" s="5">
        <v>43914</v>
      </c>
      <c r="C4962" t="s">
        <v>11</v>
      </c>
      <c r="D4962">
        <v>796</v>
      </c>
      <c r="E4962">
        <v>-1280</v>
      </c>
      <c r="F4962" s="5">
        <v>43891</v>
      </c>
      <c r="G4962">
        <v>-796</v>
      </c>
      <c r="H4962" t="s">
        <v>58</v>
      </c>
    </row>
    <row r="4963" spans="1:8" x14ac:dyDescent="0.3">
      <c r="A4963">
        <v>420</v>
      </c>
      <c r="B4963" s="5">
        <v>43854</v>
      </c>
      <c r="C4963" t="s">
        <v>11</v>
      </c>
      <c r="D4963">
        <v>431</v>
      </c>
      <c r="E4963">
        <v>-431</v>
      </c>
      <c r="F4963" s="5">
        <v>43831</v>
      </c>
      <c r="G4963">
        <v>-431</v>
      </c>
      <c r="H4963" t="s">
        <v>58</v>
      </c>
    </row>
    <row r="4964" spans="1:8" x14ac:dyDescent="0.3">
      <c r="A4964">
        <v>420</v>
      </c>
      <c r="B4964" s="5">
        <v>43854</v>
      </c>
      <c r="C4964" t="s">
        <v>10</v>
      </c>
      <c r="D4964">
        <v>151</v>
      </c>
      <c r="E4964">
        <v>-280</v>
      </c>
      <c r="F4964" s="5">
        <v>43831</v>
      </c>
      <c r="G4964">
        <v>151</v>
      </c>
      <c r="H4964" t="s">
        <v>58</v>
      </c>
    </row>
    <row r="4965" spans="1:8" x14ac:dyDescent="0.3">
      <c r="A4965">
        <v>420</v>
      </c>
      <c r="B4965" s="5">
        <v>43871</v>
      </c>
      <c r="C4965" t="s">
        <v>11</v>
      </c>
      <c r="D4965">
        <v>430</v>
      </c>
      <c r="E4965">
        <v>-710</v>
      </c>
      <c r="F4965" s="5">
        <v>43862</v>
      </c>
      <c r="G4965">
        <v>-430</v>
      </c>
      <c r="H4965" t="s">
        <v>58</v>
      </c>
    </row>
    <row r="4966" spans="1:8" x14ac:dyDescent="0.3">
      <c r="A4966">
        <v>420</v>
      </c>
      <c r="B4966" s="5">
        <v>43875</v>
      </c>
      <c r="C4966" t="s">
        <v>11</v>
      </c>
      <c r="D4966">
        <v>278</v>
      </c>
      <c r="E4966">
        <v>-988</v>
      </c>
      <c r="F4966" s="5">
        <v>43862</v>
      </c>
      <c r="G4966">
        <v>-278</v>
      </c>
      <c r="H4966" t="s">
        <v>58</v>
      </c>
    </row>
    <row r="4967" spans="1:8" x14ac:dyDescent="0.3">
      <c r="A4967">
        <v>420</v>
      </c>
      <c r="B4967" s="5">
        <v>43882</v>
      </c>
      <c r="C4967" t="s">
        <v>11</v>
      </c>
      <c r="D4967">
        <v>796</v>
      </c>
      <c r="E4967">
        <v>-1784</v>
      </c>
      <c r="F4967" s="5">
        <v>43862</v>
      </c>
      <c r="G4967">
        <v>-796</v>
      </c>
      <c r="H4967" t="s">
        <v>58</v>
      </c>
    </row>
    <row r="4968" spans="1:8" x14ac:dyDescent="0.3">
      <c r="A4968">
        <v>420</v>
      </c>
      <c r="B4968" s="5">
        <v>43884</v>
      </c>
      <c r="C4968" t="s">
        <v>12</v>
      </c>
      <c r="D4968">
        <v>361</v>
      </c>
      <c r="E4968">
        <v>-2145</v>
      </c>
      <c r="F4968" s="5">
        <v>43862</v>
      </c>
      <c r="G4968">
        <v>-361</v>
      </c>
      <c r="H4968" t="s">
        <v>58</v>
      </c>
    </row>
    <row r="4969" spans="1:8" x14ac:dyDescent="0.3">
      <c r="A4969">
        <v>420</v>
      </c>
      <c r="B4969" s="5">
        <v>43889</v>
      </c>
      <c r="C4969" t="s">
        <v>10</v>
      </c>
      <c r="D4969">
        <v>28</v>
      </c>
      <c r="E4969">
        <v>-2117</v>
      </c>
      <c r="F4969" s="5">
        <v>43862</v>
      </c>
      <c r="G4969">
        <v>28</v>
      </c>
      <c r="H4969" t="s">
        <v>58</v>
      </c>
    </row>
    <row r="4970" spans="1:8" x14ac:dyDescent="0.3">
      <c r="A4970">
        <v>420</v>
      </c>
      <c r="B4970" s="5">
        <v>43895</v>
      </c>
      <c r="C4970" t="s">
        <v>10</v>
      </c>
      <c r="D4970">
        <v>406</v>
      </c>
      <c r="E4970">
        <v>-1711</v>
      </c>
      <c r="F4970" s="5">
        <v>43891</v>
      </c>
      <c r="G4970">
        <v>406</v>
      </c>
      <c r="H4970" t="s">
        <v>58</v>
      </c>
    </row>
    <row r="4971" spans="1:8" x14ac:dyDescent="0.3">
      <c r="A4971">
        <v>420</v>
      </c>
      <c r="B4971" s="5">
        <v>43896</v>
      </c>
      <c r="C4971" t="s">
        <v>12</v>
      </c>
      <c r="D4971">
        <v>500</v>
      </c>
      <c r="E4971">
        <v>-2211</v>
      </c>
      <c r="F4971" s="5">
        <v>43891</v>
      </c>
      <c r="G4971">
        <v>-500</v>
      </c>
      <c r="H4971" t="s">
        <v>58</v>
      </c>
    </row>
    <row r="4972" spans="1:8" x14ac:dyDescent="0.3">
      <c r="A4972">
        <v>420</v>
      </c>
      <c r="B4972" s="5">
        <v>43897</v>
      </c>
      <c r="C4972" t="s">
        <v>12</v>
      </c>
      <c r="D4972">
        <v>103</v>
      </c>
      <c r="E4972">
        <v>-2314</v>
      </c>
      <c r="F4972" s="5">
        <v>43891</v>
      </c>
      <c r="G4972">
        <v>-103</v>
      </c>
      <c r="H4972" t="s">
        <v>58</v>
      </c>
    </row>
    <row r="4973" spans="1:8" x14ac:dyDescent="0.3">
      <c r="A4973">
        <v>420</v>
      </c>
      <c r="B4973" s="5">
        <v>43914</v>
      </c>
      <c r="C4973" t="s">
        <v>11</v>
      </c>
      <c r="D4973">
        <v>143</v>
      </c>
      <c r="E4973">
        <v>-2457</v>
      </c>
      <c r="F4973" s="5">
        <v>43891</v>
      </c>
      <c r="G4973">
        <v>-143</v>
      </c>
      <c r="H4973" t="s">
        <v>58</v>
      </c>
    </row>
    <row r="4974" spans="1:8" x14ac:dyDescent="0.3">
      <c r="A4974">
        <v>420</v>
      </c>
      <c r="B4974" s="5">
        <v>43930</v>
      </c>
      <c r="C4974" t="s">
        <v>11</v>
      </c>
      <c r="D4974">
        <v>435</v>
      </c>
      <c r="E4974">
        <v>-2892</v>
      </c>
      <c r="F4974" s="5">
        <v>43922</v>
      </c>
      <c r="G4974">
        <v>-435</v>
      </c>
      <c r="H4974" t="s">
        <v>58</v>
      </c>
    </row>
    <row r="4975" spans="1:8" x14ac:dyDescent="0.3">
      <c r="A4975">
        <v>420</v>
      </c>
      <c r="B4975" s="5">
        <v>43933</v>
      </c>
      <c r="C4975" t="s">
        <v>10</v>
      </c>
      <c r="D4975">
        <v>641</v>
      </c>
      <c r="E4975">
        <v>-2251</v>
      </c>
      <c r="F4975" s="5">
        <v>43922</v>
      </c>
      <c r="G4975">
        <v>641</v>
      </c>
      <c r="H4975" t="s">
        <v>58</v>
      </c>
    </row>
    <row r="4976" spans="1:8" x14ac:dyDescent="0.3">
      <c r="A4976">
        <v>420</v>
      </c>
      <c r="B4976" s="5">
        <v>43937</v>
      </c>
      <c r="C4976" t="s">
        <v>12</v>
      </c>
      <c r="D4976">
        <v>313</v>
      </c>
      <c r="E4976">
        <v>-2564</v>
      </c>
      <c r="F4976" s="5">
        <v>43922</v>
      </c>
      <c r="G4976">
        <v>-313</v>
      </c>
      <c r="H4976" t="s">
        <v>58</v>
      </c>
    </row>
    <row r="4977" spans="1:8" x14ac:dyDescent="0.3">
      <c r="A4977">
        <v>420</v>
      </c>
      <c r="B4977" s="5">
        <v>43942</v>
      </c>
      <c r="C4977" t="s">
        <v>10</v>
      </c>
      <c r="D4977">
        <v>486</v>
      </c>
      <c r="E4977">
        <v>-2078</v>
      </c>
      <c r="F4977" s="5">
        <v>43922</v>
      </c>
      <c r="G4977">
        <v>486</v>
      </c>
      <c r="H4977" t="s">
        <v>58</v>
      </c>
    </row>
    <row r="4978" spans="1:8" x14ac:dyDescent="0.3">
      <c r="A4978">
        <v>421</v>
      </c>
      <c r="B4978" s="5">
        <v>43839</v>
      </c>
      <c r="C4978" t="s">
        <v>10</v>
      </c>
      <c r="D4978">
        <v>205</v>
      </c>
      <c r="E4978">
        <v>205</v>
      </c>
      <c r="F4978" s="5">
        <v>43831</v>
      </c>
      <c r="G4978">
        <v>205</v>
      </c>
      <c r="H4978" t="s">
        <v>57</v>
      </c>
    </row>
    <row r="4979" spans="1:8" x14ac:dyDescent="0.3">
      <c r="A4979">
        <v>421</v>
      </c>
      <c r="B4979" s="5">
        <v>43858</v>
      </c>
      <c r="C4979" t="s">
        <v>11</v>
      </c>
      <c r="D4979">
        <v>946</v>
      </c>
      <c r="E4979">
        <v>-741</v>
      </c>
      <c r="F4979" s="5">
        <v>43831</v>
      </c>
      <c r="G4979">
        <v>-946</v>
      </c>
      <c r="H4979" t="s">
        <v>58</v>
      </c>
    </row>
    <row r="4980" spans="1:8" x14ac:dyDescent="0.3">
      <c r="A4980">
        <v>421</v>
      </c>
      <c r="B4980" s="5">
        <v>43864</v>
      </c>
      <c r="C4980" t="s">
        <v>10</v>
      </c>
      <c r="D4980">
        <v>523</v>
      </c>
      <c r="E4980">
        <v>-218</v>
      </c>
      <c r="F4980" s="5">
        <v>43862</v>
      </c>
      <c r="G4980">
        <v>523</v>
      </c>
      <c r="H4980" t="s">
        <v>58</v>
      </c>
    </row>
    <row r="4981" spans="1:8" x14ac:dyDescent="0.3">
      <c r="A4981">
        <v>421</v>
      </c>
      <c r="B4981" s="5">
        <v>43873</v>
      </c>
      <c r="C4981" t="s">
        <v>12</v>
      </c>
      <c r="D4981">
        <v>353</v>
      </c>
      <c r="E4981">
        <v>-571</v>
      </c>
      <c r="F4981" s="5">
        <v>43862</v>
      </c>
      <c r="G4981">
        <v>-353</v>
      </c>
      <c r="H4981" t="s">
        <v>58</v>
      </c>
    </row>
    <row r="4982" spans="1:8" x14ac:dyDescent="0.3">
      <c r="A4982">
        <v>421</v>
      </c>
      <c r="B4982" s="5">
        <v>43894</v>
      </c>
      <c r="C4982" t="s">
        <v>12</v>
      </c>
      <c r="D4982">
        <v>38</v>
      </c>
      <c r="E4982">
        <v>-609</v>
      </c>
      <c r="F4982" s="5">
        <v>43891</v>
      </c>
      <c r="G4982">
        <v>-38</v>
      </c>
      <c r="H4982" t="s">
        <v>58</v>
      </c>
    </row>
    <row r="4983" spans="1:8" x14ac:dyDescent="0.3">
      <c r="A4983">
        <v>421</v>
      </c>
      <c r="B4983" s="5">
        <v>43915</v>
      </c>
      <c r="C4983" t="s">
        <v>10</v>
      </c>
      <c r="D4983">
        <v>196</v>
      </c>
      <c r="E4983">
        <v>-413</v>
      </c>
      <c r="F4983" s="5">
        <v>43891</v>
      </c>
      <c r="G4983">
        <v>196</v>
      </c>
      <c r="H4983" t="s">
        <v>58</v>
      </c>
    </row>
    <row r="4984" spans="1:8" x14ac:dyDescent="0.3">
      <c r="A4984">
        <v>421</v>
      </c>
      <c r="B4984" s="5">
        <v>43925</v>
      </c>
      <c r="C4984" t="s">
        <v>11</v>
      </c>
      <c r="D4984">
        <v>175</v>
      </c>
      <c r="E4984">
        <v>-588</v>
      </c>
      <c r="F4984" s="5">
        <v>43922</v>
      </c>
      <c r="G4984">
        <v>-175</v>
      </c>
      <c r="H4984" t="s">
        <v>58</v>
      </c>
    </row>
    <row r="4985" spans="1:8" x14ac:dyDescent="0.3">
      <c r="A4985">
        <v>421</v>
      </c>
      <c r="B4985" s="5">
        <v>43926</v>
      </c>
      <c r="C4985" t="s">
        <v>10</v>
      </c>
      <c r="D4985">
        <v>900</v>
      </c>
      <c r="E4985">
        <v>312</v>
      </c>
      <c r="F4985" s="5">
        <v>43922</v>
      </c>
      <c r="G4985">
        <v>900</v>
      </c>
      <c r="H4985" t="s">
        <v>57</v>
      </c>
    </row>
    <row r="4986" spans="1:8" x14ac:dyDescent="0.3">
      <c r="A4986">
        <v>422</v>
      </c>
      <c r="B4986" s="5">
        <v>43855</v>
      </c>
      <c r="C4986" t="s">
        <v>10</v>
      </c>
      <c r="D4986">
        <v>356</v>
      </c>
      <c r="E4986">
        <v>356</v>
      </c>
      <c r="F4986" s="5">
        <v>43831</v>
      </c>
      <c r="G4986">
        <v>356</v>
      </c>
      <c r="H4986" t="s">
        <v>57</v>
      </c>
    </row>
    <row r="4987" spans="1:8" x14ac:dyDescent="0.3">
      <c r="A4987">
        <v>422</v>
      </c>
      <c r="B4987" s="5">
        <v>43863</v>
      </c>
      <c r="C4987" t="s">
        <v>11</v>
      </c>
      <c r="D4987">
        <v>8</v>
      </c>
      <c r="E4987">
        <v>348</v>
      </c>
      <c r="F4987" s="5">
        <v>43862</v>
      </c>
      <c r="G4987">
        <v>-8</v>
      </c>
      <c r="H4987" t="s">
        <v>57</v>
      </c>
    </row>
    <row r="4988" spans="1:8" x14ac:dyDescent="0.3">
      <c r="A4988">
        <v>422</v>
      </c>
      <c r="B4988" s="5">
        <v>43865</v>
      </c>
      <c r="C4988" t="s">
        <v>11</v>
      </c>
      <c r="D4988">
        <v>947</v>
      </c>
      <c r="E4988">
        <v>-599</v>
      </c>
      <c r="F4988" s="5">
        <v>43862</v>
      </c>
      <c r="G4988">
        <v>-947</v>
      </c>
      <c r="H4988" t="s">
        <v>58</v>
      </c>
    </row>
    <row r="4989" spans="1:8" x14ac:dyDescent="0.3">
      <c r="A4989">
        <v>422</v>
      </c>
      <c r="B4989" s="5">
        <v>43868</v>
      </c>
      <c r="C4989" t="s">
        <v>10</v>
      </c>
      <c r="D4989">
        <v>364</v>
      </c>
      <c r="E4989">
        <v>-235</v>
      </c>
      <c r="F4989" s="5">
        <v>43862</v>
      </c>
      <c r="G4989">
        <v>364</v>
      </c>
      <c r="H4989" t="s">
        <v>58</v>
      </c>
    </row>
    <row r="4990" spans="1:8" x14ac:dyDescent="0.3">
      <c r="A4990">
        <v>422</v>
      </c>
      <c r="B4990" s="5">
        <v>43869</v>
      </c>
      <c r="C4990" t="s">
        <v>12</v>
      </c>
      <c r="D4990">
        <v>653</v>
      </c>
      <c r="E4990">
        <v>-888</v>
      </c>
      <c r="F4990" s="5">
        <v>43862</v>
      </c>
      <c r="G4990">
        <v>-653</v>
      </c>
      <c r="H4990" t="s">
        <v>58</v>
      </c>
    </row>
    <row r="4991" spans="1:8" x14ac:dyDescent="0.3">
      <c r="A4991">
        <v>422</v>
      </c>
      <c r="B4991" s="5">
        <v>43869</v>
      </c>
      <c r="C4991" t="s">
        <v>12</v>
      </c>
      <c r="D4991">
        <v>779</v>
      </c>
      <c r="E4991">
        <v>-1667</v>
      </c>
      <c r="F4991" s="5">
        <v>43862</v>
      </c>
      <c r="G4991">
        <v>-779</v>
      </c>
      <c r="H4991" t="s">
        <v>58</v>
      </c>
    </row>
    <row r="4992" spans="1:8" x14ac:dyDescent="0.3">
      <c r="A4992">
        <v>422</v>
      </c>
      <c r="B4992" s="5">
        <v>43874</v>
      </c>
      <c r="C4992" t="s">
        <v>11</v>
      </c>
      <c r="D4992">
        <v>465</v>
      </c>
      <c r="E4992">
        <v>-2132</v>
      </c>
      <c r="F4992" s="5">
        <v>43862</v>
      </c>
      <c r="G4992">
        <v>-465</v>
      </c>
      <c r="H4992" t="s">
        <v>58</v>
      </c>
    </row>
    <row r="4993" spans="1:8" x14ac:dyDescent="0.3">
      <c r="A4993">
        <v>422</v>
      </c>
      <c r="B4993" s="5">
        <v>43889</v>
      </c>
      <c r="C4993" t="s">
        <v>10</v>
      </c>
      <c r="D4993">
        <v>442</v>
      </c>
      <c r="E4993">
        <v>-1690</v>
      </c>
      <c r="F4993" s="5">
        <v>43862</v>
      </c>
      <c r="G4993">
        <v>442</v>
      </c>
      <c r="H4993" t="s">
        <v>58</v>
      </c>
    </row>
    <row r="4994" spans="1:8" x14ac:dyDescent="0.3">
      <c r="A4994">
        <v>422</v>
      </c>
      <c r="B4994" s="5">
        <v>43890</v>
      </c>
      <c r="C4994" t="s">
        <v>10</v>
      </c>
      <c r="D4994">
        <v>434</v>
      </c>
      <c r="E4994">
        <v>-1256</v>
      </c>
      <c r="F4994" s="5">
        <v>43862</v>
      </c>
      <c r="G4994">
        <v>434</v>
      </c>
      <c r="H4994" t="s">
        <v>58</v>
      </c>
    </row>
    <row r="4995" spans="1:8" x14ac:dyDescent="0.3">
      <c r="A4995">
        <v>422</v>
      </c>
      <c r="B4995" s="5">
        <v>43890</v>
      </c>
      <c r="C4995" t="s">
        <v>11</v>
      </c>
      <c r="D4995">
        <v>405</v>
      </c>
      <c r="E4995">
        <v>-1661</v>
      </c>
      <c r="F4995" s="5">
        <v>43862</v>
      </c>
      <c r="G4995">
        <v>-405</v>
      </c>
      <c r="H4995" t="s">
        <v>58</v>
      </c>
    </row>
    <row r="4996" spans="1:8" x14ac:dyDescent="0.3">
      <c r="A4996">
        <v>422</v>
      </c>
      <c r="B4996" s="5">
        <v>43892</v>
      </c>
      <c r="C4996" t="s">
        <v>11</v>
      </c>
      <c r="D4996">
        <v>641</v>
      </c>
      <c r="E4996">
        <v>-2302</v>
      </c>
      <c r="F4996" s="5">
        <v>43891</v>
      </c>
      <c r="G4996">
        <v>-641</v>
      </c>
      <c r="H4996" t="s">
        <v>58</v>
      </c>
    </row>
    <row r="4997" spans="1:8" x14ac:dyDescent="0.3">
      <c r="A4997">
        <v>422</v>
      </c>
      <c r="B4997" s="5">
        <v>43892</v>
      </c>
      <c r="C4997" t="s">
        <v>10</v>
      </c>
      <c r="D4997">
        <v>814</v>
      </c>
      <c r="E4997">
        <v>-1488</v>
      </c>
      <c r="F4997" s="5">
        <v>43891</v>
      </c>
      <c r="G4997">
        <v>814</v>
      </c>
      <c r="H4997" t="s">
        <v>58</v>
      </c>
    </row>
    <row r="4998" spans="1:8" x14ac:dyDescent="0.3">
      <c r="A4998">
        <v>422</v>
      </c>
      <c r="B4998" s="5">
        <v>43898</v>
      </c>
      <c r="C4998" t="s">
        <v>10</v>
      </c>
      <c r="D4998">
        <v>944</v>
      </c>
      <c r="E4998">
        <v>-544</v>
      </c>
      <c r="F4998" s="5">
        <v>43891</v>
      </c>
      <c r="G4998">
        <v>944</v>
      </c>
      <c r="H4998" t="s">
        <v>58</v>
      </c>
    </row>
    <row r="4999" spans="1:8" x14ac:dyDescent="0.3">
      <c r="A4999">
        <v>422</v>
      </c>
      <c r="B4999" s="5">
        <v>43904</v>
      </c>
      <c r="C4999" t="s">
        <v>11</v>
      </c>
      <c r="D4999">
        <v>256</v>
      </c>
      <c r="E4999">
        <v>-800</v>
      </c>
      <c r="F4999" s="5">
        <v>43891</v>
      </c>
      <c r="G4999">
        <v>-256</v>
      </c>
      <c r="H4999" t="s">
        <v>58</v>
      </c>
    </row>
    <row r="5000" spans="1:8" x14ac:dyDescent="0.3">
      <c r="A5000">
        <v>422</v>
      </c>
      <c r="B5000" s="5">
        <v>43912</v>
      </c>
      <c r="C5000" t="s">
        <v>11</v>
      </c>
      <c r="D5000">
        <v>488</v>
      </c>
      <c r="E5000">
        <v>-1288</v>
      </c>
      <c r="F5000" s="5">
        <v>43891</v>
      </c>
      <c r="G5000">
        <v>-488</v>
      </c>
      <c r="H5000" t="s">
        <v>58</v>
      </c>
    </row>
    <row r="5001" spans="1:8" x14ac:dyDescent="0.3">
      <c r="A5001">
        <v>422</v>
      </c>
      <c r="B5001" s="5">
        <v>43914</v>
      </c>
      <c r="C5001" t="s">
        <v>10</v>
      </c>
      <c r="D5001">
        <v>242</v>
      </c>
      <c r="E5001">
        <v>-1046</v>
      </c>
      <c r="F5001" s="5">
        <v>43891</v>
      </c>
      <c r="G5001">
        <v>242</v>
      </c>
      <c r="H5001" t="s">
        <v>58</v>
      </c>
    </row>
    <row r="5002" spans="1:8" x14ac:dyDescent="0.3">
      <c r="A5002">
        <v>422</v>
      </c>
      <c r="B5002" s="5">
        <v>43927</v>
      </c>
      <c r="C5002" t="s">
        <v>11</v>
      </c>
      <c r="D5002">
        <v>210</v>
      </c>
      <c r="E5002">
        <v>-1256</v>
      </c>
      <c r="F5002" s="5">
        <v>43922</v>
      </c>
      <c r="G5002">
        <v>-210</v>
      </c>
      <c r="H5002" t="s">
        <v>58</v>
      </c>
    </row>
    <row r="5003" spans="1:8" x14ac:dyDescent="0.3">
      <c r="A5003">
        <v>422</v>
      </c>
      <c r="B5003" s="5">
        <v>43928</v>
      </c>
      <c r="C5003" t="s">
        <v>12</v>
      </c>
      <c r="D5003">
        <v>878</v>
      </c>
      <c r="E5003">
        <v>-2134</v>
      </c>
      <c r="F5003" s="5">
        <v>43922</v>
      </c>
      <c r="G5003">
        <v>-878</v>
      </c>
      <c r="H5003" t="s">
        <v>58</v>
      </c>
    </row>
    <row r="5004" spans="1:8" x14ac:dyDescent="0.3">
      <c r="A5004">
        <v>422</v>
      </c>
      <c r="B5004" s="5">
        <v>43932</v>
      </c>
      <c r="C5004" t="s">
        <v>11</v>
      </c>
      <c r="D5004">
        <v>787</v>
      </c>
      <c r="E5004">
        <v>-2921</v>
      </c>
      <c r="F5004" s="5">
        <v>43922</v>
      </c>
      <c r="G5004">
        <v>-787</v>
      </c>
      <c r="H5004" t="s">
        <v>58</v>
      </c>
    </row>
    <row r="5005" spans="1:8" x14ac:dyDescent="0.3">
      <c r="A5005">
        <v>422</v>
      </c>
      <c r="B5005" s="5">
        <v>43932</v>
      </c>
      <c r="C5005" t="s">
        <v>10</v>
      </c>
      <c r="D5005">
        <v>355</v>
      </c>
      <c r="E5005">
        <v>-2566</v>
      </c>
      <c r="F5005" s="5">
        <v>43922</v>
      </c>
      <c r="G5005">
        <v>355</v>
      </c>
      <c r="H5005" t="s">
        <v>58</v>
      </c>
    </row>
    <row r="5006" spans="1:8" x14ac:dyDescent="0.3">
      <c r="A5006">
        <v>422</v>
      </c>
      <c r="B5006" s="5">
        <v>43941</v>
      </c>
      <c r="C5006" t="s">
        <v>11</v>
      </c>
      <c r="D5006">
        <v>791</v>
      </c>
      <c r="E5006">
        <v>-3357</v>
      </c>
      <c r="F5006" s="5">
        <v>43922</v>
      </c>
      <c r="G5006">
        <v>-791</v>
      </c>
      <c r="H5006" t="s">
        <v>58</v>
      </c>
    </row>
    <row r="5007" spans="1:8" x14ac:dyDescent="0.3">
      <c r="A5007">
        <v>423</v>
      </c>
      <c r="B5007" s="5">
        <v>43848</v>
      </c>
      <c r="C5007" t="s">
        <v>10</v>
      </c>
      <c r="D5007">
        <v>164</v>
      </c>
      <c r="E5007">
        <v>164</v>
      </c>
      <c r="F5007" s="5">
        <v>43831</v>
      </c>
      <c r="G5007">
        <v>164</v>
      </c>
      <c r="H5007" t="s">
        <v>57</v>
      </c>
    </row>
    <row r="5008" spans="1:8" x14ac:dyDescent="0.3">
      <c r="A5008">
        <v>423</v>
      </c>
      <c r="B5008" s="5">
        <v>43853</v>
      </c>
      <c r="C5008" t="s">
        <v>10</v>
      </c>
      <c r="D5008">
        <v>197</v>
      </c>
      <c r="E5008">
        <v>361</v>
      </c>
      <c r="F5008" s="5">
        <v>43831</v>
      </c>
      <c r="G5008">
        <v>197</v>
      </c>
      <c r="H5008" t="s">
        <v>57</v>
      </c>
    </row>
    <row r="5009" spans="1:8" x14ac:dyDescent="0.3">
      <c r="A5009">
        <v>423</v>
      </c>
      <c r="B5009" s="5">
        <v>43866</v>
      </c>
      <c r="C5009" t="s">
        <v>11</v>
      </c>
      <c r="D5009">
        <v>767</v>
      </c>
      <c r="E5009">
        <v>-406</v>
      </c>
      <c r="F5009" s="5">
        <v>43862</v>
      </c>
      <c r="G5009">
        <v>-767</v>
      </c>
      <c r="H5009" t="s">
        <v>58</v>
      </c>
    </row>
    <row r="5010" spans="1:8" x14ac:dyDescent="0.3">
      <c r="A5010">
        <v>423</v>
      </c>
      <c r="B5010" s="5">
        <v>43887</v>
      </c>
      <c r="C5010" t="s">
        <v>10</v>
      </c>
      <c r="D5010">
        <v>144</v>
      </c>
      <c r="E5010">
        <v>-262</v>
      </c>
      <c r="F5010" s="5">
        <v>43862</v>
      </c>
      <c r="G5010">
        <v>144</v>
      </c>
      <c r="H5010" t="s">
        <v>58</v>
      </c>
    </row>
    <row r="5011" spans="1:8" x14ac:dyDescent="0.3">
      <c r="A5011">
        <v>423</v>
      </c>
      <c r="B5011" s="5">
        <v>43891</v>
      </c>
      <c r="C5011" t="s">
        <v>11</v>
      </c>
      <c r="D5011">
        <v>374</v>
      </c>
      <c r="E5011">
        <v>-636</v>
      </c>
      <c r="F5011" s="5">
        <v>43891</v>
      </c>
      <c r="G5011">
        <v>-374</v>
      </c>
      <c r="H5011" t="s">
        <v>58</v>
      </c>
    </row>
    <row r="5012" spans="1:8" x14ac:dyDescent="0.3">
      <c r="A5012">
        <v>423</v>
      </c>
      <c r="B5012" s="5">
        <v>43893</v>
      </c>
      <c r="C5012" t="s">
        <v>10</v>
      </c>
      <c r="D5012">
        <v>983</v>
      </c>
      <c r="E5012">
        <v>347</v>
      </c>
      <c r="F5012" s="5">
        <v>43891</v>
      </c>
      <c r="G5012">
        <v>983</v>
      </c>
      <c r="H5012" t="s">
        <v>57</v>
      </c>
    </row>
    <row r="5013" spans="1:8" x14ac:dyDescent="0.3">
      <c r="A5013">
        <v>423</v>
      </c>
      <c r="B5013" s="5">
        <v>43895</v>
      </c>
      <c r="C5013" t="s">
        <v>10</v>
      </c>
      <c r="D5013">
        <v>974</v>
      </c>
      <c r="E5013">
        <v>1321</v>
      </c>
      <c r="F5013" s="5">
        <v>43891</v>
      </c>
      <c r="G5013">
        <v>974</v>
      </c>
      <c r="H5013" t="s">
        <v>57</v>
      </c>
    </row>
    <row r="5014" spans="1:8" x14ac:dyDescent="0.3">
      <c r="A5014">
        <v>424</v>
      </c>
      <c r="B5014" s="5">
        <v>43842</v>
      </c>
      <c r="C5014" t="s">
        <v>10</v>
      </c>
      <c r="D5014">
        <v>995</v>
      </c>
      <c r="E5014">
        <v>995</v>
      </c>
      <c r="F5014" s="5">
        <v>43831</v>
      </c>
      <c r="G5014">
        <v>995</v>
      </c>
      <c r="H5014" t="s">
        <v>57</v>
      </c>
    </row>
    <row r="5015" spans="1:8" x14ac:dyDescent="0.3">
      <c r="A5015">
        <v>424</v>
      </c>
      <c r="B5015" s="5">
        <v>43844</v>
      </c>
      <c r="C5015" t="s">
        <v>11</v>
      </c>
      <c r="D5015">
        <v>371</v>
      </c>
      <c r="E5015">
        <v>624</v>
      </c>
      <c r="F5015" s="5">
        <v>43831</v>
      </c>
      <c r="G5015">
        <v>-371</v>
      </c>
      <c r="H5015" t="s">
        <v>57</v>
      </c>
    </row>
    <row r="5016" spans="1:8" x14ac:dyDescent="0.3">
      <c r="A5016">
        <v>424</v>
      </c>
      <c r="B5016" s="5">
        <v>43848</v>
      </c>
      <c r="C5016" t="s">
        <v>11</v>
      </c>
      <c r="D5016">
        <v>932</v>
      </c>
      <c r="E5016">
        <v>-308</v>
      </c>
      <c r="F5016" s="5">
        <v>43831</v>
      </c>
      <c r="G5016">
        <v>-932</v>
      </c>
      <c r="H5016" t="s">
        <v>58</v>
      </c>
    </row>
    <row r="5017" spans="1:8" x14ac:dyDescent="0.3">
      <c r="A5017">
        <v>424</v>
      </c>
      <c r="B5017" s="5">
        <v>43860</v>
      </c>
      <c r="C5017" t="s">
        <v>11</v>
      </c>
      <c r="D5017">
        <v>287</v>
      </c>
      <c r="E5017">
        <v>-595</v>
      </c>
      <c r="F5017" s="5">
        <v>43831</v>
      </c>
      <c r="G5017">
        <v>-287</v>
      </c>
      <c r="H5017" t="s">
        <v>58</v>
      </c>
    </row>
    <row r="5018" spans="1:8" x14ac:dyDescent="0.3">
      <c r="A5018">
        <v>424</v>
      </c>
      <c r="B5018" s="5">
        <v>43865</v>
      </c>
      <c r="C5018" t="s">
        <v>10</v>
      </c>
      <c r="D5018">
        <v>836</v>
      </c>
      <c r="E5018">
        <v>241</v>
      </c>
      <c r="F5018" s="5">
        <v>43862</v>
      </c>
      <c r="G5018">
        <v>836</v>
      </c>
      <c r="H5018" t="s">
        <v>57</v>
      </c>
    </row>
    <row r="5019" spans="1:8" x14ac:dyDescent="0.3">
      <c r="A5019">
        <v>424</v>
      </c>
      <c r="B5019" s="5">
        <v>43873</v>
      </c>
      <c r="C5019" t="s">
        <v>12</v>
      </c>
      <c r="D5019">
        <v>580</v>
      </c>
      <c r="E5019">
        <v>-339</v>
      </c>
      <c r="F5019" s="5">
        <v>43862</v>
      </c>
      <c r="G5019">
        <v>-580</v>
      </c>
      <c r="H5019" t="s">
        <v>58</v>
      </c>
    </row>
    <row r="5020" spans="1:8" x14ac:dyDescent="0.3">
      <c r="A5020">
        <v>424</v>
      </c>
      <c r="B5020" s="5">
        <v>43875</v>
      </c>
      <c r="C5020" t="s">
        <v>10</v>
      </c>
      <c r="D5020">
        <v>591</v>
      </c>
      <c r="E5020">
        <v>252</v>
      </c>
      <c r="F5020" s="5">
        <v>43862</v>
      </c>
      <c r="G5020">
        <v>591</v>
      </c>
      <c r="H5020" t="s">
        <v>57</v>
      </c>
    </row>
    <row r="5021" spans="1:8" x14ac:dyDescent="0.3">
      <c r="A5021">
        <v>424</v>
      </c>
      <c r="B5021" s="5">
        <v>43877</v>
      </c>
      <c r="C5021" t="s">
        <v>10</v>
      </c>
      <c r="D5021">
        <v>702</v>
      </c>
      <c r="E5021">
        <v>954</v>
      </c>
      <c r="F5021" s="5">
        <v>43862</v>
      </c>
      <c r="G5021">
        <v>702</v>
      </c>
      <c r="H5021" t="s">
        <v>57</v>
      </c>
    </row>
    <row r="5022" spans="1:8" x14ac:dyDescent="0.3">
      <c r="A5022">
        <v>424</v>
      </c>
      <c r="B5022" s="5">
        <v>43879</v>
      </c>
      <c r="C5022" t="s">
        <v>11</v>
      </c>
      <c r="D5022">
        <v>323</v>
      </c>
      <c r="E5022">
        <v>631</v>
      </c>
      <c r="F5022" s="5">
        <v>43862</v>
      </c>
      <c r="G5022">
        <v>-323</v>
      </c>
      <c r="H5022" t="s">
        <v>57</v>
      </c>
    </row>
    <row r="5023" spans="1:8" x14ac:dyDescent="0.3">
      <c r="A5023">
        <v>424</v>
      </c>
      <c r="B5023" s="5">
        <v>43879</v>
      </c>
      <c r="C5023" t="s">
        <v>11</v>
      </c>
      <c r="D5023">
        <v>311</v>
      </c>
      <c r="E5023">
        <v>320</v>
      </c>
      <c r="F5023" s="5">
        <v>43862</v>
      </c>
      <c r="G5023">
        <v>-311</v>
      </c>
      <c r="H5023" t="s">
        <v>57</v>
      </c>
    </row>
    <row r="5024" spans="1:8" x14ac:dyDescent="0.3">
      <c r="A5024">
        <v>424</v>
      </c>
      <c r="B5024" s="5">
        <v>43885</v>
      </c>
      <c r="C5024" t="s">
        <v>12</v>
      </c>
      <c r="D5024">
        <v>264</v>
      </c>
      <c r="E5024">
        <v>56</v>
      </c>
      <c r="F5024" s="5">
        <v>43862</v>
      </c>
      <c r="G5024">
        <v>-264</v>
      </c>
      <c r="H5024" t="s">
        <v>57</v>
      </c>
    </row>
    <row r="5025" spans="1:8" x14ac:dyDescent="0.3">
      <c r="A5025">
        <v>424</v>
      </c>
      <c r="B5025" s="5">
        <v>43886</v>
      </c>
      <c r="C5025" t="s">
        <v>11</v>
      </c>
      <c r="D5025">
        <v>903</v>
      </c>
      <c r="E5025">
        <v>-847</v>
      </c>
      <c r="F5025" s="5">
        <v>43862</v>
      </c>
      <c r="G5025">
        <v>-903</v>
      </c>
      <c r="H5025" t="s">
        <v>58</v>
      </c>
    </row>
    <row r="5026" spans="1:8" x14ac:dyDescent="0.3">
      <c r="A5026">
        <v>424</v>
      </c>
      <c r="B5026" s="5">
        <v>43889</v>
      </c>
      <c r="C5026" t="s">
        <v>11</v>
      </c>
      <c r="D5026">
        <v>733</v>
      </c>
      <c r="E5026">
        <v>-1580</v>
      </c>
      <c r="F5026" s="5">
        <v>43862</v>
      </c>
      <c r="G5026">
        <v>-733</v>
      </c>
      <c r="H5026" t="s">
        <v>58</v>
      </c>
    </row>
    <row r="5027" spans="1:8" x14ac:dyDescent="0.3">
      <c r="A5027">
        <v>424</v>
      </c>
      <c r="B5027" s="5">
        <v>43890</v>
      </c>
      <c r="C5027" t="s">
        <v>10</v>
      </c>
      <c r="D5027">
        <v>932</v>
      </c>
      <c r="E5027">
        <v>-648</v>
      </c>
      <c r="F5027" s="5">
        <v>43862</v>
      </c>
      <c r="G5027">
        <v>932</v>
      </c>
      <c r="H5027" t="s">
        <v>58</v>
      </c>
    </row>
    <row r="5028" spans="1:8" x14ac:dyDescent="0.3">
      <c r="A5028">
        <v>424</v>
      </c>
      <c r="B5028" s="5">
        <v>43895</v>
      </c>
      <c r="C5028" t="s">
        <v>11</v>
      </c>
      <c r="D5028">
        <v>250</v>
      </c>
      <c r="E5028">
        <v>-898</v>
      </c>
      <c r="F5028" s="5">
        <v>43891</v>
      </c>
      <c r="G5028">
        <v>-250</v>
      </c>
      <c r="H5028" t="s">
        <v>58</v>
      </c>
    </row>
    <row r="5029" spans="1:8" x14ac:dyDescent="0.3">
      <c r="A5029">
        <v>424</v>
      </c>
      <c r="B5029" s="5">
        <v>43899</v>
      </c>
      <c r="C5029" t="s">
        <v>10</v>
      </c>
      <c r="D5029">
        <v>761</v>
      </c>
      <c r="E5029">
        <v>-137</v>
      </c>
      <c r="F5029" s="5">
        <v>43891</v>
      </c>
      <c r="G5029">
        <v>761</v>
      </c>
      <c r="H5029" t="s">
        <v>58</v>
      </c>
    </row>
    <row r="5030" spans="1:8" x14ac:dyDescent="0.3">
      <c r="A5030">
        <v>424</v>
      </c>
      <c r="B5030" s="5">
        <v>43905</v>
      </c>
      <c r="C5030" t="s">
        <v>12</v>
      </c>
      <c r="D5030">
        <v>800</v>
      </c>
      <c r="E5030">
        <v>-937</v>
      </c>
      <c r="F5030" s="5">
        <v>43891</v>
      </c>
      <c r="G5030">
        <v>-800</v>
      </c>
      <c r="H5030" t="s">
        <v>58</v>
      </c>
    </row>
    <row r="5031" spans="1:8" x14ac:dyDescent="0.3">
      <c r="A5031">
        <v>424</v>
      </c>
      <c r="B5031" s="5">
        <v>43912</v>
      </c>
      <c r="C5031" t="s">
        <v>10</v>
      </c>
      <c r="D5031">
        <v>788</v>
      </c>
      <c r="E5031">
        <v>-149</v>
      </c>
      <c r="F5031" s="5">
        <v>43891</v>
      </c>
      <c r="G5031">
        <v>788</v>
      </c>
      <c r="H5031" t="s">
        <v>58</v>
      </c>
    </row>
    <row r="5032" spans="1:8" x14ac:dyDescent="0.3">
      <c r="A5032">
        <v>424</v>
      </c>
      <c r="B5032" s="5">
        <v>43915</v>
      </c>
      <c r="C5032" t="s">
        <v>11</v>
      </c>
      <c r="D5032">
        <v>791</v>
      </c>
      <c r="E5032">
        <v>-940</v>
      </c>
      <c r="F5032" s="5">
        <v>43891</v>
      </c>
      <c r="G5032">
        <v>-791</v>
      </c>
      <c r="H5032" t="s">
        <v>58</v>
      </c>
    </row>
    <row r="5033" spans="1:8" x14ac:dyDescent="0.3">
      <c r="A5033">
        <v>424</v>
      </c>
      <c r="B5033" s="5">
        <v>43926</v>
      </c>
      <c r="C5033" t="s">
        <v>10</v>
      </c>
      <c r="D5033">
        <v>626</v>
      </c>
      <c r="E5033">
        <v>-314</v>
      </c>
      <c r="F5033" s="5">
        <v>43922</v>
      </c>
      <c r="G5033">
        <v>626</v>
      </c>
      <c r="H5033" t="s">
        <v>58</v>
      </c>
    </row>
    <row r="5034" spans="1:8" x14ac:dyDescent="0.3">
      <c r="A5034">
        <v>425</v>
      </c>
      <c r="B5034" s="5">
        <v>43839</v>
      </c>
      <c r="C5034" t="s">
        <v>10</v>
      </c>
      <c r="D5034">
        <v>308</v>
      </c>
      <c r="E5034">
        <v>308</v>
      </c>
      <c r="F5034" s="5">
        <v>43831</v>
      </c>
      <c r="G5034">
        <v>308</v>
      </c>
      <c r="H5034" t="s">
        <v>57</v>
      </c>
    </row>
    <row r="5035" spans="1:8" x14ac:dyDescent="0.3">
      <c r="A5035">
        <v>425</v>
      </c>
      <c r="B5035" s="5">
        <v>43845</v>
      </c>
      <c r="C5035" t="s">
        <v>11</v>
      </c>
      <c r="D5035">
        <v>245</v>
      </c>
      <c r="E5035">
        <v>63</v>
      </c>
      <c r="F5035" s="5">
        <v>43831</v>
      </c>
      <c r="G5035">
        <v>-245</v>
      </c>
      <c r="H5035" t="s">
        <v>57</v>
      </c>
    </row>
    <row r="5036" spans="1:8" x14ac:dyDescent="0.3">
      <c r="A5036">
        <v>425</v>
      </c>
      <c r="B5036" s="5">
        <v>43875</v>
      </c>
      <c r="C5036" t="s">
        <v>10</v>
      </c>
      <c r="D5036">
        <v>708</v>
      </c>
      <c r="E5036">
        <v>771</v>
      </c>
      <c r="F5036" s="5">
        <v>43862</v>
      </c>
      <c r="G5036">
        <v>708</v>
      </c>
      <c r="H5036" t="s">
        <v>57</v>
      </c>
    </row>
    <row r="5037" spans="1:8" x14ac:dyDescent="0.3">
      <c r="A5037">
        <v>425</v>
      </c>
      <c r="B5037" s="5">
        <v>43877</v>
      </c>
      <c r="C5037" t="s">
        <v>11</v>
      </c>
      <c r="D5037">
        <v>483</v>
      </c>
      <c r="E5037">
        <v>288</v>
      </c>
      <c r="F5037" s="5">
        <v>43862</v>
      </c>
      <c r="G5037">
        <v>-483</v>
      </c>
      <c r="H5037" t="s">
        <v>57</v>
      </c>
    </row>
    <row r="5038" spans="1:8" x14ac:dyDescent="0.3">
      <c r="A5038">
        <v>425</v>
      </c>
      <c r="B5038" s="5">
        <v>43879</v>
      </c>
      <c r="C5038" t="s">
        <v>10</v>
      </c>
      <c r="D5038">
        <v>55</v>
      </c>
      <c r="E5038">
        <v>343</v>
      </c>
      <c r="F5038" s="5">
        <v>43862</v>
      </c>
      <c r="G5038">
        <v>55</v>
      </c>
      <c r="H5038" t="s">
        <v>57</v>
      </c>
    </row>
    <row r="5039" spans="1:8" x14ac:dyDescent="0.3">
      <c r="A5039">
        <v>425</v>
      </c>
      <c r="B5039" s="5">
        <v>43881</v>
      </c>
      <c r="C5039" t="s">
        <v>12</v>
      </c>
      <c r="D5039">
        <v>483</v>
      </c>
      <c r="E5039">
        <v>-140</v>
      </c>
      <c r="F5039" s="5">
        <v>43862</v>
      </c>
      <c r="G5039">
        <v>-483</v>
      </c>
      <c r="H5039" t="s">
        <v>58</v>
      </c>
    </row>
    <row r="5040" spans="1:8" x14ac:dyDescent="0.3">
      <c r="A5040">
        <v>425</v>
      </c>
      <c r="B5040" s="5">
        <v>43882</v>
      </c>
      <c r="C5040" t="s">
        <v>11</v>
      </c>
      <c r="D5040">
        <v>102</v>
      </c>
      <c r="E5040">
        <v>-242</v>
      </c>
      <c r="F5040" s="5">
        <v>43862</v>
      </c>
      <c r="G5040">
        <v>-102</v>
      </c>
      <c r="H5040" t="s">
        <v>58</v>
      </c>
    </row>
    <row r="5041" spans="1:8" x14ac:dyDescent="0.3">
      <c r="A5041">
        <v>425</v>
      </c>
      <c r="B5041" s="5">
        <v>43882</v>
      </c>
      <c r="C5041" t="s">
        <v>10</v>
      </c>
      <c r="D5041">
        <v>250</v>
      </c>
      <c r="E5041">
        <v>8</v>
      </c>
      <c r="F5041" s="5">
        <v>43862</v>
      </c>
      <c r="G5041">
        <v>250</v>
      </c>
      <c r="H5041" t="s">
        <v>57</v>
      </c>
    </row>
    <row r="5042" spans="1:8" x14ac:dyDescent="0.3">
      <c r="A5042">
        <v>425</v>
      </c>
      <c r="B5042" s="5">
        <v>43890</v>
      </c>
      <c r="C5042" t="s">
        <v>11</v>
      </c>
      <c r="D5042">
        <v>513</v>
      </c>
      <c r="E5042">
        <v>-505</v>
      </c>
      <c r="F5042" s="5">
        <v>43862</v>
      </c>
      <c r="G5042">
        <v>-513</v>
      </c>
      <c r="H5042" t="s">
        <v>58</v>
      </c>
    </row>
    <row r="5043" spans="1:8" x14ac:dyDescent="0.3">
      <c r="A5043">
        <v>425</v>
      </c>
      <c r="B5043" s="5">
        <v>43894</v>
      </c>
      <c r="C5043" t="s">
        <v>10</v>
      </c>
      <c r="D5043">
        <v>275</v>
      </c>
      <c r="E5043">
        <v>-230</v>
      </c>
      <c r="F5043" s="5">
        <v>43891</v>
      </c>
      <c r="G5043">
        <v>275</v>
      </c>
      <c r="H5043" t="s">
        <v>58</v>
      </c>
    </row>
    <row r="5044" spans="1:8" x14ac:dyDescent="0.3">
      <c r="A5044">
        <v>425</v>
      </c>
      <c r="B5044" s="5">
        <v>43898</v>
      </c>
      <c r="C5044" t="s">
        <v>10</v>
      </c>
      <c r="D5044">
        <v>287</v>
      </c>
      <c r="E5044">
        <v>57</v>
      </c>
      <c r="F5044" s="5">
        <v>43891</v>
      </c>
      <c r="G5044">
        <v>287</v>
      </c>
      <c r="H5044" t="s">
        <v>57</v>
      </c>
    </row>
    <row r="5045" spans="1:8" x14ac:dyDescent="0.3">
      <c r="A5045">
        <v>425</v>
      </c>
      <c r="B5045" s="5">
        <v>43925</v>
      </c>
      <c r="C5045" t="s">
        <v>12</v>
      </c>
      <c r="D5045">
        <v>347</v>
      </c>
      <c r="E5045">
        <v>-290</v>
      </c>
      <c r="F5045" s="5">
        <v>43922</v>
      </c>
      <c r="G5045">
        <v>-347</v>
      </c>
      <c r="H5045" t="s">
        <v>58</v>
      </c>
    </row>
    <row r="5046" spans="1:8" x14ac:dyDescent="0.3">
      <c r="A5046">
        <v>425</v>
      </c>
      <c r="B5046" s="5">
        <v>43928</v>
      </c>
      <c r="C5046" t="s">
        <v>11</v>
      </c>
      <c r="D5046">
        <v>431</v>
      </c>
      <c r="E5046">
        <v>-721</v>
      </c>
      <c r="F5046" s="5">
        <v>43922</v>
      </c>
      <c r="G5046">
        <v>-431</v>
      </c>
      <c r="H5046" t="s">
        <v>58</v>
      </c>
    </row>
    <row r="5047" spans="1:8" x14ac:dyDescent="0.3">
      <c r="A5047">
        <v>426</v>
      </c>
      <c r="B5047" s="5">
        <v>43845</v>
      </c>
      <c r="C5047" t="s">
        <v>10</v>
      </c>
      <c r="D5047">
        <v>282</v>
      </c>
      <c r="E5047">
        <v>282</v>
      </c>
      <c r="F5047" s="5">
        <v>43831</v>
      </c>
      <c r="G5047">
        <v>282</v>
      </c>
      <c r="H5047" t="s">
        <v>57</v>
      </c>
    </row>
    <row r="5048" spans="1:8" x14ac:dyDescent="0.3">
      <c r="A5048">
        <v>426</v>
      </c>
      <c r="B5048" s="5">
        <v>43852</v>
      </c>
      <c r="C5048" t="s">
        <v>11</v>
      </c>
      <c r="D5048">
        <v>984</v>
      </c>
      <c r="E5048">
        <v>-702</v>
      </c>
      <c r="F5048" s="5">
        <v>43831</v>
      </c>
      <c r="G5048">
        <v>-984</v>
      </c>
      <c r="H5048" t="s">
        <v>58</v>
      </c>
    </row>
    <row r="5049" spans="1:8" x14ac:dyDescent="0.3">
      <c r="A5049">
        <v>426</v>
      </c>
      <c r="B5049" s="5">
        <v>43857</v>
      </c>
      <c r="C5049" t="s">
        <v>11</v>
      </c>
      <c r="D5049">
        <v>408</v>
      </c>
      <c r="E5049">
        <v>-1110</v>
      </c>
      <c r="F5049" s="5">
        <v>43831</v>
      </c>
      <c r="G5049">
        <v>-408</v>
      </c>
      <c r="H5049" t="s">
        <v>58</v>
      </c>
    </row>
    <row r="5050" spans="1:8" x14ac:dyDescent="0.3">
      <c r="A5050">
        <v>426</v>
      </c>
      <c r="B5050" s="5">
        <v>43860</v>
      </c>
      <c r="C5050" t="s">
        <v>10</v>
      </c>
      <c r="D5050">
        <v>230</v>
      </c>
      <c r="E5050">
        <v>-880</v>
      </c>
      <c r="F5050" s="5">
        <v>43831</v>
      </c>
      <c r="G5050">
        <v>230</v>
      </c>
      <c r="H5050" t="s">
        <v>58</v>
      </c>
    </row>
    <row r="5051" spans="1:8" x14ac:dyDescent="0.3">
      <c r="A5051">
        <v>426</v>
      </c>
      <c r="B5051" s="5">
        <v>43862</v>
      </c>
      <c r="C5051" t="s">
        <v>11</v>
      </c>
      <c r="D5051">
        <v>861</v>
      </c>
      <c r="E5051">
        <v>-1741</v>
      </c>
      <c r="F5051" s="5">
        <v>43862</v>
      </c>
      <c r="G5051">
        <v>-861</v>
      </c>
      <c r="H5051" t="s">
        <v>58</v>
      </c>
    </row>
    <row r="5052" spans="1:8" x14ac:dyDescent="0.3">
      <c r="A5052">
        <v>426</v>
      </c>
      <c r="B5052" s="5">
        <v>43864</v>
      </c>
      <c r="C5052" t="s">
        <v>11</v>
      </c>
      <c r="D5052">
        <v>860</v>
      </c>
      <c r="E5052">
        <v>-2601</v>
      </c>
      <c r="F5052" s="5">
        <v>43862</v>
      </c>
      <c r="G5052">
        <v>-860</v>
      </c>
      <c r="H5052" t="s">
        <v>58</v>
      </c>
    </row>
    <row r="5053" spans="1:8" x14ac:dyDescent="0.3">
      <c r="A5053">
        <v>426</v>
      </c>
      <c r="B5053" s="5">
        <v>43875</v>
      </c>
      <c r="C5053" t="s">
        <v>10</v>
      </c>
      <c r="D5053">
        <v>7</v>
      </c>
      <c r="E5053">
        <v>-2594</v>
      </c>
      <c r="F5053" s="5">
        <v>43862</v>
      </c>
      <c r="G5053">
        <v>7</v>
      </c>
      <c r="H5053" t="s">
        <v>58</v>
      </c>
    </row>
    <row r="5054" spans="1:8" x14ac:dyDescent="0.3">
      <c r="A5054">
        <v>426</v>
      </c>
      <c r="B5054" s="5">
        <v>43887</v>
      </c>
      <c r="C5054" t="s">
        <v>11</v>
      </c>
      <c r="D5054">
        <v>462</v>
      </c>
      <c r="E5054">
        <v>-3056</v>
      </c>
      <c r="F5054" s="5">
        <v>43862</v>
      </c>
      <c r="G5054">
        <v>-462</v>
      </c>
      <c r="H5054" t="s">
        <v>58</v>
      </c>
    </row>
    <row r="5055" spans="1:8" x14ac:dyDescent="0.3">
      <c r="A5055">
        <v>426</v>
      </c>
      <c r="B5055" s="5">
        <v>43890</v>
      </c>
      <c r="C5055" t="s">
        <v>12</v>
      </c>
      <c r="D5055">
        <v>746</v>
      </c>
      <c r="E5055">
        <v>-3802</v>
      </c>
      <c r="F5055" s="5">
        <v>43862</v>
      </c>
      <c r="G5055">
        <v>-746</v>
      </c>
      <c r="H5055" t="s">
        <v>58</v>
      </c>
    </row>
    <row r="5056" spans="1:8" x14ac:dyDescent="0.3">
      <c r="A5056">
        <v>426</v>
      </c>
      <c r="B5056" s="5">
        <v>43896</v>
      </c>
      <c r="C5056" t="s">
        <v>11</v>
      </c>
      <c r="D5056">
        <v>532</v>
      </c>
      <c r="E5056">
        <v>-4334</v>
      </c>
      <c r="F5056" s="5">
        <v>43891</v>
      </c>
      <c r="G5056">
        <v>-532</v>
      </c>
      <c r="H5056" t="s">
        <v>58</v>
      </c>
    </row>
    <row r="5057" spans="1:8" x14ac:dyDescent="0.3">
      <c r="A5057">
        <v>426</v>
      </c>
      <c r="B5057" s="5">
        <v>43900</v>
      </c>
      <c r="C5057" t="s">
        <v>12</v>
      </c>
      <c r="D5057">
        <v>229</v>
      </c>
      <c r="E5057">
        <v>-4563</v>
      </c>
      <c r="F5057" s="5">
        <v>43891</v>
      </c>
      <c r="G5057">
        <v>-229</v>
      </c>
      <c r="H5057" t="s">
        <v>58</v>
      </c>
    </row>
    <row r="5058" spans="1:8" x14ac:dyDescent="0.3">
      <c r="A5058">
        <v>426</v>
      </c>
      <c r="B5058" s="5">
        <v>43911</v>
      </c>
      <c r="C5058" t="s">
        <v>12</v>
      </c>
      <c r="D5058">
        <v>59</v>
      </c>
      <c r="E5058">
        <v>-4622</v>
      </c>
      <c r="F5058" s="5">
        <v>43891</v>
      </c>
      <c r="G5058">
        <v>-59</v>
      </c>
      <c r="H5058" t="s">
        <v>58</v>
      </c>
    </row>
    <row r="5059" spans="1:8" x14ac:dyDescent="0.3">
      <c r="A5059">
        <v>426</v>
      </c>
      <c r="B5059" s="5">
        <v>43920</v>
      </c>
      <c r="C5059" t="s">
        <v>10</v>
      </c>
      <c r="D5059">
        <v>270</v>
      </c>
      <c r="E5059">
        <v>-4352</v>
      </c>
      <c r="F5059" s="5">
        <v>43891</v>
      </c>
      <c r="G5059">
        <v>270</v>
      </c>
      <c r="H5059" t="s">
        <v>58</v>
      </c>
    </row>
    <row r="5060" spans="1:8" x14ac:dyDescent="0.3">
      <c r="A5060">
        <v>426</v>
      </c>
      <c r="B5060" s="5">
        <v>43926</v>
      </c>
      <c r="C5060" t="s">
        <v>11</v>
      </c>
      <c r="D5060">
        <v>122</v>
      </c>
      <c r="E5060">
        <v>-4474</v>
      </c>
      <c r="F5060" s="5">
        <v>43922</v>
      </c>
      <c r="G5060">
        <v>-122</v>
      </c>
      <c r="H5060" t="s">
        <v>58</v>
      </c>
    </row>
    <row r="5061" spans="1:8" x14ac:dyDescent="0.3">
      <c r="A5061">
        <v>426</v>
      </c>
      <c r="B5061" s="5">
        <v>43929</v>
      </c>
      <c r="C5061" t="s">
        <v>11</v>
      </c>
      <c r="D5061">
        <v>325</v>
      </c>
      <c r="E5061">
        <v>-4799</v>
      </c>
      <c r="F5061" s="5">
        <v>43922</v>
      </c>
      <c r="G5061">
        <v>-325</v>
      </c>
      <c r="H5061" t="s">
        <v>58</v>
      </c>
    </row>
    <row r="5062" spans="1:8" x14ac:dyDescent="0.3">
      <c r="A5062">
        <v>426</v>
      </c>
      <c r="B5062" s="5">
        <v>43931</v>
      </c>
      <c r="C5062" t="s">
        <v>12</v>
      </c>
      <c r="D5062">
        <v>310</v>
      </c>
      <c r="E5062">
        <v>-5109</v>
      </c>
      <c r="F5062" s="5">
        <v>43922</v>
      </c>
      <c r="G5062">
        <v>-310</v>
      </c>
      <c r="H5062" t="s">
        <v>58</v>
      </c>
    </row>
    <row r="5063" spans="1:8" x14ac:dyDescent="0.3">
      <c r="A5063">
        <v>426</v>
      </c>
      <c r="B5063" s="5">
        <v>43932</v>
      </c>
      <c r="C5063" t="s">
        <v>12</v>
      </c>
      <c r="D5063">
        <v>243</v>
      </c>
      <c r="E5063">
        <v>-5352</v>
      </c>
      <c r="F5063" s="5">
        <v>43922</v>
      </c>
      <c r="G5063">
        <v>-243</v>
      </c>
      <c r="H5063" t="s">
        <v>58</v>
      </c>
    </row>
    <row r="5064" spans="1:8" x14ac:dyDescent="0.3">
      <c r="A5064">
        <v>427</v>
      </c>
      <c r="B5064" s="5">
        <v>43852</v>
      </c>
      <c r="C5064" t="s">
        <v>10</v>
      </c>
      <c r="D5064">
        <v>588</v>
      </c>
      <c r="E5064">
        <v>588</v>
      </c>
      <c r="F5064" s="5">
        <v>43831</v>
      </c>
      <c r="G5064">
        <v>588</v>
      </c>
      <c r="H5064" t="s">
        <v>57</v>
      </c>
    </row>
    <row r="5065" spans="1:8" x14ac:dyDescent="0.3">
      <c r="A5065">
        <v>427</v>
      </c>
      <c r="B5065" s="5">
        <v>43868</v>
      </c>
      <c r="C5065" t="s">
        <v>10</v>
      </c>
      <c r="D5065">
        <v>516</v>
      </c>
      <c r="E5065">
        <v>1104</v>
      </c>
      <c r="F5065" s="5">
        <v>43862</v>
      </c>
      <c r="G5065">
        <v>516</v>
      </c>
      <c r="H5065" t="s">
        <v>57</v>
      </c>
    </row>
    <row r="5066" spans="1:8" x14ac:dyDescent="0.3">
      <c r="A5066">
        <v>427</v>
      </c>
      <c r="B5066" s="5">
        <v>43876</v>
      </c>
      <c r="C5066" t="s">
        <v>10</v>
      </c>
      <c r="D5066">
        <v>492</v>
      </c>
      <c r="E5066">
        <v>1596</v>
      </c>
      <c r="F5066" s="5">
        <v>43862</v>
      </c>
      <c r="G5066">
        <v>492</v>
      </c>
      <c r="H5066" t="s">
        <v>57</v>
      </c>
    </row>
    <row r="5067" spans="1:8" x14ac:dyDescent="0.3">
      <c r="A5067">
        <v>427</v>
      </c>
      <c r="B5067" s="5">
        <v>43880</v>
      </c>
      <c r="C5067" t="s">
        <v>10</v>
      </c>
      <c r="D5067">
        <v>420</v>
      </c>
      <c r="E5067">
        <v>2016</v>
      </c>
      <c r="F5067" s="5">
        <v>43862</v>
      </c>
      <c r="G5067">
        <v>420</v>
      </c>
      <c r="H5067" t="s">
        <v>57</v>
      </c>
    </row>
    <row r="5068" spans="1:8" x14ac:dyDescent="0.3">
      <c r="A5068">
        <v>427</v>
      </c>
      <c r="B5068" s="5">
        <v>43884</v>
      </c>
      <c r="C5068" t="s">
        <v>12</v>
      </c>
      <c r="D5068">
        <v>711</v>
      </c>
      <c r="E5068">
        <v>1305</v>
      </c>
      <c r="F5068" s="5">
        <v>43862</v>
      </c>
      <c r="G5068">
        <v>-711</v>
      </c>
      <c r="H5068" t="s">
        <v>57</v>
      </c>
    </row>
    <row r="5069" spans="1:8" x14ac:dyDescent="0.3">
      <c r="A5069">
        <v>427</v>
      </c>
      <c r="B5069" s="5">
        <v>43891</v>
      </c>
      <c r="C5069" t="s">
        <v>11</v>
      </c>
      <c r="D5069">
        <v>670</v>
      </c>
      <c r="E5069">
        <v>635</v>
      </c>
      <c r="F5069" s="5">
        <v>43891</v>
      </c>
      <c r="G5069">
        <v>-670</v>
      </c>
      <c r="H5069" t="s">
        <v>57</v>
      </c>
    </row>
    <row r="5070" spans="1:8" x14ac:dyDescent="0.3">
      <c r="A5070">
        <v>427</v>
      </c>
      <c r="B5070" s="5">
        <v>43913</v>
      </c>
      <c r="C5070" t="s">
        <v>12</v>
      </c>
      <c r="D5070">
        <v>580</v>
      </c>
      <c r="E5070">
        <v>55</v>
      </c>
      <c r="F5070" s="5">
        <v>43891</v>
      </c>
      <c r="G5070">
        <v>-580</v>
      </c>
      <c r="H5070" t="s">
        <v>57</v>
      </c>
    </row>
    <row r="5071" spans="1:8" x14ac:dyDescent="0.3">
      <c r="A5071">
        <v>427</v>
      </c>
      <c r="B5071" s="5">
        <v>43917</v>
      </c>
      <c r="C5071" t="s">
        <v>10</v>
      </c>
      <c r="D5071">
        <v>621</v>
      </c>
      <c r="E5071">
        <v>676</v>
      </c>
      <c r="F5071" s="5">
        <v>43891</v>
      </c>
      <c r="G5071">
        <v>621</v>
      </c>
      <c r="H5071" t="s">
        <v>57</v>
      </c>
    </row>
    <row r="5072" spans="1:8" x14ac:dyDescent="0.3">
      <c r="A5072">
        <v>427</v>
      </c>
      <c r="B5072" s="5">
        <v>43929</v>
      </c>
      <c r="C5072" t="s">
        <v>10</v>
      </c>
      <c r="D5072">
        <v>667</v>
      </c>
      <c r="E5072">
        <v>1343</v>
      </c>
      <c r="F5072" s="5">
        <v>43922</v>
      </c>
      <c r="G5072">
        <v>667</v>
      </c>
      <c r="H5072" t="s">
        <v>57</v>
      </c>
    </row>
    <row r="5073" spans="1:8" x14ac:dyDescent="0.3">
      <c r="A5073">
        <v>427</v>
      </c>
      <c r="B5073" s="5">
        <v>43932</v>
      </c>
      <c r="C5073" t="s">
        <v>12</v>
      </c>
      <c r="D5073">
        <v>623</v>
      </c>
      <c r="E5073">
        <v>720</v>
      </c>
      <c r="F5073" s="5">
        <v>43922</v>
      </c>
      <c r="G5073">
        <v>-623</v>
      </c>
      <c r="H5073" t="s">
        <v>57</v>
      </c>
    </row>
    <row r="5074" spans="1:8" x14ac:dyDescent="0.3">
      <c r="A5074">
        <v>427</v>
      </c>
      <c r="B5074" s="5">
        <v>43934</v>
      </c>
      <c r="C5074" t="s">
        <v>11</v>
      </c>
      <c r="D5074">
        <v>993</v>
      </c>
      <c r="E5074">
        <v>-273</v>
      </c>
      <c r="F5074" s="5">
        <v>43922</v>
      </c>
      <c r="G5074">
        <v>-993</v>
      </c>
      <c r="H5074" t="s">
        <v>58</v>
      </c>
    </row>
    <row r="5075" spans="1:8" x14ac:dyDescent="0.3">
      <c r="A5075">
        <v>427</v>
      </c>
      <c r="B5075" s="5">
        <v>43939</v>
      </c>
      <c r="C5075" t="s">
        <v>11</v>
      </c>
      <c r="D5075">
        <v>43</v>
      </c>
      <c r="E5075">
        <v>-316</v>
      </c>
      <c r="F5075" s="5">
        <v>43922</v>
      </c>
      <c r="G5075">
        <v>-43</v>
      </c>
      <c r="H5075" t="s">
        <v>58</v>
      </c>
    </row>
    <row r="5076" spans="1:8" x14ac:dyDescent="0.3">
      <c r="A5076">
        <v>428</v>
      </c>
      <c r="B5076" s="5">
        <v>43845</v>
      </c>
      <c r="C5076" t="s">
        <v>10</v>
      </c>
      <c r="D5076">
        <v>280</v>
      </c>
      <c r="E5076">
        <v>280</v>
      </c>
      <c r="F5076" s="5">
        <v>43831</v>
      </c>
      <c r="G5076">
        <v>280</v>
      </c>
      <c r="H5076" t="s">
        <v>57</v>
      </c>
    </row>
    <row r="5077" spans="1:8" x14ac:dyDescent="0.3">
      <c r="A5077">
        <v>428</v>
      </c>
      <c r="B5077" s="5">
        <v>43865</v>
      </c>
      <c r="C5077" t="s">
        <v>11</v>
      </c>
      <c r="D5077">
        <v>364</v>
      </c>
      <c r="E5077">
        <v>-84</v>
      </c>
      <c r="F5077" s="5">
        <v>43862</v>
      </c>
      <c r="G5077">
        <v>-364</v>
      </c>
      <c r="H5077" t="s">
        <v>58</v>
      </c>
    </row>
    <row r="5078" spans="1:8" x14ac:dyDescent="0.3">
      <c r="A5078">
        <v>428</v>
      </c>
      <c r="B5078" s="5">
        <v>43867</v>
      </c>
      <c r="C5078" t="s">
        <v>11</v>
      </c>
      <c r="D5078">
        <v>176</v>
      </c>
      <c r="E5078">
        <v>-260</v>
      </c>
      <c r="F5078" s="5">
        <v>43862</v>
      </c>
      <c r="G5078">
        <v>-176</v>
      </c>
      <c r="H5078" t="s">
        <v>58</v>
      </c>
    </row>
    <row r="5079" spans="1:8" x14ac:dyDescent="0.3">
      <c r="A5079">
        <v>428</v>
      </c>
      <c r="B5079" s="5">
        <v>43876</v>
      </c>
      <c r="C5079" t="s">
        <v>10</v>
      </c>
      <c r="D5079">
        <v>599</v>
      </c>
      <c r="E5079">
        <v>339</v>
      </c>
      <c r="F5079" s="5">
        <v>43862</v>
      </c>
      <c r="G5079">
        <v>599</v>
      </c>
      <c r="H5079" t="s">
        <v>57</v>
      </c>
    </row>
    <row r="5080" spans="1:8" x14ac:dyDescent="0.3">
      <c r="A5080">
        <v>428</v>
      </c>
      <c r="B5080" s="5">
        <v>43888</v>
      </c>
      <c r="C5080" t="s">
        <v>10</v>
      </c>
      <c r="D5080">
        <v>348</v>
      </c>
      <c r="E5080">
        <v>687</v>
      </c>
      <c r="F5080" s="5">
        <v>43862</v>
      </c>
      <c r="G5080">
        <v>348</v>
      </c>
      <c r="H5080" t="s">
        <v>57</v>
      </c>
    </row>
    <row r="5081" spans="1:8" x14ac:dyDescent="0.3">
      <c r="A5081">
        <v>428</v>
      </c>
      <c r="B5081" s="5">
        <v>43893</v>
      </c>
      <c r="C5081" t="s">
        <v>10</v>
      </c>
      <c r="D5081">
        <v>530</v>
      </c>
      <c r="E5081">
        <v>1217</v>
      </c>
      <c r="F5081" s="5">
        <v>43891</v>
      </c>
      <c r="G5081">
        <v>530</v>
      </c>
      <c r="H5081" t="s">
        <v>57</v>
      </c>
    </row>
    <row r="5082" spans="1:8" x14ac:dyDescent="0.3">
      <c r="A5082">
        <v>429</v>
      </c>
      <c r="B5082" s="5">
        <v>43851</v>
      </c>
      <c r="C5082" t="s">
        <v>10</v>
      </c>
      <c r="D5082">
        <v>82</v>
      </c>
      <c r="E5082">
        <v>82</v>
      </c>
      <c r="F5082" s="5">
        <v>43831</v>
      </c>
      <c r="G5082">
        <v>82</v>
      </c>
      <c r="H5082" t="s">
        <v>57</v>
      </c>
    </row>
    <row r="5083" spans="1:8" x14ac:dyDescent="0.3">
      <c r="A5083">
        <v>429</v>
      </c>
      <c r="B5083" s="5">
        <v>43875</v>
      </c>
      <c r="C5083" t="s">
        <v>11</v>
      </c>
      <c r="D5083">
        <v>128</v>
      </c>
      <c r="E5083">
        <v>-46</v>
      </c>
      <c r="F5083" s="5">
        <v>43862</v>
      </c>
      <c r="G5083">
        <v>-128</v>
      </c>
      <c r="H5083" t="s">
        <v>58</v>
      </c>
    </row>
    <row r="5084" spans="1:8" x14ac:dyDescent="0.3">
      <c r="A5084">
        <v>429</v>
      </c>
      <c r="B5084" s="5">
        <v>43880</v>
      </c>
      <c r="C5084" t="s">
        <v>10</v>
      </c>
      <c r="D5084">
        <v>831</v>
      </c>
      <c r="E5084">
        <v>785</v>
      </c>
      <c r="F5084" s="5">
        <v>43862</v>
      </c>
      <c r="G5084">
        <v>831</v>
      </c>
      <c r="H5084" t="s">
        <v>57</v>
      </c>
    </row>
    <row r="5085" spans="1:8" x14ac:dyDescent="0.3">
      <c r="A5085">
        <v>429</v>
      </c>
      <c r="B5085" s="5">
        <v>43886</v>
      </c>
      <c r="C5085" t="s">
        <v>11</v>
      </c>
      <c r="D5085">
        <v>312</v>
      </c>
      <c r="E5085">
        <v>473</v>
      </c>
      <c r="F5085" s="5">
        <v>43862</v>
      </c>
      <c r="G5085">
        <v>-312</v>
      </c>
      <c r="H5085" t="s">
        <v>57</v>
      </c>
    </row>
    <row r="5086" spans="1:8" x14ac:dyDescent="0.3">
      <c r="A5086">
        <v>429</v>
      </c>
      <c r="B5086" s="5">
        <v>43892</v>
      </c>
      <c r="C5086" t="s">
        <v>10</v>
      </c>
      <c r="D5086">
        <v>256</v>
      </c>
      <c r="E5086">
        <v>729</v>
      </c>
      <c r="F5086" s="5">
        <v>43891</v>
      </c>
      <c r="G5086">
        <v>256</v>
      </c>
      <c r="H5086" t="s">
        <v>57</v>
      </c>
    </row>
    <row r="5087" spans="1:8" x14ac:dyDescent="0.3">
      <c r="A5087">
        <v>429</v>
      </c>
      <c r="B5087" s="5">
        <v>43892</v>
      </c>
      <c r="C5087" t="s">
        <v>12</v>
      </c>
      <c r="D5087">
        <v>611</v>
      </c>
      <c r="E5087">
        <v>118</v>
      </c>
      <c r="F5087" s="5">
        <v>43891</v>
      </c>
      <c r="G5087">
        <v>-611</v>
      </c>
      <c r="H5087" t="s">
        <v>57</v>
      </c>
    </row>
    <row r="5088" spans="1:8" x14ac:dyDescent="0.3">
      <c r="A5088">
        <v>429</v>
      </c>
      <c r="B5088" s="5">
        <v>43892</v>
      </c>
      <c r="C5088" t="s">
        <v>11</v>
      </c>
      <c r="D5088">
        <v>164</v>
      </c>
      <c r="E5088">
        <v>-46</v>
      </c>
      <c r="F5088" s="5">
        <v>43891</v>
      </c>
      <c r="G5088">
        <v>-164</v>
      </c>
      <c r="H5088" t="s">
        <v>58</v>
      </c>
    </row>
    <row r="5089" spans="1:8" x14ac:dyDescent="0.3">
      <c r="A5089">
        <v>429</v>
      </c>
      <c r="B5089" s="5">
        <v>43925</v>
      </c>
      <c r="C5089" t="s">
        <v>12</v>
      </c>
      <c r="D5089">
        <v>855</v>
      </c>
      <c r="E5089">
        <v>-901</v>
      </c>
      <c r="F5089" s="5">
        <v>43922</v>
      </c>
      <c r="G5089">
        <v>-855</v>
      </c>
      <c r="H5089" t="s">
        <v>58</v>
      </c>
    </row>
    <row r="5090" spans="1:8" x14ac:dyDescent="0.3">
      <c r="A5090">
        <v>430</v>
      </c>
      <c r="B5090" s="5">
        <v>43850</v>
      </c>
      <c r="C5090" t="s">
        <v>10</v>
      </c>
      <c r="D5090">
        <v>829</v>
      </c>
      <c r="E5090">
        <v>829</v>
      </c>
      <c r="F5090" s="5">
        <v>43831</v>
      </c>
      <c r="G5090">
        <v>829</v>
      </c>
      <c r="H5090" t="s">
        <v>57</v>
      </c>
    </row>
    <row r="5091" spans="1:8" x14ac:dyDescent="0.3">
      <c r="A5091">
        <v>430</v>
      </c>
      <c r="B5091" s="5">
        <v>43855</v>
      </c>
      <c r="C5091" t="s">
        <v>12</v>
      </c>
      <c r="D5091">
        <v>449</v>
      </c>
      <c r="E5091">
        <v>380</v>
      </c>
      <c r="F5091" s="5">
        <v>43831</v>
      </c>
      <c r="G5091">
        <v>-449</v>
      </c>
      <c r="H5091" t="s">
        <v>57</v>
      </c>
    </row>
    <row r="5092" spans="1:8" x14ac:dyDescent="0.3">
      <c r="A5092">
        <v>430</v>
      </c>
      <c r="B5092" s="5">
        <v>43859</v>
      </c>
      <c r="C5092" t="s">
        <v>12</v>
      </c>
      <c r="D5092">
        <v>388</v>
      </c>
      <c r="E5092">
        <v>-8</v>
      </c>
      <c r="F5092" s="5">
        <v>43831</v>
      </c>
      <c r="G5092">
        <v>-388</v>
      </c>
      <c r="H5092" t="s">
        <v>58</v>
      </c>
    </row>
    <row r="5093" spans="1:8" x14ac:dyDescent="0.3">
      <c r="A5093">
        <v>430</v>
      </c>
      <c r="B5093" s="5">
        <v>43887</v>
      </c>
      <c r="C5093" t="s">
        <v>11</v>
      </c>
      <c r="D5093">
        <v>332</v>
      </c>
      <c r="E5093">
        <v>-340</v>
      </c>
      <c r="F5093" s="5">
        <v>43862</v>
      </c>
      <c r="G5093">
        <v>-332</v>
      </c>
      <c r="H5093" t="s">
        <v>58</v>
      </c>
    </row>
    <row r="5094" spans="1:8" x14ac:dyDescent="0.3">
      <c r="A5094">
        <v>430</v>
      </c>
      <c r="B5094" s="5">
        <v>43890</v>
      </c>
      <c r="C5094" t="s">
        <v>10</v>
      </c>
      <c r="D5094">
        <v>743</v>
      </c>
      <c r="E5094">
        <v>403</v>
      </c>
      <c r="F5094" s="5">
        <v>43862</v>
      </c>
      <c r="G5094">
        <v>743</v>
      </c>
      <c r="H5094" t="s">
        <v>57</v>
      </c>
    </row>
    <row r="5095" spans="1:8" x14ac:dyDescent="0.3">
      <c r="A5095">
        <v>430</v>
      </c>
      <c r="B5095" s="5">
        <v>43899</v>
      </c>
      <c r="C5095" t="s">
        <v>12</v>
      </c>
      <c r="D5095">
        <v>968</v>
      </c>
      <c r="E5095">
        <v>-565</v>
      </c>
      <c r="F5095" s="5">
        <v>43891</v>
      </c>
      <c r="G5095">
        <v>-968</v>
      </c>
      <c r="H5095" t="s">
        <v>58</v>
      </c>
    </row>
    <row r="5096" spans="1:8" x14ac:dyDescent="0.3">
      <c r="A5096">
        <v>430</v>
      </c>
      <c r="B5096" s="5">
        <v>43913</v>
      </c>
      <c r="C5096" t="s">
        <v>11</v>
      </c>
      <c r="D5096">
        <v>761</v>
      </c>
      <c r="E5096">
        <v>-1326</v>
      </c>
      <c r="F5096" s="5">
        <v>43891</v>
      </c>
      <c r="G5096">
        <v>-761</v>
      </c>
      <c r="H5096" t="s">
        <v>58</v>
      </c>
    </row>
    <row r="5097" spans="1:8" x14ac:dyDescent="0.3">
      <c r="A5097">
        <v>431</v>
      </c>
      <c r="B5097" s="5">
        <v>43841</v>
      </c>
      <c r="C5097" t="s">
        <v>10</v>
      </c>
      <c r="D5097">
        <v>101</v>
      </c>
      <c r="E5097">
        <v>101</v>
      </c>
      <c r="F5097" s="5">
        <v>43831</v>
      </c>
      <c r="G5097">
        <v>101</v>
      </c>
      <c r="H5097" t="s">
        <v>57</v>
      </c>
    </row>
    <row r="5098" spans="1:8" x14ac:dyDescent="0.3">
      <c r="A5098">
        <v>431</v>
      </c>
      <c r="B5098" s="5">
        <v>43848</v>
      </c>
      <c r="C5098" t="s">
        <v>10</v>
      </c>
      <c r="D5098">
        <v>158</v>
      </c>
      <c r="E5098">
        <v>259</v>
      </c>
      <c r="F5098" s="5">
        <v>43831</v>
      </c>
      <c r="G5098">
        <v>158</v>
      </c>
      <c r="H5098" t="s">
        <v>57</v>
      </c>
    </row>
    <row r="5099" spans="1:8" x14ac:dyDescent="0.3">
      <c r="A5099">
        <v>431</v>
      </c>
      <c r="B5099" s="5">
        <v>43850</v>
      </c>
      <c r="C5099" t="s">
        <v>11</v>
      </c>
      <c r="D5099">
        <v>659</v>
      </c>
      <c r="E5099">
        <v>-400</v>
      </c>
      <c r="F5099" s="5">
        <v>43831</v>
      </c>
      <c r="G5099">
        <v>-659</v>
      </c>
      <c r="H5099" t="s">
        <v>58</v>
      </c>
    </row>
    <row r="5100" spans="1:8" x14ac:dyDescent="0.3">
      <c r="A5100">
        <v>431</v>
      </c>
      <c r="B5100" s="5">
        <v>43881</v>
      </c>
      <c r="C5100" t="s">
        <v>11</v>
      </c>
      <c r="D5100">
        <v>739</v>
      </c>
      <c r="E5100">
        <v>-1139</v>
      </c>
      <c r="F5100" s="5">
        <v>43862</v>
      </c>
      <c r="G5100">
        <v>-739</v>
      </c>
      <c r="H5100" t="s">
        <v>58</v>
      </c>
    </row>
    <row r="5101" spans="1:8" x14ac:dyDescent="0.3">
      <c r="A5101">
        <v>432</v>
      </c>
      <c r="B5101" s="5">
        <v>43856</v>
      </c>
      <c r="C5101" t="s">
        <v>11</v>
      </c>
      <c r="D5101">
        <v>817</v>
      </c>
      <c r="E5101">
        <v>-817</v>
      </c>
      <c r="F5101" s="5">
        <v>43831</v>
      </c>
      <c r="G5101">
        <v>-817</v>
      </c>
      <c r="H5101" t="s">
        <v>58</v>
      </c>
    </row>
    <row r="5102" spans="1:8" x14ac:dyDescent="0.3">
      <c r="A5102">
        <v>432</v>
      </c>
      <c r="B5102" s="5">
        <v>43856</v>
      </c>
      <c r="C5102" t="s">
        <v>10</v>
      </c>
      <c r="D5102">
        <v>637</v>
      </c>
      <c r="E5102">
        <v>-180</v>
      </c>
      <c r="F5102" s="5">
        <v>43831</v>
      </c>
      <c r="G5102">
        <v>637</v>
      </c>
      <c r="H5102" t="s">
        <v>58</v>
      </c>
    </row>
    <row r="5103" spans="1:8" x14ac:dyDescent="0.3">
      <c r="A5103">
        <v>432</v>
      </c>
      <c r="B5103" s="5">
        <v>43857</v>
      </c>
      <c r="C5103" t="s">
        <v>10</v>
      </c>
      <c r="D5103">
        <v>572</v>
      </c>
      <c r="E5103">
        <v>392</v>
      </c>
      <c r="F5103" s="5">
        <v>43831</v>
      </c>
      <c r="G5103">
        <v>572</v>
      </c>
      <c r="H5103" t="s">
        <v>57</v>
      </c>
    </row>
    <row r="5104" spans="1:8" x14ac:dyDescent="0.3">
      <c r="A5104">
        <v>432</v>
      </c>
      <c r="B5104" s="5">
        <v>43869</v>
      </c>
      <c r="C5104" t="s">
        <v>10</v>
      </c>
      <c r="D5104">
        <v>772</v>
      </c>
      <c r="E5104">
        <v>1164</v>
      </c>
      <c r="F5104" s="5">
        <v>43862</v>
      </c>
      <c r="G5104">
        <v>772</v>
      </c>
      <c r="H5104" t="s">
        <v>57</v>
      </c>
    </row>
    <row r="5105" spans="1:8" x14ac:dyDescent="0.3">
      <c r="A5105">
        <v>432</v>
      </c>
      <c r="B5105" s="5">
        <v>43869</v>
      </c>
      <c r="C5105" t="s">
        <v>12</v>
      </c>
      <c r="D5105">
        <v>758</v>
      </c>
      <c r="E5105">
        <v>406</v>
      </c>
      <c r="F5105" s="5">
        <v>43862</v>
      </c>
      <c r="G5105">
        <v>-758</v>
      </c>
      <c r="H5105" t="s">
        <v>57</v>
      </c>
    </row>
    <row r="5106" spans="1:8" x14ac:dyDescent="0.3">
      <c r="A5106">
        <v>432</v>
      </c>
      <c r="B5106" s="5">
        <v>43871</v>
      </c>
      <c r="C5106" t="s">
        <v>12</v>
      </c>
      <c r="D5106">
        <v>836</v>
      </c>
      <c r="E5106">
        <v>-430</v>
      </c>
      <c r="F5106" s="5">
        <v>43862</v>
      </c>
      <c r="G5106">
        <v>-836</v>
      </c>
      <c r="H5106" t="s">
        <v>58</v>
      </c>
    </row>
    <row r="5107" spans="1:8" x14ac:dyDescent="0.3">
      <c r="A5107">
        <v>432</v>
      </c>
      <c r="B5107" s="5">
        <v>43873</v>
      </c>
      <c r="C5107" t="s">
        <v>11</v>
      </c>
      <c r="D5107">
        <v>46</v>
      </c>
      <c r="E5107">
        <v>-476</v>
      </c>
      <c r="F5107" s="5">
        <v>43862</v>
      </c>
      <c r="G5107">
        <v>-46</v>
      </c>
      <c r="H5107" t="s">
        <v>58</v>
      </c>
    </row>
    <row r="5108" spans="1:8" x14ac:dyDescent="0.3">
      <c r="A5108">
        <v>432</v>
      </c>
      <c r="B5108" s="5">
        <v>43875</v>
      </c>
      <c r="C5108" t="s">
        <v>10</v>
      </c>
      <c r="D5108">
        <v>984</v>
      </c>
      <c r="E5108">
        <v>508</v>
      </c>
      <c r="F5108" s="5">
        <v>43862</v>
      </c>
      <c r="G5108">
        <v>984</v>
      </c>
      <c r="H5108" t="s">
        <v>57</v>
      </c>
    </row>
    <row r="5109" spans="1:8" x14ac:dyDescent="0.3">
      <c r="A5109">
        <v>432</v>
      </c>
      <c r="B5109" s="5">
        <v>43886</v>
      </c>
      <c r="C5109" t="s">
        <v>10</v>
      </c>
      <c r="D5109">
        <v>478</v>
      </c>
      <c r="E5109">
        <v>986</v>
      </c>
      <c r="F5109" s="5">
        <v>43862</v>
      </c>
      <c r="G5109">
        <v>478</v>
      </c>
      <c r="H5109" t="s">
        <v>57</v>
      </c>
    </row>
    <row r="5110" spans="1:8" x14ac:dyDescent="0.3">
      <c r="A5110">
        <v>432</v>
      </c>
      <c r="B5110" s="5">
        <v>43905</v>
      </c>
      <c r="C5110" t="s">
        <v>10</v>
      </c>
      <c r="D5110">
        <v>907</v>
      </c>
      <c r="E5110">
        <v>1893</v>
      </c>
      <c r="F5110" s="5">
        <v>43891</v>
      </c>
      <c r="G5110">
        <v>907</v>
      </c>
      <c r="H5110" t="s">
        <v>57</v>
      </c>
    </row>
    <row r="5111" spans="1:8" x14ac:dyDescent="0.3">
      <c r="A5111">
        <v>432</v>
      </c>
      <c r="B5111" s="5">
        <v>43921</v>
      </c>
      <c r="C5111" t="s">
        <v>11</v>
      </c>
      <c r="D5111">
        <v>930</v>
      </c>
      <c r="E5111">
        <v>963</v>
      </c>
      <c r="F5111" s="5">
        <v>43891</v>
      </c>
      <c r="G5111">
        <v>-930</v>
      </c>
      <c r="H5111" t="s">
        <v>57</v>
      </c>
    </row>
    <row r="5112" spans="1:8" x14ac:dyDescent="0.3">
      <c r="A5112">
        <v>432</v>
      </c>
      <c r="B5112" s="5">
        <v>43922</v>
      </c>
      <c r="C5112" t="s">
        <v>10</v>
      </c>
      <c r="D5112">
        <v>177</v>
      </c>
      <c r="E5112">
        <v>1140</v>
      </c>
      <c r="F5112" s="5">
        <v>43922</v>
      </c>
      <c r="G5112">
        <v>177</v>
      </c>
      <c r="H5112" t="s">
        <v>57</v>
      </c>
    </row>
    <row r="5113" spans="1:8" x14ac:dyDescent="0.3">
      <c r="A5113">
        <v>432</v>
      </c>
      <c r="B5113" s="5">
        <v>43922</v>
      </c>
      <c r="C5113" t="s">
        <v>10</v>
      </c>
      <c r="D5113">
        <v>509</v>
      </c>
      <c r="E5113">
        <v>1649</v>
      </c>
      <c r="F5113" s="5">
        <v>43922</v>
      </c>
      <c r="G5113">
        <v>509</v>
      </c>
      <c r="H5113" t="s">
        <v>57</v>
      </c>
    </row>
    <row r="5114" spans="1:8" x14ac:dyDescent="0.3">
      <c r="A5114">
        <v>432</v>
      </c>
      <c r="B5114" s="5">
        <v>43922</v>
      </c>
      <c r="C5114" t="s">
        <v>10</v>
      </c>
      <c r="D5114">
        <v>658</v>
      </c>
      <c r="E5114">
        <v>2307</v>
      </c>
      <c r="F5114" s="5">
        <v>43922</v>
      </c>
      <c r="G5114">
        <v>658</v>
      </c>
      <c r="H5114" t="s">
        <v>57</v>
      </c>
    </row>
    <row r="5115" spans="1:8" x14ac:dyDescent="0.3">
      <c r="A5115">
        <v>432</v>
      </c>
      <c r="B5115" s="5">
        <v>43924</v>
      </c>
      <c r="C5115" t="s">
        <v>10</v>
      </c>
      <c r="D5115">
        <v>337</v>
      </c>
      <c r="E5115">
        <v>2644</v>
      </c>
      <c r="F5115" s="5">
        <v>43922</v>
      </c>
      <c r="G5115">
        <v>337</v>
      </c>
      <c r="H5115" t="s">
        <v>57</v>
      </c>
    </row>
    <row r="5116" spans="1:8" x14ac:dyDescent="0.3">
      <c r="A5116">
        <v>432</v>
      </c>
      <c r="B5116" s="5">
        <v>43924</v>
      </c>
      <c r="C5116" t="s">
        <v>10</v>
      </c>
      <c r="D5116">
        <v>38</v>
      </c>
      <c r="E5116">
        <v>2682</v>
      </c>
      <c r="F5116" s="5">
        <v>43922</v>
      </c>
      <c r="G5116">
        <v>38</v>
      </c>
      <c r="H5116" t="s">
        <v>57</v>
      </c>
    </row>
    <row r="5117" spans="1:8" x14ac:dyDescent="0.3">
      <c r="A5117">
        <v>432</v>
      </c>
      <c r="B5117" s="5">
        <v>43933</v>
      </c>
      <c r="C5117" t="s">
        <v>11</v>
      </c>
      <c r="D5117">
        <v>565</v>
      </c>
      <c r="E5117">
        <v>2117</v>
      </c>
      <c r="F5117" s="5">
        <v>43922</v>
      </c>
      <c r="G5117">
        <v>-565</v>
      </c>
      <c r="H5117" t="s">
        <v>57</v>
      </c>
    </row>
    <row r="5118" spans="1:8" x14ac:dyDescent="0.3">
      <c r="A5118">
        <v>432</v>
      </c>
      <c r="B5118" s="5">
        <v>43941</v>
      </c>
      <c r="C5118" t="s">
        <v>10</v>
      </c>
      <c r="D5118">
        <v>318</v>
      </c>
      <c r="E5118">
        <v>2435</v>
      </c>
      <c r="F5118" s="5">
        <v>43922</v>
      </c>
      <c r="G5118">
        <v>318</v>
      </c>
      <c r="H5118" t="s">
        <v>57</v>
      </c>
    </row>
    <row r="5119" spans="1:8" x14ac:dyDescent="0.3">
      <c r="A5119">
        <v>433</v>
      </c>
      <c r="B5119" s="5">
        <v>43845</v>
      </c>
      <c r="C5119" t="s">
        <v>10</v>
      </c>
      <c r="D5119">
        <v>142</v>
      </c>
      <c r="E5119">
        <v>142</v>
      </c>
      <c r="F5119" s="5">
        <v>43831</v>
      </c>
      <c r="G5119">
        <v>142</v>
      </c>
      <c r="H5119" t="s">
        <v>57</v>
      </c>
    </row>
    <row r="5120" spans="1:8" x14ac:dyDescent="0.3">
      <c r="A5120">
        <v>433</v>
      </c>
      <c r="B5120" s="5">
        <v>43857</v>
      </c>
      <c r="C5120" t="s">
        <v>10</v>
      </c>
      <c r="D5120">
        <v>287</v>
      </c>
      <c r="E5120">
        <v>429</v>
      </c>
      <c r="F5120" s="5">
        <v>43831</v>
      </c>
      <c r="G5120">
        <v>287</v>
      </c>
      <c r="H5120" t="s">
        <v>57</v>
      </c>
    </row>
    <row r="5121" spans="1:8" x14ac:dyDescent="0.3">
      <c r="A5121">
        <v>433</v>
      </c>
      <c r="B5121" s="5">
        <v>43859</v>
      </c>
      <c r="C5121" t="s">
        <v>10</v>
      </c>
      <c r="D5121">
        <v>454</v>
      </c>
      <c r="E5121">
        <v>883</v>
      </c>
      <c r="F5121" s="5">
        <v>43831</v>
      </c>
      <c r="G5121">
        <v>454</v>
      </c>
      <c r="H5121" t="s">
        <v>57</v>
      </c>
    </row>
    <row r="5122" spans="1:8" x14ac:dyDescent="0.3">
      <c r="A5122">
        <v>433</v>
      </c>
      <c r="B5122" s="5">
        <v>43863</v>
      </c>
      <c r="C5122" t="s">
        <v>10</v>
      </c>
      <c r="D5122">
        <v>633</v>
      </c>
      <c r="E5122">
        <v>1516</v>
      </c>
      <c r="F5122" s="5">
        <v>43862</v>
      </c>
      <c r="G5122">
        <v>633</v>
      </c>
      <c r="H5122" t="s">
        <v>57</v>
      </c>
    </row>
    <row r="5123" spans="1:8" x14ac:dyDescent="0.3">
      <c r="A5123">
        <v>433</v>
      </c>
      <c r="B5123" s="5">
        <v>43875</v>
      </c>
      <c r="C5123" t="s">
        <v>11</v>
      </c>
      <c r="D5123">
        <v>325</v>
      </c>
      <c r="E5123">
        <v>1191</v>
      </c>
      <c r="F5123" s="5">
        <v>43862</v>
      </c>
      <c r="G5123">
        <v>-325</v>
      </c>
      <c r="H5123" t="s">
        <v>57</v>
      </c>
    </row>
    <row r="5124" spans="1:8" x14ac:dyDescent="0.3">
      <c r="A5124">
        <v>433</v>
      </c>
      <c r="B5124" s="5">
        <v>43889</v>
      </c>
      <c r="C5124" t="s">
        <v>10</v>
      </c>
      <c r="D5124">
        <v>95</v>
      </c>
      <c r="E5124">
        <v>1286</v>
      </c>
      <c r="F5124" s="5">
        <v>43862</v>
      </c>
      <c r="G5124">
        <v>95</v>
      </c>
      <c r="H5124" t="s">
        <v>57</v>
      </c>
    </row>
    <row r="5125" spans="1:8" x14ac:dyDescent="0.3">
      <c r="A5125">
        <v>433</v>
      </c>
      <c r="B5125" s="5">
        <v>43914</v>
      </c>
      <c r="C5125" t="s">
        <v>12</v>
      </c>
      <c r="D5125">
        <v>626</v>
      </c>
      <c r="E5125">
        <v>660</v>
      </c>
      <c r="F5125" s="5">
        <v>43891</v>
      </c>
      <c r="G5125">
        <v>-626</v>
      </c>
      <c r="H5125" t="s">
        <v>57</v>
      </c>
    </row>
    <row r="5126" spans="1:8" x14ac:dyDescent="0.3">
      <c r="A5126">
        <v>434</v>
      </c>
      <c r="B5126" s="5">
        <v>43844</v>
      </c>
      <c r="C5126" t="s">
        <v>10</v>
      </c>
      <c r="D5126">
        <v>686</v>
      </c>
      <c r="E5126">
        <v>686</v>
      </c>
      <c r="F5126" s="5">
        <v>43831</v>
      </c>
      <c r="G5126">
        <v>686</v>
      </c>
      <c r="H5126" t="s">
        <v>57</v>
      </c>
    </row>
    <row r="5127" spans="1:8" x14ac:dyDescent="0.3">
      <c r="A5127">
        <v>434</v>
      </c>
      <c r="B5127" s="5">
        <v>43846</v>
      </c>
      <c r="C5127" t="s">
        <v>10</v>
      </c>
      <c r="D5127">
        <v>316</v>
      </c>
      <c r="E5127">
        <v>1002</v>
      </c>
      <c r="F5127" s="5">
        <v>43831</v>
      </c>
      <c r="G5127">
        <v>316</v>
      </c>
      <c r="H5127" t="s">
        <v>57</v>
      </c>
    </row>
    <row r="5128" spans="1:8" x14ac:dyDescent="0.3">
      <c r="A5128">
        <v>434</v>
      </c>
      <c r="B5128" s="5">
        <v>43859</v>
      </c>
      <c r="C5128" t="s">
        <v>12</v>
      </c>
      <c r="D5128">
        <v>775</v>
      </c>
      <c r="E5128">
        <v>227</v>
      </c>
      <c r="F5128" s="5">
        <v>43831</v>
      </c>
      <c r="G5128">
        <v>-775</v>
      </c>
      <c r="H5128" t="s">
        <v>57</v>
      </c>
    </row>
    <row r="5129" spans="1:8" x14ac:dyDescent="0.3">
      <c r="A5129">
        <v>434</v>
      </c>
      <c r="B5129" s="5">
        <v>43861</v>
      </c>
      <c r="C5129" t="s">
        <v>10</v>
      </c>
      <c r="D5129">
        <v>896</v>
      </c>
      <c r="E5129">
        <v>1123</v>
      </c>
      <c r="F5129" s="5">
        <v>43831</v>
      </c>
      <c r="G5129">
        <v>896</v>
      </c>
      <c r="H5129" t="s">
        <v>57</v>
      </c>
    </row>
    <row r="5130" spans="1:8" x14ac:dyDescent="0.3">
      <c r="A5130">
        <v>434</v>
      </c>
      <c r="B5130" s="5">
        <v>43869</v>
      </c>
      <c r="C5130" t="s">
        <v>11</v>
      </c>
      <c r="D5130">
        <v>781</v>
      </c>
      <c r="E5130">
        <v>342</v>
      </c>
      <c r="F5130" s="5">
        <v>43862</v>
      </c>
      <c r="G5130">
        <v>-781</v>
      </c>
      <c r="H5130" t="s">
        <v>57</v>
      </c>
    </row>
    <row r="5131" spans="1:8" x14ac:dyDescent="0.3">
      <c r="A5131">
        <v>434</v>
      </c>
      <c r="B5131" s="5">
        <v>43873</v>
      </c>
      <c r="C5131" t="s">
        <v>12</v>
      </c>
      <c r="D5131">
        <v>191</v>
      </c>
      <c r="E5131">
        <v>151</v>
      </c>
      <c r="F5131" s="5">
        <v>43862</v>
      </c>
      <c r="G5131">
        <v>-191</v>
      </c>
      <c r="H5131" t="s">
        <v>57</v>
      </c>
    </row>
    <row r="5132" spans="1:8" x14ac:dyDescent="0.3">
      <c r="A5132">
        <v>434</v>
      </c>
      <c r="B5132" s="5">
        <v>43878</v>
      </c>
      <c r="C5132" t="s">
        <v>11</v>
      </c>
      <c r="D5132">
        <v>734</v>
      </c>
      <c r="E5132">
        <v>-583</v>
      </c>
      <c r="F5132" s="5">
        <v>43862</v>
      </c>
      <c r="G5132">
        <v>-734</v>
      </c>
      <c r="H5132" t="s">
        <v>58</v>
      </c>
    </row>
    <row r="5133" spans="1:8" x14ac:dyDescent="0.3">
      <c r="A5133">
        <v>434</v>
      </c>
      <c r="B5133" s="5">
        <v>43879</v>
      </c>
      <c r="C5133" t="s">
        <v>10</v>
      </c>
      <c r="D5133">
        <v>906</v>
      </c>
      <c r="E5133">
        <v>323</v>
      </c>
      <c r="F5133" s="5">
        <v>43862</v>
      </c>
      <c r="G5133">
        <v>906</v>
      </c>
      <c r="H5133" t="s">
        <v>57</v>
      </c>
    </row>
    <row r="5134" spans="1:8" x14ac:dyDescent="0.3">
      <c r="A5134">
        <v>434</v>
      </c>
      <c r="B5134" s="5">
        <v>43888</v>
      </c>
      <c r="C5134" t="s">
        <v>11</v>
      </c>
      <c r="D5134">
        <v>440</v>
      </c>
      <c r="E5134">
        <v>-117</v>
      </c>
      <c r="F5134" s="5">
        <v>43862</v>
      </c>
      <c r="G5134">
        <v>-440</v>
      </c>
      <c r="H5134" t="s">
        <v>58</v>
      </c>
    </row>
    <row r="5135" spans="1:8" x14ac:dyDescent="0.3">
      <c r="A5135">
        <v>434</v>
      </c>
      <c r="B5135" s="5">
        <v>43896</v>
      </c>
      <c r="C5135" t="s">
        <v>10</v>
      </c>
      <c r="D5135">
        <v>792</v>
      </c>
      <c r="E5135">
        <v>675</v>
      </c>
      <c r="F5135" s="5">
        <v>43891</v>
      </c>
      <c r="G5135">
        <v>792</v>
      </c>
      <c r="H5135" t="s">
        <v>57</v>
      </c>
    </row>
    <row r="5136" spans="1:8" x14ac:dyDescent="0.3">
      <c r="A5136">
        <v>434</v>
      </c>
      <c r="B5136" s="5">
        <v>43896</v>
      </c>
      <c r="C5136" t="s">
        <v>12</v>
      </c>
      <c r="D5136">
        <v>437</v>
      </c>
      <c r="E5136">
        <v>238</v>
      </c>
      <c r="F5136" s="5">
        <v>43891</v>
      </c>
      <c r="G5136">
        <v>-437</v>
      </c>
      <c r="H5136" t="s">
        <v>57</v>
      </c>
    </row>
    <row r="5137" spans="1:8" x14ac:dyDescent="0.3">
      <c r="A5137">
        <v>434</v>
      </c>
      <c r="B5137" s="5">
        <v>43900</v>
      </c>
      <c r="C5137" t="s">
        <v>12</v>
      </c>
      <c r="D5137">
        <v>758</v>
      </c>
      <c r="E5137">
        <v>-520</v>
      </c>
      <c r="F5137" s="5">
        <v>43891</v>
      </c>
      <c r="G5137">
        <v>-758</v>
      </c>
      <c r="H5137" t="s">
        <v>58</v>
      </c>
    </row>
    <row r="5138" spans="1:8" x14ac:dyDescent="0.3">
      <c r="A5138">
        <v>434</v>
      </c>
      <c r="B5138" s="5">
        <v>43905</v>
      </c>
      <c r="C5138" t="s">
        <v>11</v>
      </c>
      <c r="D5138">
        <v>620</v>
      </c>
      <c r="E5138">
        <v>-1140</v>
      </c>
      <c r="F5138" s="5">
        <v>43891</v>
      </c>
      <c r="G5138">
        <v>-620</v>
      </c>
      <c r="H5138" t="s">
        <v>58</v>
      </c>
    </row>
    <row r="5139" spans="1:8" x14ac:dyDescent="0.3">
      <c r="A5139">
        <v>434</v>
      </c>
      <c r="B5139" s="5">
        <v>43907</v>
      </c>
      <c r="C5139" t="s">
        <v>11</v>
      </c>
      <c r="D5139">
        <v>509</v>
      </c>
      <c r="E5139">
        <v>-1649</v>
      </c>
      <c r="F5139" s="5">
        <v>43891</v>
      </c>
      <c r="G5139">
        <v>-509</v>
      </c>
      <c r="H5139" t="s">
        <v>58</v>
      </c>
    </row>
    <row r="5140" spans="1:8" x14ac:dyDescent="0.3">
      <c r="A5140">
        <v>434</v>
      </c>
      <c r="B5140" s="5">
        <v>43908</v>
      </c>
      <c r="C5140" t="s">
        <v>12</v>
      </c>
      <c r="D5140">
        <v>539</v>
      </c>
      <c r="E5140">
        <v>-2188</v>
      </c>
      <c r="F5140" s="5">
        <v>43891</v>
      </c>
      <c r="G5140">
        <v>-539</v>
      </c>
      <c r="H5140" t="s">
        <v>58</v>
      </c>
    </row>
    <row r="5141" spans="1:8" x14ac:dyDescent="0.3">
      <c r="A5141">
        <v>434</v>
      </c>
      <c r="B5141" s="5">
        <v>43911</v>
      </c>
      <c r="C5141" t="s">
        <v>11</v>
      </c>
      <c r="D5141">
        <v>466</v>
      </c>
      <c r="E5141">
        <v>-2654</v>
      </c>
      <c r="F5141" s="5">
        <v>43891</v>
      </c>
      <c r="G5141">
        <v>-466</v>
      </c>
      <c r="H5141" t="s">
        <v>58</v>
      </c>
    </row>
    <row r="5142" spans="1:8" x14ac:dyDescent="0.3">
      <c r="A5142">
        <v>434</v>
      </c>
      <c r="B5142" s="5">
        <v>43915</v>
      </c>
      <c r="C5142" t="s">
        <v>10</v>
      </c>
      <c r="D5142">
        <v>288</v>
      </c>
      <c r="E5142">
        <v>-2366</v>
      </c>
      <c r="F5142" s="5">
        <v>43891</v>
      </c>
      <c r="G5142">
        <v>288</v>
      </c>
      <c r="H5142" t="s">
        <v>58</v>
      </c>
    </row>
    <row r="5143" spans="1:8" x14ac:dyDescent="0.3">
      <c r="A5143">
        <v>434</v>
      </c>
      <c r="B5143" s="5">
        <v>43923</v>
      </c>
      <c r="C5143" t="s">
        <v>11</v>
      </c>
      <c r="D5143">
        <v>141</v>
      </c>
      <c r="E5143">
        <v>-2507</v>
      </c>
      <c r="F5143" s="5">
        <v>43922</v>
      </c>
      <c r="G5143">
        <v>-141</v>
      </c>
      <c r="H5143" t="s">
        <v>58</v>
      </c>
    </row>
    <row r="5144" spans="1:8" x14ac:dyDescent="0.3">
      <c r="A5144">
        <v>434</v>
      </c>
      <c r="B5144" s="5">
        <v>43928</v>
      </c>
      <c r="C5144" t="s">
        <v>10</v>
      </c>
      <c r="D5144">
        <v>692</v>
      </c>
      <c r="E5144">
        <v>-1815</v>
      </c>
      <c r="F5144" s="5">
        <v>43922</v>
      </c>
      <c r="G5144">
        <v>692</v>
      </c>
      <c r="H5144" t="s">
        <v>58</v>
      </c>
    </row>
    <row r="5145" spans="1:8" x14ac:dyDescent="0.3">
      <c r="A5145">
        <v>435</v>
      </c>
      <c r="B5145" s="5">
        <v>43831</v>
      </c>
      <c r="C5145" t="s">
        <v>10</v>
      </c>
      <c r="D5145">
        <v>627</v>
      </c>
      <c r="E5145">
        <v>627</v>
      </c>
      <c r="F5145" s="5">
        <v>43831</v>
      </c>
      <c r="G5145">
        <v>627</v>
      </c>
      <c r="H5145" t="s">
        <v>57</v>
      </c>
    </row>
    <row r="5146" spans="1:8" x14ac:dyDescent="0.3">
      <c r="A5146">
        <v>435</v>
      </c>
      <c r="B5146" s="5">
        <v>43832</v>
      </c>
      <c r="C5146" t="s">
        <v>11</v>
      </c>
      <c r="D5146">
        <v>778</v>
      </c>
      <c r="E5146">
        <v>-151</v>
      </c>
      <c r="F5146" s="5">
        <v>43831</v>
      </c>
      <c r="G5146">
        <v>-778</v>
      </c>
      <c r="H5146" t="s">
        <v>58</v>
      </c>
    </row>
    <row r="5147" spans="1:8" x14ac:dyDescent="0.3">
      <c r="A5147">
        <v>435</v>
      </c>
      <c r="B5147" s="5">
        <v>43833</v>
      </c>
      <c r="C5147" t="s">
        <v>10</v>
      </c>
      <c r="D5147">
        <v>702</v>
      </c>
      <c r="E5147">
        <v>551</v>
      </c>
      <c r="F5147" s="5">
        <v>43831</v>
      </c>
      <c r="G5147">
        <v>702</v>
      </c>
      <c r="H5147" t="s">
        <v>57</v>
      </c>
    </row>
    <row r="5148" spans="1:8" x14ac:dyDescent="0.3">
      <c r="A5148">
        <v>435</v>
      </c>
      <c r="B5148" s="5">
        <v>43835</v>
      </c>
      <c r="C5148" t="s">
        <v>12</v>
      </c>
      <c r="D5148">
        <v>965</v>
      </c>
      <c r="E5148">
        <v>-414</v>
      </c>
      <c r="F5148" s="5">
        <v>43831</v>
      </c>
      <c r="G5148">
        <v>-965</v>
      </c>
      <c r="H5148" t="s">
        <v>58</v>
      </c>
    </row>
    <row r="5149" spans="1:8" x14ac:dyDescent="0.3">
      <c r="A5149">
        <v>435</v>
      </c>
      <c r="B5149" s="5">
        <v>43835</v>
      </c>
      <c r="C5149" t="s">
        <v>10</v>
      </c>
      <c r="D5149">
        <v>118</v>
      </c>
      <c r="E5149">
        <v>-296</v>
      </c>
      <c r="F5149" s="5">
        <v>43831</v>
      </c>
      <c r="G5149">
        <v>118</v>
      </c>
      <c r="H5149" t="s">
        <v>58</v>
      </c>
    </row>
    <row r="5150" spans="1:8" x14ac:dyDescent="0.3">
      <c r="A5150">
        <v>435</v>
      </c>
      <c r="B5150" s="5">
        <v>43836</v>
      </c>
      <c r="C5150" t="s">
        <v>10</v>
      </c>
      <c r="D5150">
        <v>419</v>
      </c>
      <c r="E5150">
        <v>123</v>
      </c>
      <c r="F5150" s="5">
        <v>43831</v>
      </c>
      <c r="G5150">
        <v>419</v>
      </c>
      <c r="H5150" t="s">
        <v>57</v>
      </c>
    </row>
    <row r="5151" spans="1:8" x14ac:dyDescent="0.3">
      <c r="A5151">
        <v>435</v>
      </c>
      <c r="B5151" s="5">
        <v>43837</v>
      </c>
      <c r="C5151" t="s">
        <v>10</v>
      </c>
      <c r="D5151">
        <v>20</v>
      </c>
      <c r="E5151">
        <v>143</v>
      </c>
      <c r="F5151" s="5">
        <v>43831</v>
      </c>
      <c r="G5151">
        <v>20</v>
      </c>
      <c r="H5151" t="s">
        <v>57</v>
      </c>
    </row>
    <row r="5152" spans="1:8" x14ac:dyDescent="0.3">
      <c r="A5152">
        <v>435</v>
      </c>
      <c r="B5152" s="5">
        <v>43837</v>
      </c>
      <c r="C5152" t="s">
        <v>11</v>
      </c>
      <c r="D5152">
        <v>543</v>
      </c>
      <c r="E5152">
        <v>-400</v>
      </c>
      <c r="F5152" s="5">
        <v>43831</v>
      </c>
      <c r="G5152">
        <v>-543</v>
      </c>
      <c r="H5152" t="s">
        <v>58</v>
      </c>
    </row>
    <row r="5153" spans="1:8" x14ac:dyDescent="0.3">
      <c r="A5153">
        <v>435</v>
      </c>
      <c r="B5153" s="5">
        <v>43847</v>
      </c>
      <c r="C5153" t="s">
        <v>10</v>
      </c>
      <c r="D5153">
        <v>534</v>
      </c>
      <c r="E5153">
        <v>134</v>
      </c>
      <c r="F5153" s="5">
        <v>43831</v>
      </c>
      <c r="G5153">
        <v>534</v>
      </c>
      <c r="H5153" t="s">
        <v>57</v>
      </c>
    </row>
    <row r="5154" spans="1:8" x14ac:dyDescent="0.3">
      <c r="A5154">
        <v>435</v>
      </c>
      <c r="B5154" s="5">
        <v>43853</v>
      </c>
      <c r="C5154" t="s">
        <v>11</v>
      </c>
      <c r="D5154">
        <v>542</v>
      </c>
      <c r="E5154">
        <v>-408</v>
      </c>
      <c r="F5154" s="5">
        <v>43831</v>
      </c>
      <c r="G5154">
        <v>-542</v>
      </c>
      <c r="H5154" t="s">
        <v>58</v>
      </c>
    </row>
    <row r="5155" spans="1:8" x14ac:dyDescent="0.3">
      <c r="A5155">
        <v>435</v>
      </c>
      <c r="B5155" s="5">
        <v>43855</v>
      </c>
      <c r="C5155" t="s">
        <v>12</v>
      </c>
      <c r="D5155">
        <v>921</v>
      </c>
      <c r="E5155">
        <v>-1329</v>
      </c>
      <c r="F5155" s="5">
        <v>43831</v>
      </c>
      <c r="G5155">
        <v>-921</v>
      </c>
      <c r="H5155" t="s">
        <v>58</v>
      </c>
    </row>
    <row r="5156" spans="1:8" x14ac:dyDescent="0.3">
      <c r="A5156">
        <v>435</v>
      </c>
      <c r="B5156" s="5">
        <v>43874</v>
      </c>
      <c r="C5156" t="s">
        <v>10</v>
      </c>
      <c r="D5156">
        <v>386</v>
      </c>
      <c r="E5156">
        <v>-943</v>
      </c>
      <c r="F5156" s="5">
        <v>43862</v>
      </c>
      <c r="G5156">
        <v>386</v>
      </c>
      <c r="H5156" t="s">
        <v>58</v>
      </c>
    </row>
    <row r="5157" spans="1:8" x14ac:dyDescent="0.3">
      <c r="A5157">
        <v>435</v>
      </c>
      <c r="B5157" s="5">
        <v>43875</v>
      </c>
      <c r="C5157" t="s">
        <v>10</v>
      </c>
      <c r="D5157">
        <v>337</v>
      </c>
      <c r="E5157">
        <v>-606</v>
      </c>
      <c r="F5157" s="5">
        <v>43862</v>
      </c>
      <c r="G5157">
        <v>337</v>
      </c>
      <c r="H5157" t="s">
        <v>58</v>
      </c>
    </row>
    <row r="5158" spans="1:8" x14ac:dyDescent="0.3">
      <c r="A5158">
        <v>435</v>
      </c>
      <c r="B5158" s="5">
        <v>43887</v>
      </c>
      <c r="C5158" t="s">
        <v>10</v>
      </c>
      <c r="D5158">
        <v>568</v>
      </c>
      <c r="E5158">
        <v>-38</v>
      </c>
      <c r="F5158" s="5">
        <v>43862</v>
      </c>
      <c r="G5158">
        <v>568</v>
      </c>
      <c r="H5158" t="s">
        <v>58</v>
      </c>
    </row>
    <row r="5159" spans="1:8" x14ac:dyDescent="0.3">
      <c r="A5159">
        <v>435</v>
      </c>
      <c r="B5159" s="5">
        <v>43899</v>
      </c>
      <c r="C5159" t="s">
        <v>12</v>
      </c>
      <c r="D5159">
        <v>382</v>
      </c>
      <c r="E5159">
        <v>-420</v>
      </c>
      <c r="F5159" s="5">
        <v>43891</v>
      </c>
      <c r="G5159">
        <v>-382</v>
      </c>
      <c r="H5159" t="s">
        <v>58</v>
      </c>
    </row>
    <row r="5160" spans="1:8" x14ac:dyDescent="0.3">
      <c r="A5160">
        <v>435</v>
      </c>
      <c r="B5160" s="5">
        <v>43901</v>
      </c>
      <c r="C5160" t="s">
        <v>12</v>
      </c>
      <c r="D5160">
        <v>599</v>
      </c>
      <c r="E5160">
        <v>-1019</v>
      </c>
      <c r="F5160" s="5">
        <v>43891</v>
      </c>
      <c r="G5160">
        <v>-599</v>
      </c>
      <c r="H5160" t="s">
        <v>58</v>
      </c>
    </row>
    <row r="5161" spans="1:8" x14ac:dyDescent="0.3">
      <c r="A5161">
        <v>435</v>
      </c>
      <c r="B5161" s="5">
        <v>43907</v>
      </c>
      <c r="C5161" t="s">
        <v>11</v>
      </c>
      <c r="D5161">
        <v>310</v>
      </c>
      <c r="E5161">
        <v>-1329</v>
      </c>
      <c r="F5161" s="5">
        <v>43891</v>
      </c>
      <c r="G5161">
        <v>-310</v>
      </c>
      <c r="H5161" t="s">
        <v>58</v>
      </c>
    </row>
    <row r="5162" spans="1:8" x14ac:dyDescent="0.3">
      <c r="A5162">
        <v>435</v>
      </c>
      <c r="B5162" s="5">
        <v>43908</v>
      </c>
      <c r="C5162" t="s">
        <v>11</v>
      </c>
      <c r="D5162">
        <v>108</v>
      </c>
      <c r="E5162">
        <v>-1437</v>
      </c>
      <c r="F5162" s="5">
        <v>43891</v>
      </c>
      <c r="G5162">
        <v>-108</v>
      </c>
      <c r="H5162" t="s">
        <v>58</v>
      </c>
    </row>
    <row r="5163" spans="1:8" x14ac:dyDescent="0.3">
      <c r="A5163">
        <v>435</v>
      </c>
      <c r="B5163" s="5">
        <v>43913</v>
      </c>
      <c r="C5163" t="s">
        <v>12</v>
      </c>
      <c r="D5163">
        <v>545</v>
      </c>
      <c r="E5163">
        <v>-1982</v>
      </c>
      <c r="F5163" s="5">
        <v>43891</v>
      </c>
      <c r="G5163">
        <v>-545</v>
      </c>
      <c r="H5163" t="s">
        <v>58</v>
      </c>
    </row>
    <row r="5164" spans="1:8" x14ac:dyDescent="0.3">
      <c r="A5164">
        <v>435</v>
      </c>
      <c r="B5164" s="5">
        <v>43913</v>
      </c>
      <c r="C5164" t="s">
        <v>10</v>
      </c>
      <c r="D5164">
        <v>33</v>
      </c>
      <c r="E5164">
        <v>-1949</v>
      </c>
      <c r="F5164" s="5">
        <v>43891</v>
      </c>
      <c r="G5164">
        <v>33</v>
      </c>
      <c r="H5164" t="s">
        <v>58</v>
      </c>
    </row>
    <row r="5165" spans="1:8" x14ac:dyDescent="0.3">
      <c r="A5165">
        <v>435</v>
      </c>
      <c r="B5165" s="5">
        <v>43915</v>
      </c>
      <c r="C5165" t="s">
        <v>10</v>
      </c>
      <c r="D5165">
        <v>508</v>
      </c>
      <c r="E5165">
        <v>-1441</v>
      </c>
      <c r="F5165" s="5">
        <v>43891</v>
      </c>
      <c r="G5165">
        <v>508</v>
      </c>
      <c r="H5165" t="s">
        <v>58</v>
      </c>
    </row>
    <row r="5166" spans="1:8" x14ac:dyDescent="0.3">
      <c r="A5166">
        <v>435</v>
      </c>
      <c r="B5166" s="5">
        <v>43918</v>
      </c>
      <c r="C5166" t="s">
        <v>10</v>
      </c>
      <c r="D5166">
        <v>265</v>
      </c>
      <c r="E5166">
        <v>-1176</v>
      </c>
      <c r="F5166" s="5">
        <v>43891</v>
      </c>
      <c r="G5166">
        <v>265</v>
      </c>
      <c r="H5166" t="s">
        <v>58</v>
      </c>
    </row>
    <row r="5167" spans="1:8" x14ac:dyDescent="0.3">
      <c r="A5167">
        <v>436</v>
      </c>
      <c r="B5167" s="5">
        <v>43835</v>
      </c>
      <c r="C5167" t="s">
        <v>10</v>
      </c>
      <c r="D5167">
        <v>401</v>
      </c>
      <c r="E5167">
        <v>401</v>
      </c>
      <c r="F5167" s="5">
        <v>43831</v>
      </c>
      <c r="G5167">
        <v>401</v>
      </c>
      <c r="H5167" t="s">
        <v>57</v>
      </c>
    </row>
    <row r="5168" spans="1:8" x14ac:dyDescent="0.3">
      <c r="A5168">
        <v>436</v>
      </c>
      <c r="B5168" s="5">
        <v>43846</v>
      </c>
      <c r="C5168" t="s">
        <v>10</v>
      </c>
      <c r="D5168">
        <v>516</v>
      </c>
      <c r="E5168">
        <v>917</v>
      </c>
      <c r="F5168" s="5">
        <v>43831</v>
      </c>
      <c r="G5168">
        <v>516</v>
      </c>
      <c r="H5168" t="s">
        <v>57</v>
      </c>
    </row>
    <row r="5169" spans="1:8" x14ac:dyDescent="0.3">
      <c r="A5169">
        <v>436</v>
      </c>
      <c r="B5169" s="5">
        <v>43866</v>
      </c>
      <c r="C5169" t="s">
        <v>11</v>
      </c>
      <c r="D5169">
        <v>31</v>
      </c>
      <c r="E5169">
        <v>886</v>
      </c>
      <c r="F5169" s="5">
        <v>43862</v>
      </c>
      <c r="G5169">
        <v>-31</v>
      </c>
      <c r="H5169" t="s">
        <v>57</v>
      </c>
    </row>
    <row r="5170" spans="1:8" x14ac:dyDescent="0.3">
      <c r="A5170">
        <v>436</v>
      </c>
      <c r="B5170" s="5">
        <v>43893</v>
      </c>
      <c r="C5170" t="s">
        <v>11</v>
      </c>
      <c r="D5170">
        <v>304</v>
      </c>
      <c r="E5170">
        <v>582</v>
      </c>
      <c r="F5170" s="5">
        <v>43891</v>
      </c>
      <c r="G5170">
        <v>-304</v>
      </c>
      <c r="H5170" t="s">
        <v>57</v>
      </c>
    </row>
    <row r="5171" spans="1:8" x14ac:dyDescent="0.3">
      <c r="A5171">
        <v>436</v>
      </c>
      <c r="B5171" s="5">
        <v>43899</v>
      </c>
      <c r="C5171" t="s">
        <v>12</v>
      </c>
      <c r="D5171">
        <v>248</v>
      </c>
      <c r="E5171">
        <v>334</v>
      </c>
      <c r="F5171" s="5">
        <v>43891</v>
      </c>
      <c r="G5171">
        <v>-248</v>
      </c>
      <c r="H5171" t="s">
        <v>57</v>
      </c>
    </row>
    <row r="5172" spans="1:8" x14ac:dyDescent="0.3">
      <c r="A5172">
        <v>436</v>
      </c>
      <c r="B5172" s="5">
        <v>43903</v>
      </c>
      <c r="C5172" t="s">
        <v>12</v>
      </c>
      <c r="D5172">
        <v>917</v>
      </c>
      <c r="E5172">
        <v>-583</v>
      </c>
      <c r="F5172" s="5">
        <v>43891</v>
      </c>
      <c r="G5172">
        <v>-917</v>
      </c>
      <c r="H5172" t="s">
        <v>58</v>
      </c>
    </row>
    <row r="5173" spans="1:8" x14ac:dyDescent="0.3">
      <c r="A5173">
        <v>436</v>
      </c>
      <c r="B5173" s="5">
        <v>43919</v>
      </c>
      <c r="C5173" t="s">
        <v>11</v>
      </c>
      <c r="D5173">
        <v>93</v>
      </c>
      <c r="E5173">
        <v>-676</v>
      </c>
      <c r="F5173" s="5">
        <v>43891</v>
      </c>
      <c r="G5173">
        <v>-93</v>
      </c>
      <c r="H5173" t="s">
        <v>58</v>
      </c>
    </row>
    <row r="5174" spans="1:8" x14ac:dyDescent="0.3">
      <c r="A5174">
        <v>437</v>
      </c>
      <c r="B5174" s="5">
        <v>43835</v>
      </c>
      <c r="C5174" t="s">
        <v>10</v>
      </c>
      <c r="D5174">
        <v>935</v>
      </c>
      <c r="E5174">
        <v>935</v>
      </c>
      <c r="F5174" s="5">
        <v>43831</v>
      </c>
      <c r="G5174">
        <v>935</v>
      </c>
      <c r="H5174" t="s">
        <v>57</v>
      </c>
    </row>
    <row r="5175" spans="1:8" x14ac:dyDescent="0.3">
      <c r="A5175">
        <v>437</v>
      </c>
      <c r="B5175" s="5">
        <v>43835</v>
      </c>
      <c r="C5175" t="s">
        <v>12</v>
      </c>
      <c r="D5175">
        <v>951</v>
      </c>
      <c r="E5175">
        <v>-16</v>
      </c>
      <c r="F5175" s="5">
        <v>43831</v>
      </c>
      <c r="G5175">
        <v>-951</v>
      </c>
      <c r="H5175" t="s">
        <v>58</v>
      </c>
    </row>
    <row r="5176" spans="1:8" x14ac:dyDescent="0.3">
      <c r="A5176">
        <v>437</v>
      </c>
      <c r="B5176" s="5">
        <v>43847</v>
      </c>
      <c r="C5176" t="s">
        <v>12</v>
      </c>
      <c r="D5176">
        <v>345</v>
      </c>
      <c r="E5176">
        <v>-361</v>
      </c>
      <c r="F5176" s="5">
        <v>43831</v>
      </c>
      <c r="G5176">
        <v>-345</v>
      </c>
      <c r="H5176" t="s">
        <v>58</v>
      </c>
    </row>
    <row r="5177" spans="1:8" x14ac:dyDescent="0.3">
      <c r="A5177">
        <v>437</v>
      </c>
      <c r="B5177" s="5">
        <v>43872</v>
      </c>
      <c r="C5177" t="s">
        <v>12</v>
      </c>
      <c r="D5177">
        <v>80</v>
      </c>
      <c r="E5177">
        <v>-441</v>
      </c>
      <c r="F5177" s="5">
        <v>43862</v>
      </c>
      <c r="G5177">
        <v>-80</v>
      </c>
      <c r="H5177" t="s">
        <v>58</v>
      </c>
    </row>
    <row r="5178" spans="1:8" x14ac:dyDescent="0.3">
      <c r="A5178">
        <v>437</v>
      </c>
      <c r="B5178" s="5">
        <v>43872</v>
      </c>
      <c r="C5178" t="s">
        <v>11</v>
      </c>
      <c r="D5178">
        <v>657</v>
      </c>
      <c r="E5178">
        <v>-1098</v>
      </c>
      <c r="F5178" s="5">
        <v>43862</v>
      </c>
      <c r="G5178">
        <v>-657</v>
      </c>
      <c r="H5178" t="s">
        <v>58</v>
      </c>
    </row>
    <row r="5179" spans="1:8" x14ac:dyDescent="0.3">
      <c r="A5179">
        <v>437</v>
      </c>
      <c r="B5179" s="5">
        <v>43873</v>
      </c>
      <c r="C5179" t="s">
        <v>11</v>
      </c>
      <c r="D5179">
        <v>439</v>
      </c>
      <c r="E5179">
        <v>-1537</v>
      </c>
      <c r="F5179" s="5">
        <v>43862</v>
      </c>
      <c r="G5179">
        <v>-439</v>
      </c>
      <c r="H5179" t="s">
        <v>58</v>
      </c>
    </row>
    <row r="5180" spans="1:8" x14ac:dyDescent="0.3">
      <c r="A5180">
        <v>437</v>
      </c>
      <c r="B5180" s="5">
        <v>43906</v>
      </c>
      <c r="C5180" t="s">
        <v>11</v>
      </c>
      <c r="D5180">
        <v>86</v>
      </c>
      <c r="E5180">
        <v>-1623</v>
      </c>
      <c r="F5180" s="5">
        <v>43891</v>
      </c>
      <c r="G5180">
        <v>-86</v>
      </c>
      <c r="H5180" t="s">
        <v>58</v>
      </c>
    </row>
    <row r="5181" spans="1:8" x14ac:dyDescent="0.3">
      <c r="A5181">
        <v>437</v>
      </c>
      <c r="B5181" s="5">
        <v>43907</v>
      </c>
      <c r="C5181" t="s">
        <v>10</v>
      </c>
      <c r="D5181">
        <v>305</v>
      </c>
      <c r="E5181">
        <v>-1318</v>
      </c>
      <c r="F5181" s="5">
        <v>43891</v>
      </c>
      <c r="G5181">
        <v>305</v>
      </c>
      <c r="H5181" t="s">
        <v>58</v>
      </c>
    </row>
    <row r="5182" spans="1:8" x14ac:dyDescent="0.3">
      <c r="A5182">
        <v>437</v>
      </c>
      <c r="B5182" s="5">
        <v>43923</v>
      </c>
      <c r="C5182" t="s">
        <v>10</v>
      </c>
      <c r="D5182">
        <v>184</v>
      </c>
      <c r="E5182">
        <v>-1134</v>
      </c>
      <c r="F5182" s="5">
        <v>43922</v>
      </c>
      <c r="G5182">
        <v>184</v>
      </c>
      <c r="H5182" t="s">
        <v>58</v>
      </c>
    </row>
    <row r="5183" spans="1:8" x14ac:dyDescent="0.3">
      <c r="A5183">
        <v>438</v>
      </c>
      <c r="B5183" s="5">
        <v>43831</v>
      </c>
      <c r="C5183" t="s">
        <v>10</v>
      </c>
      <c r="D5183">
        <v>261</v>
      </c>
      <c r="E5183">
        <v>261</v>
      </c>
      <c r="F5183" s="5">
        <v>43831</v>
      </c>
      <c r="G5183">
        <v>261</v>
      </c>
      <c r="H5183" t="s">
        <v>57</v>
      </c>
    </row>
    <row r="5184" spans="1:8" x14ac:dyDescent="0.3">
      <c r="A5184">
        <v>438</v>
      </c>
      <c r="B5184" s="5">
        <v>43842</v>
      </c>
      <c r="C5184" t="s">
        <v>10</v>
      </c>
      <c r="D5184">
        <v>705</v>
      </c>
      <c r="E5184">
        <v>966</v>
      </c>
      <c r="F5184" s="5">
        <v>43831</v>
      </c>
      <c r="G5184">
        <v>705</v>
      </c>
      <c r="H5184" t="s">
        <v>57</v>
      </c>
    </row>
    <row r="5185" spans="1:8" x14ac:dyDescent="0.3">
      <c r="A5185">
        <v>438</v>
      </c>
      <c r="B5185" s="5">
        <v>43843</v>
      </c>
      <c r="C5185" t="s">
        <v>12</v>
      </c>
      <c r="D5185">
        <v>68</v>
      </c>
      <c r="E5185">
        <v>898</v>
      </c>
      <c r="F5185" s="5">
        <v>43831</v>
      </c>
      <c r="G5185">
        <v>-68</v>
      </c>
      <c r="H5185" t="s">
        <v>57</v>
      </c>
    </row>
    <row r="5186" spans="1:8" x14ac:dyDescent="0.3">
      <c r="A5186">
        <v>438</v>
      </c>
      <c r="B5186" s="5">
        <v>43850</v>
      </c>
      <c r="C5186" t="s">
        <v>12</v>
      </c>
      <c r="D5186">
        <v>538</v>
      </c>
      <c r="E5186">
        <v>360</v>
      </c>
      <c r="F5186" s="5">
        <v>43831</v>
      </c>
      <c r="G5186">
        <v>-538</v>
      </c>
      <c r="H5186" t="s">
        <v>57</v>
      </c>
    </row>
    <row r="5187" spans="1:8" x14ac:dyDescent="0.3">
      <c r="A5187">
        <v>438</v>
      </c>
      <c r="B5187" s="5">
        <v>43861</v>
      </c>
      <c r="C5187" t="s">
        <v>10</v>
      </c>
      <c r="D5187">
        <v>957</v>
      </c>
      <c r="E5187">
        <v>1317</v>
      </c>
      <c r="F5187" s="5">
        <v>43831</v>
      </c>
      <c r="G5187">
        <v>957</v>
      </c>
      <c r="H5187" t="s">
        <v>57</v>
      </c>
    </row>
    <row r="5188" spans="1:8" x14ac:dyDescent="0.3">
      <c r="A5188">
        <v>438</v>
      </c>
      <c r="B5188" s="5">
        <v>43862</v>
      </c>
      <c r="C5188" t="s">
        <v>11</v>
      </c>
      <c r="D5188">
        <v>93</v>
      </c>
      <c r="E5188">
        <v>1224</v>
      </c>
      <c r="F5188" s="5">
        <v>43862</v>
      </c>
      <c r="G5188">
        <v>-93</v>
      </c>
      <c r="H5188" t="s">
        <v>57</v>
      </c>
    </row>
    <row r="5189" spans="1:8" x14ac:dyDescent="0.3">
      <c r="A5189">
        <v>438</v>
      </c>
      <c r="B5189" s="5">
        <v>43873</v>
      </c>
      <c r="C5189" t="s">
        <v>12</v>
      </c>
      <c r="D5189">
        <v>159</v>
      </c>
      <c r="E5189">
        <v>1065</v>
      </c>
      <c r="F5189" s="5">
        <v>43862</v>
      </c>
      <c r="G5189">
        <v>-159</v>
      </c>
      <c r="H5189" t="s">
        <v>57</v>
      </c>
    </row>
    <row r="5190" spans="1:8" x14ac:dyDescent="0.3">
      <c r="A5190">
        <v>438</v>
      </c>
      <c r="B5190" s="5">
        <v>43874</v>
      </c>
      <c r="C5190" t="s">
        <v>10</v>
      </c>
      <c r="D5190">
        <v>890</v>
      </c>
      <c r="E5190">
        <v>1955</v>
      </c>
      <c r="F5190" s="5">
        <v>43862</v>
      </c>
      <c r="G5190">
        <v>890</v>
      </c>
      <c r="H5190" t="s">
        <v>57</v>
      </c>
    </row>
    <row r="5191" spans="1:8" x14ac:dyDescent="0.3">
      <c r="A5191">
        <v>438</v>
      </c>
      <c r="B5191" s="5">
        <v>43887</v>
      </c>
      <c r="C5191" t="s">
        <v>10</v>
      </c>
      <c r="D5191">
        <v>858</v>
      </c>
      <c r="E5191">
        <v>2813</v>
      </c>
      <c r="F5191" s="5">
        <v>43862</v>
      </c>
      <c r="G5191">
        <v>858</v>
      </c>
      <c r="H5191" t="s">
        <v>57</v>
      </c>
    </row>
    <row r="5192" spans="1:8" x14ac:dyDescent="0.3">
      <c r="A5192">
        <v>438</v>
      </c>
      <c r="B5192" s="5">
        <v>43897</v>
      </c>
      <c r="C5192" t="s">
        <v>10</v>
      </c>
      <c r="D5192">
        <v>273</v>
      </c>
      <c r="E5192">
        <v>3086</v>
      </c>
      <c r="F5192" s="5">
        <v>43891</v>
      </c>
      <c r="G5192">
        <v>273</v>
      </c>
      <c r="H5192" t="s">
        <v>57</v>
      </c>
    </row>
    <row r="5193" spans="1:8" x14ac:dyDescent="0.3">
      <c r="A5193">
        <v>438</v>
      </c>
      <c r="B5193" s="5">
        <v>43898</v>
      </c>
      <c r="C5193" t="s">
        <v>12</v>
      </c>
      <c r="D5193">
        <v>802</v>
      </c>
      <c r="E5193">
        <v>2284</v>
      </c>
      <c r="F5193" s="5">
        <v>43891</v>
      </c>
      <c r="G5193">
        <v>-802</v>
      </c>
      <c r="H5193" t="s">
        <v>57</v>
      </c>
    </row>
    <row r="5194" spans="1:8" x14ac:dyDescent="0.3">
      <c r="A5194">
        <v>438</v>
      </c>
      <c r="B5194" s="5">
        <v>43915</v>
      </c>
      <c r="C5194" t="s">
        <v>11</v>
      </c>
      <c r="D5194">
        <v>861</v>
      </c>
      <c r="E5194">
        <v>1423</v>
      </c>
      <c r="F5194" s="5">
        <v>43891</v>
      </c>
      <c r="G5194">
        <v>-861</v>
      </c>
      <c r="H5194" t="s">
        <v>57</v>
      </c>
    </row>
    <row r="5195" spans="1:8" x14ac:dyDescent="0.3">
      <c r="A5195">
        <v>439</v>
      </c>
      <c r="B5195" s="5">
        <v>43856</v>
      </c>
      <c r="C5195" t="s">
        <v>10</v>
      </c>
      <c r="D5195">
        <v>430</v>
      </c>
      <c r="E5195">
        <v>430</v>
      </c>
      <c r="F5195" s="5">
        <v>43831</v>
      </c>
      <c r="G5195">
        <v>430</v>
      </c>
      <c r="H5195" t="s">
        <v>57</v>
      </c>
    </row>
    <row r="5196" spans="1:8" x14ac:dyDescent="0.3">
      <c r="A5196">
        <v>439</v>
      </c>
      <c r="B5196" s="5">
        <v>43894</v>
      </c>
      <c r="C5196" t="s">
        <v>12</v>
      </c>
      <c r="D5196">
        <v>916</v>
      </c>
      <c r="E5196">
        <v>-486</v>
      </c>
      <c r="F5196" s="5">
        <v>43891</v>
      </c>
      <c r="G5196">
        <v>-916</v>
      </c>
      <c r="H5196" t="s">
        <v>58</v>
      </c>
    </row>
    <row r="5197" spans="1:8" x14ac:dyDescent="0.3">
      <c r="A5197">
        <v>439</v>
      </c>
      <c r="B5197" s="5">
        <v>43903</v>
      </c>
      <c r="C5197" t="s">
        <v>10</v>
      </c>
      <c r="D5197">
        <v>105</v>
      </c>
      <c r="E5197">
        <v>-381</v>
      </c>
      <c r="F5197" s="5">
        <v>43891</v>
      </c>
      <c r="G5197">
        <v>105</v>
      </c>
      <c r="H5197" t="s">
        <v>58</v>
      </c>
    </row>
    <row r="5198" spans="1:8" x14ac:dyDescent="0.3">
      <c r="A5198">
        <v>439</v>
      </c>
      <c r="B5198" s="5">
        <v>43933</v>
      </c>
      <c r="C5198" t="s">
        <v>10</v>
      </c>
      <c r="D5198">
        <v>699</v>
      </c>
      <c r="E5198">
        <v>318</v>
      </c>
      <c r="F5198" s="5">
        <v>43922</v>
      </c>
      <c r="G5198">
        <v>699</v>
      </c>
      <c r="H5198" t="s">
        <v>57</v>
      </c>
    </row>
    <row r="5199" spans="1:8" x14ac:dyDescent="0.3">
      <c r="A5199">
        <v>440</v>
      </c>
      <c r="B5199" s="5">
        <v>43833</v>
      </c>
      <c r="C5199" t="s">
        <v>10</v>
      </c>
      <c r="D5199">
        <v>45</v>
      </c>
      <c r="E5199">
        <v>45</v>
      </c>
      <c r="F5199" s="5">
        <v>43831</v>
      </c>
      <c r="G5199">
        <v>45</v>
      </c>
      <c r="H5199" t="s">
        <v>57</v>
      </c>
    </row>
    <row r="5200" spans="1:8" x14ac:dyDescent="0.3">
      <c r="A5200">
        <v>440</v>
      </c>
      <c r="B5200" s="5">
        <v>43834</v>
      </c>
      <c r="C5200" t="s">
        <v>12</v>
      </c>
      <c r="D5200">
        <v>168</v>
      </c>
      <c r="E5200">
        <v>-123</v>
      </c>
      <c r="F5200" s="5">
        <v>43831</v>
      </c>
      <c r="G5200">
        <v>-168</v>
      </c>
      <c r="H5200" t="s">
        <v>58</v>
      </c>
    </row>
    <row r="5201" spans="1:8" x14ac:dyDescent="0.3">
      <c r="A5201">
        <v>440</v>
      </c>
      <c r="B5201" s="5">
        <v>43879</v>
      </c>
      <c r="C5201" t="s">
        <v>10</v>
      </c>
      <c r="D5201">
        <v>269</v>
      </c>
      <c r="E5201">
        <v>146</v>
      </c>
      <c r="F5201" s="5">
        <v>43862</v>
      </c>
      <c r="G5201">
        <v>269</v>
      </c>
      <c r="H5201" t="s">
        <v>57</v>
      </c>
    </row>
    <row r="5202" spans="1:8" x14ac:dyDescent="0.3">
      <c r="A5202">
        <v>440</v>
      </c>
      <c r="B5202" s="5">
        <v>43894</v>
      </c>
      <c r="C5202" t="s">
        <v>10</v>
      </c>
      <c r="D5202">
        <v>585</v>
      </c>
      <c r="E5202">
        <v>731</v>
      </c>
      <c r="F5202" s="5">
        <v>43891</v>
      </c>
      <c r="G5202">
        <v>585</v>
      </c>
      <c r="H5202" t="s">
        <v>57</v>
      </c>
    </row>
    <row r="5203" spans="1:8" x14ac:dyDescent="0.3">
      <c r="A5203">
        <v>440</v>
      </c>
      <c r="B5203" s="5">
        <v>43916</v>
      </c>
      <c r="C5203" t="s">
        <v>12</v>
      </c>
      <c r="D5203">
        <v>241</v>
      </c>
      <c r="E5203">
        <v>490</v>
      </c>
      <c r="F5203" s="5">
        <v>43891</v>
      </c>
      <c r="G5203">
        <v>-241</v>
      </c>
      <c r="H5203" t="s">
        <v>57</v>
      </c>
    </row>
    <row r="5204" spans="1:8" x14ac:dyDescent="0.3">
      <c r="A5204">
        <v>441</v>
      </c>
      <c r="B5204" s="5">
        <v>43842</v>
      </c>
      <c r="C5204" t="s">
        <v>10</v>
      </c>
      <c r="D5204">
        <v>418</v>
      </c>
      <c r="E5204">
        <v>418</v>
      </c>
      <c r="F5204" s="5">
        <v>43831</v>
      </c>
      <c r="G5204">
        <v>418</v>
      </c>
      <c r="H5204" t="s">
        <v>57</v>
      </c>
    </row>
    <row r="5205" spans="1:8" x14ac:dyDescent="0.3">
      <c r="A5205">
        <v>441</v>
      </c>
      <c r="B5205" s="5">
        <v>43843</v>
      </c>
      <c r="C5205" t="s">
        <v>12</v>
      </c>
      <c r="D5205">
        <v>207</v>
      </c>
      <c r="E5205">
        <v>211</v>
      </c>
      <c r="F5205" s="5">
        <v>43831</v>
      </c>
      <c r="G5205">
        <v>-207</v>
      </c>
      <c r="H5205" t="s">
        <v>57</v>
      </c>
    </row>
    <row r="5206" spans="1:8" x14ac:dyDescent="0.3">
      <c r="A5206">
        <v>441</v>
      </c>
      <c r="B5206" s="5">
        <v>43848</v>
      </c>
      <c r="C5206" t="s">
        <v>12</v>
      </c>
      <c r="D5206">
        <v>540</v>
      </c>
      <c r="E5206">
        <v>-329</v>
      </c>
      <c r="F5206" s="5">
        <v>43831</v>
      </c>
      <c r="G5206">
        <v>-540</v>
      </c>
      <c r="H5206" t="s">
        <v>58</v>
      </c>
    </row>
    <row r="5207" spans="1:8" x14ac:dyDescent="0.3">
      <c r="A5207">
        <v>441</v>
      </c>
      <c r="B5207" s="5">
        <v>43864</v>
      </c>
      <c r="C5207" t="s">
        <v>10</v>
      </c>
      <c r="D5207">
        <v>177</v>
      </c>
      <c r="E5207">
        <v>-152</v>
      </c>
      <c r="F5207" s="5">
        <v>43862</v>
      </c>
      <c r="G5207">
        <v>177</v>
      </c>
      <c r="H5207" t="s">
        <v>58</v>
      </c>
    </row>
    <row r="5208" spans="1:8" x14ac:dyDescent="0.3">
      <c r="A5208">
        <v>441</v>
      </c>
      <c r="B5208" s="5">
        <v>43866</v>
      </c>
      <c r="C5208" t="s">
        <v>10</v>
      </c>
      <c r="D5208">
        <v>919</v>
      </c>
      <c r="E5208">
        <v>767</v>
      </c>
      <c r="F5208" s="5">
        <v>43862</v>
      </c>
      <c r="G5208">
        <v>919</v>
      </c>
      <c r="H5208" t="s">
        <v>57</v>
      </c>
    </row>
    <row r="5209" spans="1:8" x14ac:dyDescent="0.3">
      <c r="A5209">
        <v>441</v>
      </c>
      <c r="B5209" s="5">
        <v>43867</v>
      </c>
      <c r="C5209" t="s">
        <v>10</v>
      </c>
      <c r="D5209">
        <v>363</v>
      </c>
      <c r="E5209">
        <v>1130</v>
      </c>
      <c r="F5209" s="5">
        <v>43862</v>
      </c>
      <c r="G5209">
        <v>363</v>
      </c>
      <c r="H5209" t="s">
        <v>57</v>
      </c>
    </row>
    <row r="5210" spans="1:8" x14ac:dyDescent="0.3">
      <c r="A5210">
        <v>441</v>
      </c>
      <c r="B5210" s="5">
        <v>43878</v>
      </c>
      <c r="C5210" t="s">
        <v>12</v>
      </c>
      <c r="D5210">
        <v>195</v>
      </c>
      <c r="E5210">
        <v>935</v>
      </c>
      <c r="F5210" s="5">
        <v>43862</v>
      </c>
      <c r="G5210">
        <v>-195</v>
      </c>
      <c r="H5210" t="s">
        <v>57</v>
      </c>
    </row>
    <row r="5211" spans="1:8" x14ac:dyDescent="0.3">
      <c r="A5211">
        <v>441</v>
      </c>
      <c r="B5211" s="5">
        <v>43885</v>
      </c>
      <c r="C5211" t="s">
        <v>11</v>
      </c>
      <c r="D5211">
        <v>190</v>
      </c>
      <c r="E5211">
        <v>745</v>
      </c>
      <c r="F5211" s="5">
        <v>43862</v>
      </c>
      <c r="G5211">
        <v>-190</v>
      </c>
      <c r="H5211" t="s">
        <v>57</v>
      </c>
    </row>
    <row r="5212" spans="1:8" x14ac:dyDescent="0.3">
      <c r="A5212">
        <v>441</v>
      </c>
      <c r="B5212" s="5">
        <v>43896</v>
      </c>
      <c r="C5212" t="s">
        <v>12</v>
      </c>
      <c r="D5212">
        <v>229</v>
      </c>
      <c r="E5212">
        <v>516</v>
      </c>
      <c r="F5212" s="5">
        <v>43891</v>
      </c>
      <c r="G5212">
        <v>-229</v>
      </c>
      <c r="H5212" t="s">
        <v>57</v>
      </c>
    </row>
    <row r="5213" spans="1:8" x14ac:dyDescent="0.3">
      <c r="A5213">
        <v>441</v>
      </c>
      <c r="B5213" s="5">
        <v>43906</v>
      </c>
      <c r="C5213" t="s">
        <v>11</v>
      </c>
      <c r="D5213">
        <v>634</v>
      </c>
      <c r="E5213">
        <v>-118</v>
      </c>
      <c r="F5213" s="5">
        <v>43891</v>
      </c>
      <c r="G5213">
        <v>-634</v>
      </c>
      <c r="H5213" t="s">
        <v>58</v>
      </c>
    </row>
    <row r="5214" spans="1:8" x14ac:dyDescent="0.3">
      <c r="A5214">
        <v>441</v>
      </c>
      <c r="B5214" s="5">
        <v>43908</v>
      </c>
      <c r="C5214" t="s">
        <v>10</v>
      </c>
      <c r="D5214">
        <v>37</v>
      </c>
      <c r="E5214">
        <v>-81</v>
      </c>
      <c r="F5214" s="5">
        <v>43891</v>
      </c>
      <c r="G5214">
        <v>37</v>
      </c>
      <c r="H5214" t="s">
        <v>58</v>
      </c>
    </row>
    <row r="5215" spans="1:8" x14ac:dyDescent="0.3">
      <c r="A5215">
        <v>441</v>
      </c>
      <c r="B5215" s="5">
        <v>43910</v>
      </c>
      <c r="C5215" t="s">
        <v>11</v>
      </c>
      <c r="D5215">
        <v>917</v>
      </c>
      <c r="E5215">
        <v>-998</v>
      </c>
      <c r="F5215" s="5">
        <v>43891</v>
      </c>
      <c r="G5215">
        <v>-917</v>
      </c>
      <c r="H5215" t="s">
        <v>58</v>
      </c>
    </row>
    <row r="5216" spans="1:8" x14ac:dyDescent="0.3">
      <c r="A5216">
        <v>441</v>
      </c>
      <c r="B5216" s="5">
        <v>43914</v>
      </c>
      <c r="C5216" t="s">
        <v>10</v>
      </c>
      <c r="D5216">
        <v>856</v>
      </c>
      <c r="E5216">
        <v>-142</v>
      </c>
      <c r="F5216" s="5">
        <v>43891</v>
      </c>
      <c r="G5216">
        <v>856</v>
      </c>
      <c r="H5216" t="s">
        <v>58</v>
      </c>
    </row>
    <row r="5217" spans="1:8" x14ac:dyDescent="0.3">
      <c r="A5217">
        <v>441</v>
      </c>
      <c r="B5217" s="5">
        <v>43914</v>
      </c>
      <c r="C5217" t="s">
        <v>10</v>
      </c>
      <c r="D5217">
        <v>8</v>
      </c>
      <c r="E5217">
        <v>-134</v>
      </c>
      <c r="F5217" s="5">
        <v>43891</v>
      </c>
      <c r="G5217">
        <v>8</v>
      </c>
      <c r="H5217" t="s">
        <v>58</v>
      </c>
    </row>
    <row r="5218" spans="1:8" x14ac:dyDescent="0.3">
      <c r="A5218">
        <v>441</v>
      </c>
      <c r="B5218" s="5">
        <v>43915</v>
      </c>
      <c r="C5218" t="s">
        <v>12</v>
      </c>
      <c r="D5218">
        <v>535</v>
      </c>
      <c r="E5218">
        <v>-669</v>
      </c>
      <c r="F5218" s="5">
        <v>43891</v>
      </c>
      <c r="G5218">
        <v>-535</v>
      </c>
      <c r="H5218" t="s">
        <v>58</v>
      </c>
    </row>
    <row r="5219" spans="1:8" x14ac:dyDescent="0.3">
      <c r="A5219">
        <v>441</v>
      </c>
      <c r="B5219" s="5">
        <v>43923</v>
      </c>
      <c r="C5219" t="s">
        <v>11</v>
      </c>
      <c r="D5219">
        <v>8</v>
      </c>
      <c r="E5219">
        <v>-677</v>
      </c>
      <c r="F5219" s="5">
        <v>43922</v>
      </c>
      <c r="G5219">
        <v>-8</v>
      </c>
      <c r="H5219" t="s">
        <v>58</v>
      </c>
    </row>
    <row r="5220" spans="1:8" x14ac:dyDescent="0.3">
      <c r="A5220">
        <v>441</v>
      </c>
      <c r="B5220" s="5">
        <v>43925</v>
      </c>
      <c r="C5220" t="s">
        <v>10</v>
      </c>
      <c r="D5220">
        <v>392</v>
      </c>
      <c r="E5220">
        <v>-285</v>
      </c>
      <c r="F5220" s="5">
        <v>43922</v>
      </c>
      <c r="G5220">
        <v>392</v>
      </c>
      <c r="H5220" t="s">
        <v>58</v>
      </c>
    </row>
    <row r="5221" spans="1:8" x14ac:dyDescent="0.3">
      <c r="A5221">
        <v>441</v>
      </c>
      <c r="B5221" s="5">
        <v>43925</v>
      </c>
      <c r="C5221" t="s">
        <v>11</v>
      </c>
      <c r="D5221">
        <v>520</v>
      </c>
      <c r="E5221">
        <v>-805</v>
      </c>
      <c r="F5221" s="5">
        <v>43922</v>
      </c>
      <c r="G5221">
        <v>-520</v>
      </c>
      <c r="H5221" t="s">
        <v>58</v>
      </c>
    </row>
    <row r="5222" spans="1:8" x14ac:dyDescent="0.3">
      <c r="A5222">
        <v>441</v>
      </c>
      <c r="B5222" s="5">
        <v>43929</v>
      </c>
      <c r="C5222" t="s">
        <v>12</v>
      </c>
      <c r="D5222">
        <v>24</v>
      </c>
      <c r="E5222">
        <v>-829</v>
      </c>
      <c r="F5222" s="5">
        <v>43922</v>
      </c>
      <c r="G5222">
        <v>-24</v>
      </c>
      <c r="H5222" t="s">
        <v>58</v>
      </c>
    </row>
    <row r="5223" spans="1:8" x14ac:dyDescent="0.3">
      <c r="A5223">
        <v>441</v>
      </c>
      <c r="B5223" s="5">
        <v>43930</v>
      </c>
      <c r="C5223" t="s">
        <v>10</v>
      </c>
      <c r="D5223">
        <v>237</v>
      </c>
      <c r="E5223">
        <v>-592</v>
      </c>
      <c r="F5223" s="5">
        <v>43922</v>
      </c>
      <c r="G5223">
        <v>237</v>
      </c>
      <c r="H5223" t="s">
        <v>58</v>
      </c>
    </row>
    <row r="5224" spans="1:8" x14ac:dyDescent="0.3">
      <c r="A5224">
        <v>441</v>
      </c>
      <c r="B5224" s="5">
        <v>43931</v>
      </c>
      <c r="C5224" t="s">
        <v>11</v>
      </c>
      <c r="D5224">
        <v>206</v>
      </c>
      <c r="E5224">
        <v>-798</v>
      </c>
      <c r="F5224" s="5">
        <v>43922</v>
      </c>
      <c r="G5224">
        <v>-206</v>
      </c>
      <c r="H5224" t="s">
        <v>58</v>
      </c>
    </row>
    <row r="5225" spans="1:8" x14ac:dyDescent="0.3">
      <c r="A5225">
        <v>442</v>
      </c>
      <c r="B5225" s="5">
        <v>43856</v>
      </c>
      <c r="C5225" t="s">
        <v>10</v>
      </c>
      <c r="D5225">
        <v>553</v>
      </c>
      <c r="E5225">
        <v>553</v>
      </c>
      <c r="F5225" s="5">
        <v>43831</v>
      </c>
      <c r="G5225">
        <v>553</v>
      </c>
      <c r="H5225" t="s">
        <v>57</v>
      </c>
    </row>
    <row r="5226" spans="1:8" x14ac:dyDescent="0.3">
      <c r="A5226">
        <v>442</v>
      </c>
      <c r="B5226" s="5">
        <v>43857</v>
      </c>
      <c r="C5226" t="s">
        <v>11</v>
      </c>
      <c r="D5226">
        <v>881</v>
      </c>
      <c r="E5226">
        <v>-328</v>
      </c>
      <c r="F5226" s="5">
        <v>43831</v>
      </c>
      <c r="G5226">
        <v>-881</v>
      </c>
      <c r="H5226" t="s">
        <v>58</v>
      </c>
    </row>
    <row r="5227" spans="1:8" x14ac:dyDescent="0.3">
      <c r="A5227">
        <v>442</v>
      </c>
      <c r="B5227" s="5">
        <v>43858</v>
      </c>
      <c r="C5227" t="s">
        <v>10</v>
      </c>
      <c r="D5227">
        <v>470</v>
      </c>
      <c r="E5227">
        <v>142</v>
      </c>
      <c r="F5227" s="5">
        <v>43831</v>
      </c>
      <c r="G5227">
        <v>470</v>
      </c>
      <c r="H5227" t="s">
        <v>57</v>
      </c>
    </row>
    <row r="5228" spans="1:8" x14ac:dyDescent="0.3">
      <c r="A5228">
        <v>442</v>
      </c>
      <c r="B5228" s="5">
        <v>43872</v>
      </c>
      <c r="C5228" t="s">
        <v>11</v>
      </c>
      <c r="D5228">
        <v>835</v>
      </c>
      <c r="E5228">
        <v>-693</v>
      </c>
      <c r="F5228" s="5">
        <v>43862</v>
      </c>
      <c r="G5228">
        <v>-835</v>
      </c>
      <c r="H5228" t="s">
        <v>58</v>
      </c>
    </row>
    <row r="5229" spans="1:8" x14ac:dyDescent="0.3">
      <c r="A5229">
        <v>442</v>
      </c>
      <c r="B5229" s="5">
        <v>43872</v>
      </c>
      <c r="C5229" t="s">
        <v>11</v>
      </c>
      <c r="D5229">
        <v>240</v>
      </c>
      <c r="E5229">
        <v>-933</v>
      </c>
      <c r="F5229" s="5">
        <v>43862</v>
      </c>
      <c r="G5229">
        <v>-240</v>
      </c>
      <c r="H5229" t="s">
        <v>58</v>
      </c>
    </row>
    <row r="5230" spans="1:8" x14ac:dyDescent="0.3">
      <c r="A5230">
        <v>442</v>
      </c>
      <c r="B5230" s="5">
        <v>43881</v>
      </c>
      <c r="C5230" t="s">
        <v>12</v>
      </c>
      <c r="D5230">
        <v>156</v>
      </c>
      <c r="E5230">
        <v>-1089</v>
      </c>
      <c r="F5230" s="5">
        <v>43862</v>
      </c>
      <c r="G5230">
        <v>-156</v>
      </c>
      <c r="H5230" t="s">
        <v>58</v>
      </c>
    </row>
    <row r="5231" spans="1:8" x14ac:dyDescent="0.3">
      <c r="A5231">
        <v>442</v>
      </c>
      <c r="B5231" s="5">
        <v>43881</v>
      </c>
      <c r="C5231" t="s">
        <v>12</v>
      </c>
      <c r="D5231">
        <v>361</v>
      </c>
      <c r="E5231">
        <v>-1450</v>
      </c>
      <c r="F5231" s="5">
        <v>43862</v>
      </c>
      <c r="G5231">
        <v>-361</v>
      </c>
      <c r="H5231" t="s">
        <v>58</v>
      </c>
    </row>
    <row r="5232" spans="1:8" x14ac:dyDescent="0.3">
      <c r="A5232">
        <v>442</v>
      </c>
      <c r="B5232" s="5">
        <v>43882</v>
      </c>
      <c r="C5232" t="s">
        <v>11</v>
      </c>
      <c r="D5232">
        <v>638</v>
      </c>
      <c r="E5232">
        <v>-2088</v>
      </c>
      <c r="F5232" s="5">
        <v>43862</v>
      </c>
      <c r="G5232">
        <v>-638</v>
      </c>
      <c r="H5232" t="s">
        <v>58</v>
      </c>
    </row>
    <row r="5233" spans="1:8" x14ac:dyDescent="0.3">
      <c r="A5233">
        <v>442</v>
      </c>
      <c r="B5233" s="5">
        <v>43884</v>
      </c>
      <c r="C5233" t="s">
        <v>11</v>
      </c>
      <c r="D5233">
        <v>810</v>
      </c>
      <c r="E5233">
        <v>-2898</v>
      </c>
      <c r="F5233" s="5">
        <v>43862</v>
      </c>
      <c r="G5233">
        <v>-810</v>
      </c>
      <c r="H5233" t="s">
        <v>58</v>
      </c>
    </row>
    <row r="5234" spans="1:8" x14ac:dyDescent="0.3">
      <c r="A5234">
        <v>442</v>
      </c>
      <c r="B5234" s="5">
        <v>43892</v>
      </c>
      <c r="C5234" t="s">
        <v>12</v>
      </c>
      <c r="D5234">
        <v>728</v>
      </c>
      <c r="E5234">
        <v>-3626</v>
      </c>
      <c r="F5234" s="5">
        <v>43891</v>
      </c>
      <c r="G5234">
        <v>-728</v>
      </c>
      <c r="H5234" t="s">
        <v>58</v>
      </c>
    </row>
    <row r="5235" spans="1:8" x14ac:dyDescent="0.3">
      <c r="A5235">
        <v>442</v>
      </c>
      <c r="B5235" s="5">
        <v>43892</v>
      </c>
      <c r="C5235" t="s">
        <v>12</v>
      </c>
      <c r="D5235">
        <v>745</v>
      </c>
      <c r="E5235">
        <v>-4371</v>
      </c>
      <c r="F5235" s="5">
        <v>43891</v>
      </c>
      <c r="G5235">
        <v>-745</v>
      </c>
      <c r="H5235" t="s">
        <v>58</v>
      </c>
    </row>
    <row r="5236" spans="1:8" x14ac:dyDescent="0.3">
      <c r="A5236">
        <v>442</v>
      </c>
      <c r="B5236" s="5">
        <v>43899</v>
      </c>
      <c r="C5236" t="s">
        <v>11</v>
      </c>
      <c r="D5236">
        <v>661</v>
      </c>
      <c r="E5236">
        <v>-5032</v>
      </c>
      <c r="F5236" s="5">
        <v>43891</v>
      </c>
      <c r="G5236">
        <v>-661</v>
      </c>
      <c r="H5236" t="s">
        <v>58</v>
      </c>
    </row>
    <row r="5237" spans="1:8" x14ac:dyDescent="0.3">
      <c r="A5237">
        <v>442</v>
      </c>
      <c r="B5237" s="5">
        <v>43903</v>
      </c>
      <c r="C5237" t="s">
        <v>10</v>
      </c>
      <c r="D5237">
        <v>741</v>
      </c>
      <c r="E5237">
        <v>-4291</v>
      </c>
      <c r="F5237" s="5">
        <v>43891</v>
      </c>
      <c r="G5237">
        <v>741</v>
      </c>
      <c r="H5237" t="s">
        <v>58</v>
      </c>
    </row>
    <row r="5238" spans="1:8" x14ac:dyDescent="0.3">
      <c r="A5238">
        <v>442</v>
      </c>
      <c r="B5238" s="5">
        <v>43909</v>
      </c>
      <c r="C5238" t="s">
        <v>12</v>
      </c>
      <c r="D5238">
        <v>309</v>
      </c>
      <c r="E5238">
        <v>-4600</v>
      </c>
      <c r="F5238" s="5">
        <v>43891</v>
      </c>
      <c r="G5238">
        <v>-309</v>
      </c>
      <c r="H5238" t="s">
        <v>58</v>
      </c>
    </row>
    <row r="5239" spans="1:8" x14ac:dyDescent="0.3">
      <c r="A5239">
        <v>442</v>
      </c>
      <c r="B5239" s="5">
        <v>43910</v>
      </c>
      <c r="C5239" t="s">
        <v>12</v>
      </c>
      <c r="D5239">
        <v>824</v>
      </c>
      <c r="E5239">
        <v>-5424</v>
      </c>
      <c r="F5239" s="5">
        <v>43891</v>
      </c>
      <c r="G5239">
        <v>-824</v>
      </c>
      <c r="H5239" t="s">
        <v>58</v>
      </c>
    </row>
    <row r="5240" spans="1:8" x14ac:dyDescent="0.3">
      <c r="A5240">
        <v>442</v>
      </c>
      <c r="B5240" s="5">
        <v>43921</v>
      </c>
      <c r="C5240" t="s">
        <v>10</v>
      </c>
      <c r="D5240">
        <v>904</v>
      </c>
      <c r="E5240">
        <v>-4520</v>
      </c>
      <c r="F5240" s="5">
        <v>43891</v>
      </c>
      <c r="G5240">
        <v>904</v>
      </c>
      <c r="H5240" t="s">
        <v>58</v>
      </c>
    </row>
    <row r="5241" spans="1:8" x14ac:dyDescent="0.3">
      <c r="A5241">
        <v>442</v>
      </c>
      <c r="B5241" s="5">
        <v>43925</v>
      </c>
      <c r="C5241" t="s">
        <v>11</v>
      </c>
      <c r="D5241">
        <v>938</v>
      </c>
      <c r="E5241">
        <v>-5458</v>
      </c>
      <c r="F5241" s="5">
        <v>43922</v>
      </c>
      <c r="G5241">
        <v>-938</v>
      </c>
      <c r="H5241" t="s">
        <v>58</v>
      </c>
    </row>
    <row r="5242" spans="1:8" x14ac:dyDescent="0.3">
      <c r="A5242">
        <v>442</v>
      </c>
      <c r="B5242" s="5">
        <v>43927</v>
      </c>
      <c r="C5242" t="s">
        <v>11</v>
      </c>
      <c r="D5242">
        <v>385</v>
      </c>
      <c r="E5242">
        <v>-5843</v>
      </c>
      <c r="F5242" s="5">
        <v>43922</v>
      </c>
      <c r="G5242">
        <v>-385</v>
      </c>
      <c r="H5242" t="s">
        <v>58</v>
      </c>
    </row>
    <row r="5243" spans="1:8" x14ac:dyDescent="0.3">
      <c r="A5243">
        <v>442</v>
      </c>
      <c r="B5243" s="5">
        <v>43936</v>
      </c>
      <c r="C5243" t="s">
        <v>10</v>
      </c>
      <c r="D5243">
        <v>359</v>
      </c>
      <c r="E5243">
        <v>-5484</v>
      </c>
      <c r="F5243" s="5">
        <v>43922</v>
      </c>
      <c r="G5243">
        <v>359</v>
      </c>
      <c r="H5243" t="s">
        <v>58</v>
      </c>
    </row>
    <row r="5244" spans="1:8" x14ac:dyDescent="0.3">
      <c r="A5244">
        <v>442</v>
      </c>
      <c r="B5244" s="5">
        <v>43942</v>
      </c>
      <c r="C5244" t="s">
        <v>10</v>
      </c>
      <c r="D5244">
        <v>824</v>
      </c>
      <c r="E5244">
        <v>-4660</v>
      </c>
      <c r="F5244" s="5">
        <v>43922</v>
      </c>
      <c r="G5244">
        <v>824</v>
      </c>
      <c r="H5244" t="s">
        <v>58</v>
      </c>
    </row>
    <row r="5245" spans="1:8" x14ac:dyDescent="0.3">
      <c r="A5245">
        <v>442</v>
      </c>
      <c r="B5245" s="5">
        <v>43945</v>
      </c>
      <c r="C5245" t="s">
        <v>12</v>
      </c>
      <c r="D5245">
        <v>839</v>
      </c>
      <c r="E5245">
        <v>-5499</v>
      </c>
      <c r="F5245" s="5">
        <v>43922</v>
      </c>
      <c r="G5245">
        <v>-839</v>
      </c>
      <c r="H5245" t="s">
        <v>58</v>
      </c>
    </row>
    <row r="5246" spans="1:8" x14ac:dyDescent="0.3">
      <c r="A5246">
        <v>443</v>
      </c>
      <c r="B5246" s="5">
        <v>43858</v>
      </c>
      <c r="C5246" t="s">
        <v>10</v>
      </c>
      <c r="D5246">
        <v>760</v>
      </c>
      <c r="E5246">
        <v>760</v>
      </c>
      <c r="F5246" s="5">
        <v>43831</v>
      </c>
      <c r="G5246">
        <v>760</v>
      </c>
      <c r="H5246" t="s">
        <v>57</v>
      </c>
    </row>
    <row r="5247" spans="1:8" x14ac:dyDescent="0.3">
      <c r="A5247">
        <v>443</v>
      </c>
      <c r="B5247" s="5">
        <v>43882</v>
      </c>
      <c r="C5247" t="s">
        <v>12</v>
      </c>
      <c r="D5247">
        <v>57</v>
      </c>
      <c r="E5247">
        <v>703</v>
      </c>
      <c r="F5247" s="5">
        <v>43862</v>
      </c>
      <c r="G5247">
        <v>-57</v>
      </c>
      <c r="H5247" t="s">
        <v>57</v>
      </c>
    </row>
    <row r="5248" spans="1:8" x14ac:dyDescent="0.3">
      <c r="A5248">
        <v>443</v>
      </c>
      <c r="B5248" s="5">
        <v>43884</v>
      </c>
      <c r="C5248" t="s">
        <v>12</v>
      </c>
      <c r="D5248">
        <v>592</v>
      </c>
      <c r="E5248">
        <v>111</v>
      </c>
      <c r="F5248" s="5">
        <v>43862</v>
      </c>
      <c r="G5248">
        <v>-592</v>
      </c>
      <c r="H5248" t="s">
        <v>57</v>
      </c>
    </row>
    <row r="5249" spans="1:8" x14ac:dyDescent="0.3">
      <c r="A5249">
        <v>443</v>
      </c>
      <c r="B5249" s="5">
        <v>43890</v>
      </c>
      <c r="C5249" t="s">
        <v>10</v>
      </c>
      <c r="D5249">
        <v>599</v>
      </c>
      <c r="E5249">
        <v>710</v>
      </c>
      <c r="F5249" s="5">
        <v>43862</v>
      </c>
      <c r="G5249">
        <v>599</v>
      </c>
      <c r="H5249" t="s">
        <v>57</v>
      </c>
    </row>
    <row r="5250" spans="1:8" x14ac:dyDescent="0.3">
      <c r="A5250">
        <v>443</v>
      </c>
      <c r="B5250" s="5">
        <v>43892</v>
      </c>
      <c r="C5250" t="s">
        <v>11</v>
      </c>
      <c r="D5250">
        <v>845</v>
      </c>
      <c r="E5250">
        <v>-135</v>
      </c>
      <c r="F5250" s="5">
        <v>43891</v>
      </c>
      <c r="G5250">
        <v>-845</v>
      </c>
      <c r="H5250" t="s">
        <v>58</v>
      </c>
    </row>
    <row r="5251" spans="1:8" x14ac:dyDescent="0.3">
      <c r="A5251">
        <v>443</v>
      </c>
      <c r="B5251" s="5">
        <v>43912</v>
      </c>
      <c r="C5251" t="s">
        <v>11</v>
      </c>
      <c r="D5251">
        <v>377</v>
      </c>
      <c r="E5251">
        <v>-512</v>
      </c>
      <c r="F5251" s="5">
        <v>43891</v>
      </c>
      <c r="G5251">
        <v>-377</v>
      </c>
      <c r="H5251" t="s">
        <v>58</v>
      </c>
    </row>
    <row r="5252" spans="1:8" x14ac:dyDescent="0.3">
      <c r="A5252">
        <v>443</v>
      </c>
      <c r="B5252" s="5">
        <v>43918</v>
      </c>
      <c r="C5252" t="s">
        <v>10</v>
      </c>
      <c r="D5252">
        <v>561</v>
      </c>
      <c r="E5252">
        <v>49</v>
      </c>
      <c r="F5252" s="5">
        <v>43891</v>
      </c>
      <c r="G5252">
        <v>561</v>
      </c>
      <c r="H5252" t="s">
        <v>57</v>
      </c>
    </row>
    <row r="5253" spans="1:8" x14ac:dyDescent="0.3">
      <c r="A5253">
        <v>443</v>
      </c>
      <c r="B5253" s="5">
        <v>43921</v>
      </c>
      <c r="C5253" t="s">
        <v>11</v>
      </c>
      <c r="D5253">
        <v>408</v>
      </c>
      <c r="E5253">
        <v>-359</v>
      </c>
      <c r="F5253" s="5">
        <v>43891</v>
      </c>
      <c r="G5253">
        <v>-408</v>
      </c>
      <c r="H5253" t="s">
        <v>58</v>
      </c>
    </row>
    <row r="5254" spans="1:8" x14ac:dyDescent="0.3">
      <c r="A5254">
        <v>443</v>
      </c>
      <c r="B5254" s="5">
        <v>43925</v>
      </c>
      <c r="C5254" t="s">
        <v>10</v>
      </c>
      <c r="D5254">
        <v>348</v>
      </c>
      <c r="E5254">
        <v>-11</v>
      </c>
      <c r="F5254" s="5">
        <v>43922</v>
      </c>
      <c r="G5254">
        <v>348</v>
      </c>
      <c r="H5254" t="s">
        <v>58</v>
      </c>
    </row>
    <row r="5255" spans="1:8" x14ac:dyDescent="0.3">
      <c r="A5255">
        <v>444</v>
      </c>
      <c r="B5255" s="5">
        <v>43840</v>
      </c>
      <c r="C5255" t="s">
        <v>10</v>
      </c>
      <c r="D5255">
        <v>669</v>
      </c>
      <c r="E5255">
        <v>669</v>
      </c>
      <c r="F5255" s="5">
        <v>43831</v>
      </c>
      <c r="G5255">
        <v>669</v>
      </c>
      <c r="H5255" t="s">
        <v>57</v>
      </c>
    </row>
    <row r="5256" spans="1:8" x14ac:dyDescent="0.3">
      <c r="A5256">
        <v>444</v>
      </c>
      <c r="B5256" s="5">
        <v>43841</v>
      </c>
      <c r="C5256" t="s">
        <v>11</v>
      </c>
      <c r="D5256">
        <v>586</v>
      </c>
      <c r="E5256">
        <v>83</v>
      </c>
      <c r="F5256" s="5">
        <v>43831</v>
      </c>
      <c r="G5256">
        <v>-586</v>
      </c>
      <c r="H5256" t="s">
        <v>57</v>
      </c>
    </row>
    <row r="5257" spans="1:8" x14ac:dyDescent="0.3">
      <c r="A5257">
        <v>444</v>
      </c>
      <c r="B5257" s="5">
        <v>43863</v>
      </c>
      <c r="C5257" t="s">
        <v>11</v>
      </c>
      <c r="D5257">
        <v>14</v>
      </c>
      <c r="E5257">
        <v>69</v>
      </c>
      <c r="F5257" s="5">
        <v>43862</v>
      </c>
      <c r="G5257">
        <v>-14</v>
      </c>
      <c r="H5257" t="s">
        <v>57</v>
      </c>
    </row>
    <row r="5258" spans="1:8" x14ac:dyDescent="0.3">
      <c r="A5258">
        <v>444</v>
      </c>
      <c r="B5258" s="5">
        <v>43870</v>
      </c>
      <c r="C5258" t="s">
        <v>12</v>
      </c>
      <c r="D5258">
        <v>805</v>
      </c>
      <c r="E5258">
        <v>-736</v>
      </c>
      <c r="F5258" s="5">
        <v>43862</v>
      </c>
      <c r="G5258">
        <v>-805</v>
      </c>
      <c r="H5258" t="s">
        <v>58</v>
      </c>
    </row>
    <row r="5259" spans="1:8" x14ac:dyDescent="0.3">
      <c r="A5259">
        <v>444</v>
      </c>
      <c r="B5259" s="5">
        <v>43871</v>
      </c>
      <c r="C5259" t="s">
        <v>12</v>
      </c>
      <c r="D5259">
        <v>442</v>
      </c>
      <c r="E5259">
        <v>-1178</v>
      </c>
      <c r="F5259" s="5">
        <v>43862</v>
      </c>
      <c r="G5259">
        <v>-442</v>
      </c>
      <c r="H5259" t="s">
        <v>58</v>
      </c>
    </row>
    <row r="5260" spans="1:8" x14ac:dyDescent="0.3">
      <c r="A5260">
        <v>444</v>
      </c>
      <c r="B5260" s="5">
        <v>43897</v>
      </c>
      <c r="C5260" t="s">
        <v>10</v>
      </c>
      <c r="D5260">
        <v>906</v>
      </c>
      <c r="E5260">
        <v>-272</v>
      </c>
      <c r="F5260" s="5">
        <v>43891</v>
      </c>
      <c r="G5260">
        <v>906</v>
      </c>
      <c r="H5260" t="s">
        <v>58</v>
      </c>
    </row>
    <row r="5261" spans="1:8" x14ac:dyDescent="0.3">
      <c r="A5261">
        <v>444</v>
      </c>
      <c r="B5261" s="5">
        <v>43899</v>
      </c>
      <c r="C5261" t="s">
        <v>10</v>
      </c>
      <c r="D5261">
        <v>822</v>
      </c>
      <c r="E5261">
        <v>550</v>
      </c>
      <c r="F5261" s="5">
        <v>43891</v>
      </c>
      <c r="G5261">
        <v>822</v>
      </c>
      <c r="H5261" t="s">
        <v>57</v>
      </c>
    </row>
    <row r="5262" spans="1:8" x14ac:dyDescent="0.3">
      <c r="A5262">
        <v>444</v>
      </c>
      <c r="B5262" s="5">
        <v>43915</v>
      </c>
      <c r="C5262" t="s">
        <v>11</v>
      </c>
      <c r="D5262">
        <v>378</v>
      </c>
      <c r="E5262">
        <v>172</v>
      </c>
      <c r="F5262" s="5">
        <v>43891</v>
      </c>
      <c r="G5262">
        <v>-378</v>
      </c>
      <c r="H5262" t="s">
        <v>57</v>
      </c>
    </row>
    <row r="5263" spans="1:8" x14ac:dyDescent="0.3">
      <c r="A5263">
        <v>444</v>
      </c>
      <c r="B5263" s="5">
        <v>43920</v>
      </c>
      <c r="C5263" t="s">
        <v>12</v>
      </c>
      <c r="D5263">
        <v>671</v>
      </c>
      <c r="E5263">
        <v>-499</v>
      </c>
      <c r="F5263" s="5">
        <v>43891</v>
      </c>
      <c r="G5263">
        <v>-671</v>
      </c>
      <c r="H5263" t="s">
        <v>58</v>
      </c>
    </row>
    <row r="5264" spans="1:8" x14ac:dyDescent="0.3">
      <c r="A5264">
        <v>444</v>
      </c>
      <c r="B5264" s="5">
        <v>43929</v>
      </c>
      <c r="C5264" t="s">
        <v>12</v>
      </c>
      <c r="D5264">
        <v>321</v>
      </c>
      <c r="E5264">
        <v>-820</v>
      </c>
      <c r="F5264" s="5">
        <v>43922</v>
      </c>
      <c r="G5264">
        <v>-321</v>
      </c>
      <c r="H5264" t="s">
        <v>58</v>
      </c>
    </row>
    <row r="5265" spans="1:8" x14ac:dyDescent="0.3">
      <c r="A5265">
        <v>445</v>
      </c>
      <c r="B5265" s="5">
        <v>43855</v>
      </c>
      <c r="C5265" t="s">
        <v>10</v>
      </c>
      <c r="D5265">
        <v>832</v>
      </c>
      <c r="E5265">
        <v>832</v>
      </c>
      <c r="F5265" s="5">
        <v>43831</v>
      </c>
      <c r="G5265">
        <v>832</v>
      </c>
      <c r="H5265" t="s">
        <v>57</v>
      </c>
    </row>
    <row r="5266" spans="1:8" x14ac:dyDescent="0.3">
      <c r="A5266">
        <v>445</v>
      </c>
      <c r="B5266" s="5">
        <v>43855</v>
      </c>
      <c r="C5266" t="s">
        <v>10</v>
      </c>
      <c r="D5266">
        <v>836</v>
      </c>
      <c r="E5266">
        <v>1668</v>
      </c>
      <c r="F5266" s="5">
        <v>43831</v>
      </c>
      <c r="G5266">
        <v>836</v>
      </c>
      <c r="H5266" t="s">
        <v>57</v>
      </c>
    </row>
    <row r="5267" spans="1:8" x14ac:dyDescent="0.3">
      <c r="A5267">
        <v>445</v>
      </c>
      <c r="B5267" s="5">
        <v>43856</v>
      </c>
      <c r="C5267" t="s">
        <v>11</v>
      </c>
      <c r="D5267">
        <v>635</v>
      </c>
      <c r="E5267">
        <v>1033</v>
      </c>
      <c r="F5267" s="5">
        <v>43831</v>
      </c>
      <c r="G5267">
        <v>-635</v>
      </c>
      <c r="H5267" t="s">
        <v>57</v>
      </c>
    </row>
    <row r="5268" spans="1:8" x14ac:dyDescent="0.3">
      <c r="A5268">
        <v>445</v>
      </c>
      <c r="B5268" s="5">
        <v>43859</v>
      </c>
      <c r="C5268" t="s">
        <v>10</v>
      </c>
      <c r="D5268">
        <v>331</v>
      </c>
      <c r="E5268">
        <v>1364</v>
      </c>
      <c r="F5268" s="5">
        <v>43831</v>
      </c>
      <c r="G5268">
        <v>331</v>
      </c>
      <c r="H5268" t="s">
        <v>57</v>
      </c>
    </row>
    <row r="5269" spans="1:8" x14ac:dyDescent="0.3">
      <c r="A5269">
        <v>445</v>
      </c>
      <c r="B5269" s="5">
        <v>43867</v>
      </c>
      <c r="C5269" t="s">
        <v>10</v>
      </c>
      <c r="D5269">
        <v>471</v>
      </c>
      <c r="E5269">
        <v>1835</v>
      </c>
      <c r="F5269" s="5">
        <v>43862</v>
      </c>
      <c r="G5269">
        <v>471</v>
      </c>
      <c r="H5269" t="s">
        <v>57</v>
      </c>
    </row>
    <row r="5270" spans="1:8" x14ac:dyDescent="0.3">
      <c r="A5270">
        <v>445</v>
      </c>
      <c r="B5270" s="5">
        <v>43868</v>
      </c>
      <c r="C5270" t="s">
        <v>11</v>
      </c>
      <c r="D5270">
        <v>982</v>
      </c>
      <c r="E5270">
        <v>853</v>
      </c>
      <c r="F5270" s="5">
        <v>43862</v>
      </c>
      <c r="G5270">
        <v>-982</v>
      </c>
      <c r="H5270" t="s">
        <v>57</v>
      </c>
    </row>
    <row r="5271" spans="1:8" x14ac:dyDescent="0.3">
      <c r="A5271">
        <v>445</v>
      </c>
      <c r="B5271" s="5">
        <v>43873</v>
      </c>
      <c r="C5271" t="s">
        <v>12</v>
      </c>
      <c r="D5271">
        <v>374</v>
      </c>
      <c r="E5271">
        <v>479</v>
      </c>
      <c r="F5271" s="5">
        <v>43862</v>
      </c>
      <c r="G5271">
        <v>-374</v>
      </c>
      <c r="H5271" t="s">
        <v>57</v>
      </c>
    </row>
    <row r="5272" spans="1:8" x14ac:dyDescent="0.3">
      <c r="A5272">
        <v>445</v>
      </c>
      <c r="B5272" s="5">
        <v>43878</v>
      </c>
      <c r="C5272" t="s">
        <v>10</v>
      </c>
      <c r="D5272">
        <v>415</v>
      </c>
      <c r="E5272">
        <v>894</v>
      </c>
      <c r="F5272" s="5">
        <v>43862</v>
      </c>
      <c r="G5272">
        <v>415</v>
      </c>
      <c r="H5272" t="s">
        <v>57</v>
      </c>
    </row>
    <row r="5273" spans="1:8" x14ac:dyDescent="0.3">
      <c r="A5273">
        <v>445</v>
      </c>
      <c r="B5273" s="5">
        <v>43895</v>
      </c>
      <c r="C5273" t="s">
        <v>12</v>
      </c>
      <c r="D5273">
        <v>144</v>
      </c>
      <c r="E5273">
        <v>750</v>
      </c>
      <c r="F5273" s="5">
        <v>43891</v>
      </c>
      <c r="G5273">
        <v>-144</v>
      </c>
      <c r="H5273" t="s">
        <v>57</v>
      </c>
    </row>
    <row r="5274" spans="1:8" x14ac:dyDescent="0.3">
      <c r="A5274">
        <v>445</v>
      </c>
      <c r="B5274" s="5">
        <v>43895</v>
      </c>
      <c r="C5274" t="s">
        <v>10</v>
      </c>
      <c r="D5274">
        <v>428</v>
      </c>
      <c r="E5274">
        <v>1178</v>
      </c>
      <c r="F5274" s="5">
        <v>43891</v>
      </c>
      <c r="G5274">
        <v>428</v>
      </c>
      <c r="H5274" t="s">
        <v>57</v>
      </c>
    </row>
    <row r="5275" spans="1:8" x14ac:dyDescent="0.3">
      <c r="A5275">
        <v>445</v>
      </c>
      <c r="B5275" s="5">
        <v>43901</v>
      </c>
      <c r="C5275" t="s">
        <v>12</v>
      </c>
      <c r="D5275">
        <v>454</v>
      </c>
      <c r="E5275">
        <v>724</v>
      </c>
      <c r="F5275" s="5">
        <v>43891</v>
      </c>
      <c r="G5275">
        <v>-454</v>
      </c>
      <c r="H5275" t="s">
        <v>57</v>
      </c>
    </row>
    <row r="5276" spans="1:8" x14ac:dyDescent="0.3">
      <c r="A5276">
        <v>445</v>
      </c>
      <c r="B5276" s="5">
        <v>43922</v>
      </c>
      <c r="C5276" t="s">
        <v>12</v>
      </c>
      <c r="D5276">
        <v>395</v>
      </c>
      <c r="E5276">
        <v>329</v>
      </c>
      <c r="F5276" s="5">
        <v>43922</v>
      </c>
      <c r="G5276">
        <v>-395</v>
      </c>
      <c r="H5276" t="s">
        <v>57</v>
      </c>
    </row>
    <row r="5277" spans="1:8" x14ac:dyDescent="0.3">
      <c r="A5277">
        <v>445</v>
      </c>
      <c r="B5277" s="5">
        <v>43927</v>
      </c>
      <c r="C5277" t="s">
        <v>11</v>
      </c>
      <c r="D5277">
        <v>303</v>
      </c>
      <c r="E5277">
        <v>26</v>
      </c>
      <c r="F5277" s="5">
        <v>43922</v>
      </c>
      <c r="G5277">
        <v>-303</v>
      </c>
      <c r="H5277" t="s">
        <v>57</v>
      </c>
    </row>
    <row r="5278" spans="1:8" x14ac:dyDescent="0.3">
      <c r="A5278">
        <v>445</v>
      </c>
      <c r="B5278" s="5">
        <v>43938</v>
      </c>
      <c r="C5278" t="s">
        <v>10</v>
      </c>
      <c r="D5278">
        <v>663</v>
      </c>
      <c r="E5278">
        <v>689</v>
      </c>
      <c r="F5278" s="5">
        <v>43922</v>
      </c>
      <c r="G5278">
        <v>663</v>
      </c>
      <c r="H5278" t="s">
        <v>57</v>
      </c>
    </row>
    <row r="5279" spans="1:8" x14ac:dyDescent="0.3">
      <c r="A5279">
        <v>445</v>
      </c>
      <c r="B5279" s="5">
        <v>43938</v>
      </c>
      <c r="C5279" t="s">
        <v>12</v>
      </c>
      <c r="D5279">
        <v>371</v>
      </c>
      <c r="E5279">
        <v>318</v>
      </c>
      <c r="F5279" s="5">
        <v>43922</v>
      </c>
      <c r="G5279">
        <v>-371</v>
      </c>
      <c r="H5279" t="s">
        <v>57</v>
      </c>
    </row>
    <row r="5280" spans="1:8" x14ac:dyDescent="0.3">
      <c r="A5280">
        <v>445</v>
      </c>
      <c r="B5280" s="5">
        <v>43941</v>
      </c>
      <c r="C5280" t="s">
        <v>10</v>
      </c>
      <c r="D5280">
        <v>477</v>
      </c>
      <c r="E5280">
        <v>795</v>
      </c>
      <c r="F5280" s="5">
        <v>43922</v>
      </c>
      <c r="G5280">
        <v>477</v>
      </c>
      <c r="H5280" t="s">
        <v>57</v>
      </c>
    </row>
    <row r="5281" spans="1:8" x14ac:dyDescent="0.3">
      <c r="A5281">
        <v>445</v>
      </c>
      <c r="B5281" s="5">
        <v>43943</v>
      </c>
      <c r="C5281" t="s">
        <v>12</v>
      </c>
      <c r="D5281">
        <v>483</v>
      </c>
      <c r="E5281">
        <v>312</v>
      </c>
      <c r="F5281" s="5">
        <v>43922</v>
      </c>
      <c r="G5281">
        <v>-483</v>
      </c>
      <c r="H5281" t="s">
        <v>57</v>
      </c>
    </row>
    <row r="5282" spans="1:8" x14ac:dyDescent="0.3">
      <c r="A5282">
        <v>446</v>
      </c>
      <c r="B5282" s="5">
        <v>43845</v>
      </c>
      <c r="C5282" t="s">
        <v>10</v>
      </c>
      <c r="D5282">
        <v>412</v>
      </c>
      <c r="E5282">
        <v>412</v>
      </c>
      <c r="F5282" s="5">
        <v>43831</v>
      </c>
      <c r="G5282">
        <v>412</v>
      </c>
      <c r="H5282" t="s">
        <v>57</v>
      </c>
    </row>
    <row r="5283" spans="1:8" x14ac:dyDescent="0.3">
      <c r="A5283">
        <v>446</v>
      </c>
      <c r="B5283" s="5">
        <v>43894</v>
      </c>
      <c r="C5283" t="s">
        <v>12</v>
      </c>
      <c r="D5283">
        <v>837</v>
      </c>
      <c r="E5283">
        <v>-425</v>
      </c>
      <c r="F5283" s="5">
        <v>43891</v>
      </c>
      <c r="G5283">
        <v>-837</v>
      </c>
      <c r="H5283" t="s">
        <v>58</v>
      </c>
    </row>
    <row r="5284" spans="1:8" x14ac:dyDescent="0.3">
      <c r="A5284">
        <v>446</v>
      </c>
      <c r="B5284" s="5">
        <v>43913</v>
      </c>
      <c r="C5284" t="s">
        <v>10</v>
      </c>
      <c r="D5284">
        <v>372</v>
      </c>
      <c r="E5284">
        <v>-53</v>
      </c>
      <c r="F5284" s="5">
        <v>43891</v>
      </c>
      <c r="G5284">
        <v>372</v>
      </c>
      <c r="H5284" t="s">
        <v>58</v>
      </c>
    </row>
    <row r="5285" spans="1:8" x14ac:dyDescent="0.3">
      <c r="A5285">
        <v>446</v>
      </c>
      <c r="B5285" s="5">
        <v>43924</v>
      </c>
      <c r="C5285" t="s">
        <v>10</v>
      </c>
      <c r="D5285">
        <v>458</v>
      </c>
      <c r="E5285">
        <v>405</v>
      </c>
      <c r="F5285" s="5">
        <v>43922</v>
      </c>
      <c r="G5285">
        <v>458</v>
      </c>
      <c r="H5285" t="s">
        <v>57</v>
      </c>
    </row>
    <row r="5286" spans="1:8" x14ac:dyDescent="0.3">
      <c r="A5286">
        <v>447</v>
      </c>
      <c r="B5286" s="5">
        <v>43833</v>
      </c>
      <c r="C5286" t="s">
        <v>10</v>
      </c>
      <c r="D5286">
        <v>188</v>
      </c>
      <c r="E5286">
        <v>188</v>
      </c>
      <c r="F5286" s="5">
        <v>43831</v>
      </c>
      <c r="G5286">
        <v>188</v>
      </c>
      <c r="H5286" t="s">
        <v>57</v>
      </c>
    </row>
    <row r="5287" spans="1:8" x14ac:dyDescent="0.3">
      <c r="A5287">
        <v>447</v>
      </c>
      <c r="B5287" s="5">
        <v>43835</v>
      </c>
      <c r="C5287" t="s">
        <v>10</v>
      </c>
      <c r="D5287">
        <v>303</v>
      </c>
      <c r="E5287">
        <v>491</v>
      </c>
      <c r="F5287" s="5">
        <v>43831</v>
      </c>
      <c r="G5287">
        <v>303</v>
      </c>
      <c r="H5287" t="s">
        <v>57</v>
      </c>
    </row>
    <row r="5288" spans="1:8" x14ac:dyDescent="0.3">
      <c r="A5288">
        <v>447</v>
      </c>
      <c r="B5288" s="5">
        <v>43835</v>
      </c>
      <c r="C5288" t="s">
        <v>10</v>
      </c>
      <c r="D5288">
        <v>761</v>
      </c>
      <c r="E5288">
        <v>1252</v>
      </c>
      <c r="F5288" s="5">
        <v>43831</v>
      </c>
      <c r="G5288">
        <v>761</v>
      </c>
      <c r="H5288" t="s">
        <v>57</v>
      </c>
    </row>
    <row r="5289" spans="1:8" x14ac:dyDescent="0.3">
      <c r="A5289">
        <v>447</v>
      </c>
      <c r="B5289" s="5">
        <v>43844</v>
      </c>
      <c r="C5289" t="s">
        <v>11</v>
      </c>
      <c r="D5289">
        <v>172</v>
      </c>
      <c r="E5289">
        <v>1080</v>
      </c>
      <c r="F5289" s="5">
        <v>43831</v>
      </c>
      <c r="G5289">
        <v>-172</v>
      </c>
      <c r="H5289" t="s">
        <v>57</v>
      </c>
    </row>
    <row r="5290" spans="1:8" x14ac:dyDescent="0.3">
      <c r="A5290">
        <v>447</v>
      </c>
      <c r="B5290" s="5">
        <v>43845</v>
      </c>
      <c r="C5290" t="s">
        <v>10</v>
      </c>
      <c r="D5290">
        <v>761</v>
      </c>
      <c r="E5290">
        <v>1841</v>
      </c>
      <c r="F5290" s="5">
        <v>43831</v>
      </c>
      <c r="G5290">
        <v>761</v>
      </c>
      <c r="H5290" t="s">
        <v>57</v>
      </c>
    </row>
    <row r="5291" spans="1:8" x14ac:dyDescent="0.3">
      <c r="A5291">
        <v>447</v>
      </c>
      <c r="B5291" s="5">
        <v>43850</v>
      </c>
      <c r="C5291" t="s">
        <v>12</v>
      </c>
      <c r="D5291">
        <v>657</v>
      </c>
      <c r="E5291">
        <v>1184</v>
      </c>
      <c r="F5291" s="5">
        <v>43831</v>
      </c>
      <c r="G5291">
        <v>-657</v>
      </c>
      <c r="H5291" t="s">
        <v>57</v>
      </c>
    </row>
    <row r="5292" spans="1:8" x14ac:dyDescent="0.3">
      <c r="A5292">
        <v>447</v>
      </c>
      <c r="B5292" s="5">
        <v>43853</v>
      </c>
      <c r="C5292" t="s">
        <v>10</v>
      </c>
      <c r="D5292">
        <v>11</v>
      </c>
      <c r="E5292">
        <v>1195</v>
      </c>
      <c r="F5292" s="5">
        <v>43831</v>
      </c>
      <c r="G5292">
        <v>11</v>
      </c>
      <c r="H5292" t="s">
        <v>57</v>
      </c>
    </row>
    <row r="5293" spans="1:8" x14ac:dyDescent="0.3">
      <c r="A5293">
        <v>447</v>
      </c>
      <c r="B5293" s="5">
        <v>43883</v>
      </c>
      <c r="C5293" t="s">
        <v>12</v>
      </c>
      <c r="D5293">
        <v>758</v>
      </c>
      <c r="E5293">
        <v>437</v>
      </c>
      <c r="F5293" s="5">
        <v>43862</v>
      </c>
      <c r="G5293">
        <v>-758</v>
      </c>
      <c r="H5293" t="s">
        <v>57</v>
      </c>
    </row>
    <row r="5294" spans="1:8" x14ac:dyDescent="0.3">
      <c r="A5294">
        <v>447</v>
      </c>
      <c r="B5294" s="5">
        <v>43889</v>
      </c>
      <c r="C5294" t="s">
        <v>12</v>
      </c>
      <c r="D5294">
        <v>396</v>
      </c>
      <c r="E5294">
        <v>41</v>
      </c>
      <c r="F5294" s="5">
        <v>43862</v>
      </c>
      <c r="G5294">
        <v>-396</v>
      </c>
      <c r="H5294" t="s">
        <v>57</v>
      </c>
    </row>
    <row r="5295" spans="1:8" x14ac:dyDescent="0.3">
      <c r="A5295">
        <v>447</v>
      </c>
      <c r="B5295" s="5">
        <v>43903</v>
      </c>
      <c r="C5295" t="s">
        <v>12</v>
      </c>
      <c r="D5295">
        <v>539</v>
      </c>
      <c r="E5295">
        <v>-498</v>
      </c>
      <c r="F5295" s="5">
        <v>43891</v>
      </c>
      <c r="G5295">
        <v>-539</v>
      </c>
      <c r="H5295" t="s">
        <v>58</v>
      </c>
    </row>
    <row r="5296" spans="1:8" x14ac:dyDescent="0.3">
      <c r="A5296">
        <v>447</v>
      </c>
      <c r="B5296" s="5">
        <v>43909</v>
      </c>
      <c r="C5296" t="s">
        <v>12</v>
      </c>
      <c r="D5296">
        <v>816</v>
      </c>
      <c r="E5296">
        <v>-1314</v>
      </c>
      <c r="F5296" s="5">
        <v>43891</v>
      </c>
      <c r="G5296">
        <v>-816</v>
      </c>
      <c r="H5296" t="s">
        <v>58</v>
      </c>
    </row>
    <row r="5297" spans="1:8" x14ac:dyDescent="0.3">
      <c r="A5297">
        <v>447</v>
      </c>
      <c r="B5297" s="5">
        <v>43914</v>
      </c>
      <c r="C5297" t="s">
        <v>10</v>
      </c>
      <c r="D5297">
        <v>24</v>
      </c>
      <c r="E5297">
        <v>-1290</v>
      </c>
      <c r="F5297" s="5">
        <v>43891</v>
      </c>
      <c r="G5297">
        <v>24</v>
      </c>
      <c r="H5297" t="s">
        <v>58</v>
      </c>
    </row>
    <row r="5298" spans="1:8" x14ac:dyDescent="0.3">
      <c r="A5298">
        <v>448</v>
      </c>
      <c r="B5298" s="5">
        <v>43860</v>
      </c>
      <c r="C5298" t="s">
        <v>10</v>
      </c>
      <c r="D5298">
        <v>759</v>
      </c>
      <c r="E5298">
        <v>759</v>
      </c>
      <c r="F5298" s="5">
        <v>43831</v>
      </c>
      <c r="G5298">
        <v>759</v>
      </c>
      <c r="H5298" t="s">
        <v>57</v>
      </c>
    </row>
    <row r="5299" spans="1:8" x14ac:dyDescent="0.3">
      <c r="A5299">
        <v>448</v>
      </c>
      <c r="B5299" s="5">
        <v>43861</v>
      </c>
      <c r="C5299" t="s">
        <v>10</v>
      </c>
      <c r="D5299">
        <v>601</v>
      </c>
      <c r="E5299">
        <v>1360</v>
      </c>
      <c r="F5299" s="5">
        <v>43831</v>
      </c>
      <c r="G5299">
        <v>601</v>
      </c>
      <c r="H5299" t="s">
        <v>57</v>
      </c>
    </row>
    <row r="5300" spans="1:8" x14ac:dyDescent="0.3">
      <c r="A5300">
        <v>448</v>
      </c>
      <c r="B5300" s="5">
        <v>43866</v>
      </c>
      <c r="C5300" t="s">
        <v>12</v>
      </c>
      <c r="D5300">
        <v>948</v>
      </c>
      <c r="E5300">
        <v>412</v>
      </c>
      <c r="F5300" s="5">
        <v>43862</v>
      </c>
      <c r="G5300">
        <v>-948</v>
      </c>
      <c r="H5300" t="s">
        <v>57</v>
      </c>
    </row>
    <row r="5301" spans="1:8" x14ac:dyDescent="0.3">
      <c r="A5301">
        <v>448</v>
      </c>
      <c r="B5301" s="5">
        <v>43868</v>
      </c>
      <c r="C5301" t="s">
        <v>11</v>
      </c>
      <c r="D5301">
        <v>737</v>
      </c>
      <c r="E5301">
        <v>-325</v>
      </c>
      <c r="F5301" s="5">
        <v>43862</v>
      </c>
      <c r="G5301">
        <v>-737</v>
      </c>
      <c r="H5301" t="s">
        <v>58</v>
      </c>
    </row>
    <row r="5302" spans="1:8" x14ac:dyDescent="0.3">
      <c r="A5302">
        <v>448</v>
      </c>
      <c r="B5302" s="5">
        <v>43873</v>
      </c>
      <c r="C5302" t="s">
        <v>10</v>
      </c>
      <c r="D5302">
        <v>566</v>
      </c>
      <c r="E5302">
        <v>241</v>
      </c>
      <c r="F5302" s="5">
        <v>43862</v>
      </c>
      <c r="G5302">
        <v>566</v>
      </c>
      <c r="H5302" t="s">
        <v>57</v>
      </c>
    </row>
    <row r="5303" spans="1:8" x14ac:dyDescent="0.3">
      <c r="A5303">
        <v>448</v>
      </c>
      <c r="B5303" s="5">
        <v>43883</v>
      </c>
      <c r="C5303" t="s">
        <v>12</v>
      </c>
      <c r="D5303">
        <v>416</v>
      </c>
      <c r="E5303">
        <v>-175</v>
      </c>
      <c r="F5303" s="5">
        <v>43862</v>
      </c>
      <c r="G5303">
        <v>-416</v>
      </c>
      <c r="H5303" t="s">
        <v>58</v>
      </c>
    </row>
    <row r="5304" spans="1:8" x14ac:dyDescent="0.3">
      <c r="A5304">
        <v>448</v>
      </c>
      <c r="B5304" s="5">
        <v>43888</v>
      </c>
      <c r="C5304" t="s">
        <v>12</v>
      </c>
      <c r="D5304">
        <v>734</v>
      </c>
      <c r="E5304">
        <v>-909</v>
      </c>
      <c r="F5304" s="5">
        <v>43862</v>
      </c>
      <c r="G5304">
        <v>-734</v>
      </c>
      <c r="H5304" t="s">
        <v>58</v>
      </c>
    </row>
    <row r="5305" spans="1:8" x14ac:dyDescent="0.3">
      <c r="A5305">
        <v>448</v>
      </c>
      <c r="B5305" s="5">
        <v>43894</v>
      </c>
      <c r="C5305" t="s">
        <v>10</v>
      </c>
      <c r="D5305">
        <v>334</v>
      </c>
      <c r="E5305">
        <v>-575</v>
      </c>
      <c r="F5305" s="5">
        <v>43891</v>
      </c>
      <c r="G5305">
        <v>334</v>
      </c>
      <c r="H5305" t="s">
        <v>58</v>
      </c>
    </row>
    <row r="5306" spans="1:8" x14ac:dyDescent="0.3">
      <c r="A5306">
        <v>448</v>
      </c>
      <c r="B5306" s="5">
        <v>43896</v>
      </c>
      <c r="C5306" t="s">
        <v>10</v>
      </c>
      <c r="D5306">
        <v>135</v>
      </c>
      <c r="E5306">
        <v>-440</v>
      </c>
      <c r="F5306" s="5">
        <v>43891</v>
      </c>
      <c r="G5306">
        <v>135</v>
      </c>
      <c r="H5306" t="s">
        <v>58</v>
      </c>
    </row>
    <row r="5307" spans="1:8" x14ac:dyDescent="0.3">
      <c r="A5307">
        <v>448</v>
      </c>
      <c r="B5307" s="5">
        <v>43910</v>
      </c>
      <c r="C5307" t="s">
        <v>12</v>
      </c>
      <c r="D5307">
        <v>497</v>
      </c>
      <c r="E5307">
        <v>-937</v>
      </c>
      <c r="F5307" s="5">
        <v>43891</v>
      </c>
      <c r="G5307">
        <v>-497</v>
      </c>
      <c r="H5307" t="s">
        <v>58</v>
      </c>
    </row>
    <row r="5308" spans="1:8" x14ac:dyDescent="0.3">
      <c r="A5308">
        <v>448</v>
      </c>
      <c r="B5308" s="5">
        <v>43915</v>
      </c>
      <c r="C5308" t="s">
        <v>11</v>
      </c>
      <c r="D5308">
        <v>882</v>
      </c>
      <c r="E5308">
        <v>-1819</v>
      </c>
      <c r="F5308" s="5">
        <v>43891</v>
      </c>
      <c r="G5308">
        <v>-882</v>
      </c>
      <c r="H5308" t="s">
        <v>58</v>
      </c>
    </row>
    <row r="5309" spans="1:8" x14ac:dyDescent="0.3">
      <c r="A5309">
        <v>448</v>
      </c>
      <c r="B5309" s="5">
        <v>43919</v>
      </c>
      <c r="C5309" t="s">
        <v>12</v>
      </c>
      <c r="D5309">
        <v>247</v>
      </c>
      <c r="E5309">
        <v>-2066</v>
      </c>
      <c r="F5309" s="5">
        <v>43891</v>
      </c>
      <c r="G5309">
        <v>-247</v>
      </c>
      <c r="H5309" t="s">
        <v>58</v>
      </c>
    </row>
    <row r="5310" spans="1:8" x14ac:dyDescent="0.3">
      <c r="A5310">
        <v>448</v>
      </c>
      <c r="B5310" s="5">
        <v>43919</v>
      </c>
      <c r="C5310" t="s">
        <v>10</v>
      </c>
      <c r="D5310">
        <v>24</v>
      </c>
      <c r="E5310">
        <v>-2042</v>
      </c>
      <c r="F5310" s="5">
        <v>43891</v>
      </c>
      <c r="G5310">
        <v>24</v>
      </c>
      <c r="H5310" t="s">
        <v>58</v>
      </c>
    </row>
    <row r="5311" spans="1:8" x14ac:dyDescent="0.3">
      <c r="A5311">
        <v>448</v>
      </c>
      <c r="B5311" s="5">
        <v>43922</v>
      </c>
      <c r="C5311" t="s">
        <v>10</v>
      </c>
      <c r="D5311">
        <v>511</v>
      </c>
      <c r="E5311">
        <v>-1531</v>
      </c>
      <c r="F5311" s="5">
        <v>43922</v>
      </c>
      <c r="G5311">
        <v>511</v>
      </c>
      <c r="H5311" t="s">
        <v>58</v>
      </c>
    </row>
    <row r="5312" spans="1:8" x14ac:dyDescent="0.3">
      <c r="A5312">
        <v>448</v>
      </c>
      <c r="B5312" s="5">
        <v>43924</v>
      </c>
      <c r="C5312" t="s">
        <v>10</v>
      </c>
      <c r="D5312">
        <v>339</v>
      </c>
      <c r="E5312">
        <v>-1192</v>
      </c>
      <c r="F5312" s="5">
        <v>43922</v>
      </c>
      <c r="G5312">
        <v>339</v>
      </c>
      <c r="H5312" t="s">
        <v>58</v>
      </c>
    </row>
    <row r="5313" spans="1:8" x14ac:dyDescent="0.3">
      <c r="A5313">
        <v>448</v>
      </c>
      <c r="B5313" s="5">
        <v>43924</v>
      </c>
      <c r="C5313" t="s">
        <v>10</v>
      </c>
      <c r="D5313">
        <v>176</v>
      </c>
      <c r="E5313">
        <v>-1016</v>
      </c>
      <c r="F5313" s="5">
        <v>43922</v>
      </c>
      <c r="G5313">
        <v>176</v>
      </c>
      <c r="H5313" t="s">
        <v>58</v>
      </c>
    </row>
    <row r="5314" spans="1:8" x14ac:dyDescent="0.3">
      <c r="A5314">
        <v>448</v>
      </c>
      <c r="B5314" s="5">
        <v>43926</v>
      </c>
      <c r="C5314" t="s">
        <v>12</v>
      </c>
      <c r="D5314">
        <v>667</v>
      </c>
      <c r="E5314">
        <v>-1683</v>
      </c>
      <c r="F5314" s="5">
        <v>43922</v>
      </c>
      <c r="G5314">
        <v>-667</v>
      </c>
      <c r="H5314" t="s">
        <v>58</v>
      </c>
    </row>
    <row r="5315" spans="1:8" x14ac:dyDescent="0.3">
      <c r="A5315">
        <v>448</v>
      </c>
      <c r="B5315" s="5">
        <v>43942</v>
      </c>
      <c r="C5315" t="s">
        <v>11</v>
      </c>
      <c r="D5315">
        <v>795</v>
      </c>
      <c r="E5315">
        <v>-2478</v>
      </c>
      <c r="F5315" s="5">
        <v>43922</v>
      </c>
      <c r="G5315">
        <v>-795</v>
      </c>
      <c r="H5315" t="s">
        <v>58</v>
      </c>
    </row>
    <row r="5316" spans="1:8" x14ac:dyDescent="0.3">
      <c r="A5316">
        <v>448</v>
      </c>
      <c r="B5316" s="5">
        <v>43942</v>
      </c>
      <c r="C5316" t="s">
        <v>10</v>
      </c>
      <c r="D5316">
        <v>817</v>
      </c>
      <c r="E5316">
        <v>-1661</v>
      </c>
      <c r="F5316" s="5">
        <v>43922</v>
      </c>
      <c r="G5316">
        <v>817</v>
      </c>
      <c r="H5316" t="s">
        <v>58</v>
      </c>
    </row>
    <row r="5317" spans="1:8" x14ac:dyDescent="0.3">
      <c r="A5317">
        <v>448</v>
      </c>
      <c r="B5317" s="5">
        <v>43948</v>
      </c>
      <c r="C5317" t="s">
        <v>12</v>
      </c>
      <c r="D5317">
        <v>34</v>
      </c>
      <c r="E5317">
        <v>-1695</v>
      </c>
      <c r="F5317" s="5">
        <v>43922</v>
      </c>
      <c r="G5317">
        <v>-34</v>
      </c>
      <c r="H5317" t="s">
        <v>58</v>
      </c>
    </row>
    <row r="5318" spans="1:8" x14ac:dyDescent="0.3">
      <c r="A5318">
        <v>448</v>
      </c>
      <c r="B5318" s="5">
        <v>43948</v>
      </c>
      <c r="C5318" t="s">
        <v>12</v>
      </c>
      <c r="D5318">
        <v>723</v>
      </c>
      <c r="E5318">
        <v>-2418</v>
      </c>
      <c r="F5318" s="5">
        <v>43922</v>
      </c>
      <c r="G5318">
        <v>-723</v>
      </c>
      <c r="H5318" t="s">
        <v>58</v>
      </c>
    </row>
    <row r="5319" spans="1:8" x14ac:dyDescent="0.3">
      <c r="A5319">
        <v>449</v>
      </c>
      <c r="B5319" s="5">
        <v>43836</v>
      </c>
      <c r="C5319" t="s">
        <v>10</v>
      </c>
      <c r="D5319">
        <v>352</v>
      </c>
      <c r="E5319">
        <v>352</v>
      </c>
      <c r="F5319" s="5">
        <v>43831</v>
      </c>
      <c r="G5319">
        <v>352</v>
      </c>
      <c r="H5319" t="s">
        <v>57</v>
      </c>
    </row>
    <row r="5320" spans="1:8" x14ac:dyDescent="0.3">
      <c r="A5320">
        <v>449</v>
      </c>
      <c r="B5320" s="5">
        <v>43837</v>
      </c>
      <c r="C5320" t="s">
        <v>12</v>
      </c>
      <c r="D5320">
        <v>476</v>
      </c>
      <c r="E5320">
        <v>-124</v>
      </c>
      <c r="F5320" s="5">
        <v>43831</v>
      </c>
      <c r="G5320">
        <v>-476</v>
      </c>
      <c r="H5320" t="s">
        <v>58</v>
      </c>
    </row>
    <row r="5321" spans="1:8" x14ac:dyDescent="0.3">
      <c r="A5321">
        <v>449</v>
      </c>
      <c r="B5321" s="5">
        <v>43843</v>
      </c>
      <c r="C5321" t="s">
        <v>11</v>
      </c>
      <c r="D5321">
        <v>753</v>
      </c>
      <c r="E5321">
        <v>-877</v>
      </c>
      <c r="F5321" s="5">
        <v>43831</v>
      </c>
      <c r="G5321">
        <v>-753</v>
      </c>
      <c r="H5321" t="s">
        <v>58</v>
      </c>
    </row>
    <row r="5322" spans="1:8" x14ac:dyDescent="0.3">
      <c r="A5322">
        <v>449</v>
      </c>
      <c r="B5322" s="5">
        <v>43846</v>
      </c>
      <c r="C5322" t="s">
        <v>11</v>
      </c>
      <c r="D5322">
        <v>393</v>
      </c>
      <c r="E5322">
        <v>-1270</v>
      </c>
      <c r="F5322" s="5">
        <v>43831</v>
      </c>
      <c r="G5322">
        <v>-393</v>
      </c>
      <c r="H5322" t="s">
        <v>58</v>
      </c>
    </row>
    <row r="5323" spans="1:8" x14ac:dyDescent="0.3">
      <c r="A5323">
        <v>449</v>
      </c>
      <c r="B5323" s="5">
        <v>43850</v>
      </c>
      <c r="C5323" t="s">
        <v>11</v>
      </c>
      <c r="D5323">
        <v>324</v>
      </c>
      <c r="E5323">
        <v>-1594</v>
      </c>
      <c r="F5323" s="5">
        <v>43831</v>
      </c>
      <c r="G5323">
        <v>-324</v>
      </c>
      <c r="H5323" t="s">
        <v>58</v>
      </c>
    </row>
    <row r="5324" spans="1:8" x14ac:dyDescent="0.3">
      <c r="A5324">
        <v>449</v>
      </c>
      <c r="B5324" s="5">
        <v>43853</v>
      </c>
      <c r="C5324" t="s">
        <v>12</v>
      </c>
      <c r="D5324">
        <v>831</v>
      </c>
      <c r="E5324">
        <v>-2425</v>
      </c>
      <c r="F5324" s="5">
        <v>43831</v>
      </c>
      <c r="G5324">
        <v>-831</v>
      </c>
      <c r="H5324" t="s">
        <v>58</v>
      </c>
    </row>
    <row r="5325" spans="1:8" x14ac:dyDescent="0.3">
      <c r="A5325">
        <v>449</v>
      </c>
      <c r="B5325" s="5">
        <v>43860</v>
      </c>
      <c r="C5325" t="s">
        <v>12</v>
      </c>
      <c r="D5325">
        <v>539</v>
      </c>
      <c r="E5325">
        <v>-2964</v>
      </c>
      <c r="F5325" s="5">
        <v>43831</v>
      </c>
      <c r="G5325">
        <v>-539</v>
      </c>
      <c r="H5325" t="s">
        <v>58</v>
      </c>
    </row>
    <row r="5326" spans="1:8" x14ac:dyDescent="0.3">
      <c r="A5326">
        <v>449</v>
      </c>
      <c r="B5326" s="5">
        <v>43861</v>
      </c>
      <c r="C5326" t="s">
        <v>12</v>
      </c>
      <c r="D5326">
        <v>136</v>
      </c>
      <c r="E5326">
        <v>-3100</v>
      </c>
      <c r="F5326" s="5">
        <v>43831</v>
      </c>
      <c r="G5326">
        <v>-136</v>
      </c>
      <c r="H5326" t="s">
        <v>58</v>
      </c>
    </row>
    <row r="5327" spans="1:8" x14ac:dyDescent="0.3">
      <c r="A5327">
        <v>449</v>
      </c>
      <c r="B5327" s="5">
        <v>43866</v>
      </c>
      <c r="C5327" t="s">
        <v>11</v>
      </c>
      <c r="D5327">
        <v>493</v>
      </c>
      <c r="E5327">
        <v>-3593</v>
      </c>
      <c r="F5327" s="5">
        <v>43862</v>
      </c>
      <c r="G5327">
        <v>-493</v>
      </c>
      <c r="H5327" t="s">
        <v>58</v>
      </c>
    </row>
    <row r="5328" spans="1:8" x14ac:dyDescent="0.3">
      <c r="A5328">
        <v>449</v>
      </c>
      <c r="B5328" s="5">
        <v>43874</v>
      </c>
      <c r="C5328" t="s">
        <v>11</v>
      </c>
      <c r="D5328">
        <v>289</v>
      </c>
      <c r="E5328">
        <v>-3882</v>
      </c>
      <c r="F5328" s="5">
        <v>43862</v>
      </c>
      <c r="G5328">
        <v>-289</v>
      </c>
      <c r="H5328" t="s">
        <v>58</v>
      </c>
    </row>
    <row r="5329" spans="1:8" x14ac:dyDescent="0.3">
      <c r="A5329">
        <v>449</v>
      </c>
      <c r="B5329" s="5">
        <v>43874</v>
      </c>
      <c r="C5329" t="s">
        <v>12</v>
      </c>
      <c r="D5329">
        <v>792</v>
      </c>
      <c r="E5329">
        <v>-4674</v>
      </c>
      <c r="F5329" s="5">
        <v>43862</v>
      </c>
      <c r="G5329">
        <v>-792</v>
      </c>
      <c r="H5329" t="s">
        <v>58</v>
      </c>
    </row>
    <row r="5330" spans="1:8" x14ac:dyDescent="0.3">
      <c r="A5330">
        <v>449</v>
      </c>
      <c r="B5330" s="5">
        <v>43878</v>
      </c>
      <c r="C5330" t="s">
        <v>10</v>
      </c>
      <c r="D5330">
        <v>746</v>
      </c>
      <c r="E5330">
        <v>-3928</v>
      </c>
      <c r="F5330" s="5">
        <v>43862</v>
      </c>
      <c r="G5330">
        <v>746</v>
      </c>
      <c r="H5330" t="s">
        <v>58</v>
      </c>
    </row>
    <row r="5331" spans="1:8" x14ac:dyDescent="0.3">
      <c r="A5331">
        <v>449</v>
      </c>
      <c r="B5331" s="5">
        <v>43919</v>
      </c>
      <c r="C5331" t="s">
        <v>10</v>
      </c>
      <c r="D5331">
        <v>883</v>
      </c>
      <c r="E5331">
        <v>-3045</v>
      </c>
      <c r="F5331" s="5">
        <v>43891</v>
      </c>
      <c r="G5331">
        <v>883</v>
      </c>
      <c r="H5331" t="s">
        <v>58</v>
      </c>
    </row>
    <row r="5332" spans="1:8" x14ac:dyDescent="0.3">
      <c r="A5332">
        <v>450</v>
      </c>
      <c r="B5332" s="5">
        <v>43841</v>
      </c>
      <c r="C5332" t="s">
        <v>10</v>
      </c>
      <c r="D5332">
        <v>890</v>
      </c>
      <c r="E5332">
        <v>890</v>
      </c>
      <c r="F5332" s="5">
        <v>43831</v>
      </c>
      <c r="G5332">
        <v>890</v>
      </c>
      <c r="H5332" t="s">
        <v>57</v>
      </c>
    </row>
    <row r="5333" spans="1:8" x14ac:dyDescent="0.3">
      <c r="A5333">
        <v>450</v>
      </c>
      <c r="B5333" s="5">
        <v>43842</v>
      </c>
      <c r="C5333" t="s">
        <v>12</v>
      </c>
      <c r="D5333">
        <v>366</v>
      </c>
      <c r="E5333">
        <v>524</v>
      </c>
      <c r="F5333" s="5">
        <v>43831</v>
      </c>
      <c r="G5333">
        <v>-366</v>
      </c>
      <c r="H5333" t="s">
        <v>57</v>
      </c>
    </row>
    <row r="5334" spans="1:8" x14ac:dyDescent="0.3">
      <c r="A5334">
        <v>450</v>
      </c>
      <c r="B5334" s="5">
        <v>43847</v>
      </c>
      <c r="C5334" t="s">
        <v>10</v>
      </c>
      <c r="D5334">
        <v>883</v>
      </c>
      <c r="E5334">
        <v>1407</v>
      </c>
      <c r="F5334" s="5">
        <v>43831</v>
      </c>
      <c r="G5334">
        <v>883</v>
      </c>
      <c r="H5334" t="s">
        <v>57</v>
      </c>
    </row>
    <row r="5335" spans="1:8" x14ac:dyDescent="0.3">
      <c r="A5335">
        <v>450</v>
      </c>
      <c r="B5335" s="5">
        <v>43860</v>
      </c>
      <c r="C5335" t="s">
        <v>12</v>
      </c>
      <c r="D5335">
        <v>938</v>
      </c>
      <c r="E5335">
        <v>469</v>
      </c>
      <c r="F5335" s="5">
        <v>43831</v>
      </c>
      <c r="G5335">
        <v>-938</v>
      </c>
      <c r="H5335" t="s">
        <v>57</v>
      </c>
    </row>
    <row r="5336" spans="1:8" x14ac:dyDescent="0.3">
      <c r="A5336">
        <v>450</v>
      </c>
      <c r="B5336" s="5">
        <v>43877</v>
      </c>
      <c r="C5336" t="s">
        <v>11</v>
      </c>
      <c r="D5336">
        <v>628</v>
      </c>
      <c r="E5336">
        <v>-159</v>
      </c>
      <c r="F5336" s="5">
        <v>43862</v>
      </c>
      <c r="G5336">
        <v>-628</v>
      </c>
      <c r="H5336" t="s">
        <v>58</v>
      </c>
    </row>
    <row r="5337" spans="1:8" x14ac:dyDescent="0.3">
      <c r="A5337">
        <v>450</v>
      </c>
      <c r="B5337" s="5">
        <v>43893</v>
      </c>
      <c r="C5337" t="s">
        <v>12</v>
      </c>
      <c r="D5337">
        <v>578</v>
      </c>
      <c r="E5337">
        <v>-737</v>
      </c>
      <c r="F5337" s="5">
        <v>43891</v>
      </c>
      <c r="G5337">
        <v>-578</v>
      </c>
      <c r="H5337" t="s">
        <v>58</v>
      </c>
    </row>
    <row r="5338" spans="1:8" x14ac:dyDescent="0.3">
      <c r="A5338">
        <v>450</v>
      </c>
      <c r="B5338" s="5">
        <v>43926</v>
      </c>
      <c r="C5338" t="s">
        <v>10</v>
      </c>
      <c r="D5338">
        <v>701</v>
      </c>
      <c r="E5338">
        <v>-36</v>
      </c>
      <c r="F5338" s="5">
        <v>43922</v>
      </c>
      <c r="G5338">
        <v>701</v>
      </c>
      <c r="H5338" t="s">
        <v>58</v>
      </c>
    </row>
    <row r="5339" spans="1:8" x14ac:dyDescent="0.3">
      <c r="A5339">
        <v>451</v>
      </c>
      <c r="B5339" s="5">
        <v>43860</v>
      </c>
      <c r="C5339" t="s">
        <v>10</v>
      </c>
      <c r="D5339">
        <v>910</v>
      </c>
      <c r="E5339">
        <v>910</v>
      </c>
      <c r="F5339" s="5">
        <v>43831</v>
      </c>
      <c r="G5339">
        <v>910</v>
      </c>
      <c r="H5339" t="s">
        <v>57</v>
      </c>
    </row>
    <row r="5340" spans="1:8" x14ac:dyDescent="0.3">
      <c r="A5340">
        <v>451</v>
      </c>
      <c r="B5340" s="5">
        <v>43867</v>
      </c>
      <c r="C5340" t="s">
        <v>11</v>
      </c>
      <c r="D5340">
        <v>853</v>
      </c>
      <c r="E5340">
        <v>57</v>
      </c>
      <c r="F5340" s="5">
        <v>43862</v>
      </c>
      <c r="G5340">
        <v>-853</v>
      </c>
      <c r="H5340" t="s">
        <v>57</v>
      </c>
    </row>
    <row r="5341" spans="1:8" x14ac:dyDescent="0.3">
      <c r="A5341">
        <v>451</v>
      </c>
      <c r="B5341" s="5">
        <v>43880</v>
      </c>
      <c r="C5341" t="s">
        <v>12</v>
      </c>
      <c r="D5341">
        <v>563</v>
      </c>
      <c r="E5341">
        <v>-506</v>
      </c>
      <c r="F5341" s="5">
        <v>43862</v>
      </c>
      <c r="G5341">
        <v>-563</v>
      </c>
      <c r="H5341" t="s">
        <v>58</v>
      </c>
    </row>
    <row r="5342" spans="1:8" x14ac:dyDescent="0.3">
      <c r="A5342">
        <v>451</v>
      </c>
      <c r="B5342" s="5">
        <v>43889</v>
      </c>
      <c r="C5342" t="s">
        <v>12</v>
      </c>
      <c r="D5342">
        <v>807</v>
      </c>
      <c r="E5342">
        <v>-1313</v>
      </c>
      <c r="F5342" s="5">
        <v>43862</v>
      </c>
      <c r="G5342">
        <v>-807</v>
      </c>
      <c r="H5342" t="s">
        <v>58</v>
      </c>
    </row>
    <row r="5343" spans="1:8" x14ac:dyDescent="0.3">
      <c r="A5343">
        <v>451</v>
      </c>
      <c r="B5343" s="5">
        <v>43903</v>
      </c>
      <c r="C5343" t="s">
        <v>10</v>
      </c>
      <c r="D5343">
        <v>668</v>
      </c>
      <c r="E5343">
        <v>-645</v>
      </c>
      <c r="F5343" s="5">
        <v>43891</v>
      </c>
      <c r="G5343">
        <v>668</v>
      </c>
      <c r="H5343" t="s">
        <v>58</v>
      </c>
    </row>
    <row r="5344" spans="1:8" x14ac:dyDescent="0.3">
      <c r="A5344">
        <v>451</v>
      </c>
      <c r="B5344" s="5">
        <v>43927</v>
      </c>
      <c r="C5344" t="s">
        <v>12</v>
      </c>
      <c r="D5344">
        <v>117</v>
      </c>
      <c r="E5344">
        <v>-762</v>
      </c>
      <c r="F5344" s="5">
        <v>43922</v>
      </c>
      <c r="G5344">
        <v>-117</v>
      </c>
      <c r="H5344" t="s">
        <v>58</v>
      </c>
    </row>
    <row r="5345" spans="1:8" x14ac:dyDescent="0.3">
      <c r="A5345">
        <v>451</v>
      </c>
      <c r="B5345" s="5">
        <v>43930</v>
      </c>
      <c r="C5345" t="s">
        <v>12</v>
      </c>
      <c r="D5345">
        <v>595</v>
      </c>
      <c r="E5345">
        <v>-1357</v>
      </c>
      <c r="F5345" s="5">
        <v>43922</v>
      </c>
      <c r="G5345">
        <v>-595</v>
      </c>
      <c r="H5345" t="s">
        <v>58</v>
      </c>
    </row>
    <row r="5346" spans="1:8" x14ac:dyDescent="0.3">
      <c r="A5346">
        <v>451</v>
      </c>
      <c r="B5346" s="5">
        <v>43940</v>
      </c>
      <c r="C5346" t="s">
        <v>10</v>
      </c>
      <c r="D5346">
        <v>601</v>
      </c>
      <c r="E5346">
        <v>-756</v>
      </c>
      <c r="F5346" s="5">
        <v>43922</v>
      </c>
      <c r="G5346">
        <v>601</v>
      </c>
      <c r="H5346" t="s">
        <v>58</v>
      </c>
    </row>
    <row r="5347" spans="1:8" x14ac:dyDescent="0.3">
      <c r="A5347">
        <v>452</v>
      </c>
      <c r="B5347" s="5">
        <v>43831</v>
      </c>
      <c r="C5347" t="s">
        <v>10</v>
      </c>
      <c r="D5347">
        <v>441</v>
      </c>
      <c r="E5347">
        <v>441</v>
      </c>
      <c r="F5347" s="5">
        <v>43831</v>
      </c>
      <c r="G5347">
        <v>441</v>
      </c>
      <c r="H5347" t="s">
        <v>57</v>
      </c>
    </row>
    <row r="5348" spans="1:8" x14ac:dyDescent="0.3">
      <c r="A5348">
        <v>452</v>
      </c>
      <c r="B5348" s="5">
        <v>43837</v>
      </c>
      <c r="C5348" t="s">
        <v>10</v>
      </c>
      <c r="D5348">
        <v>919</v>
      </c>
      <c r="E5348">
        <v>1360</v>
      </c>
      <c r="F5348" s="5">
        <v>43831</v>
      </c>
      <c r="G5348">
        <v>919</v>
      </c>
      <c r="H5348" t="s">
        <v>57</v>
      </c>
    </row>
    <row r="5349" spans="1:8" x14ac:dyDescent="0.3">
      <c r="A5349">
        <v>452</v>
      </c>
      <c r="B5349" s="5">
        <v>43876</v>
      </c>
      <c r="C5349" t="s">
        <v>11</v>
      </c>
      <c r="D5349">
        <v>718</v>
      </c>
      <c r="E5349">
        <v>642</v>
      </c>
      <c r="F5349" s="5">
        <v>43862</v>
      </c>
      <c r="G5349">
        <v>-718</v>
      </c>
      <c r="H5349" t="s">
        <v>57</v>
      </c>
    </row>
    <row r="5350" spans="1:8" x14ac:dyDescent="0.3">
      <c r="A5350">
        <v>452</v>
      </c>
      <c r="B5350" s="5">
        <v>43876</v>
      </c>
      <c r="C5350" t="s">
        <v>10</v>
      </c>
      <c r="D5350">
        <v>865</v>
      </c>
      <c r="E5350">
        <v>1507</v>
      </c>
      <c r="F5350" s="5">
        <v>43862</v>
      </c>
      <c r="G5350">
        <v>865</v>
      </c>
      <c r="H5350" t="s">
        <v>57</v>
      </c>
    </row>
    <row r="5351" spans="1:8" x14ac:dyDescent="0.3">
      <c r="A5351">
        <v>452</v>
      </c>
      <c r="B5351" s="5">
        <v>43880</v>
      </c>
      <c r="C5351" t="s">
        <v>10</v>
      </c>
      <c r="D5351">
        <v>536</v>
      </c>
      <c r="E5351">
        <v>2043</v>
      </c>
      <c r="F5351" s="5">
        <v>43862</v>
      </c>
      <c r="G5351">
        <v>536</v>
      </c>
      <c r="H5351" t="s">
        <v>57</v>
      </c>
    </row>
    <row r="5352" spans="1:8" x14ac:dyDescent="0.3">
      <c r="A5352">
        <v>452</v>
      </c>
      <c r="B5352" s="5">
        <v>43887</v>
      </c>
      <c r="C5352" t="s">
        <v>10</v>
      </c>
      <c r="D5352">
        <v>154</v>
      </c>
      <c r="E5352">
        <v>2197</v>
      </c>
      <c r="F5352" s="5">
        <v>43862</v>
      </c>
      <c r="G5352">
        <v>154</v>
      </c>
      <c r="H5352" t="s">
        <v>57</v>
      </c>
    </row>
    <row r="5353" spans="1:8" x14ac:dyDescent="0.3">
      <c r="A5353">
        <v>452</v>
      </c>
      <c r="B5353" s="5">
        <v>43888</v>
      </c>
      <c r="C5353" t="s">
        <v>12</v>
      </c>
      <c r="D5353">
        <v>543</v>
      </c>
      <c r="E5353">
        <v>1654</v>
      </c>
      <c r="F5353" s="5">
        <v>43862</v>
      </c>
      <c r="G5353">
        <v>-543</v>
      </c>
      <c r="H5353" t="s">
        <v>57</v>
      </c>
    </row>
    <row r="5354" spans="1:8" x14ac:dyDescent="0.3">
      <c r="A5354">
        <v>452</v>
      </c>
      <c r="B5354" s="5">
        <v>43899</v>
      </c>
      <c r="C5354" t="s">
        <v>10</v>
      </c>
      <c r="D5354">
        <v>416</v>
      </c>
      <c r="E5354">
        <v>2070</v>
      </c>
      <c r="F5354" s="5">
        <v>43891</v>
      </c>
      <c r="G5354">
        <v>416</v>
      </c>
      <c r="H5354" t="s">
        <v>57</v>
      </c>
    </row>
    <row r="5355" spans="1:8" x14ac:dyDescent="0.3">
      <c r="A5355">
        <v>452</v>
      </c>
      <c r="B5355" s="5">
        <v>43917</v>
      </c>
      <c r="C5355" t="s">
        <v>11</v>
      </c>
      <c r="D5355">
        <v>457</v>
      </c>
      <c r="E5355">
        <v>1613</v>
      </c>
      <c r="F5355" s="5">
        <v>43891</v>
      </c>
      <c r="G5355">
        <v>-457</v>
      </c>
      <c r="H5355" t="s">
        <v>57</v>
      </c>
    </row>
    <row r="5356" spans="1:8" x14ac:dyDescent="0.3">
      <c r="A5356">
        <v>453</v>
      </c>
      <c r="B5356" s="5">
        <v>43855</v>
      </c>
      <c r="C5356" t="s">
        <v>10</v>
      </c>
      <c r="D5356">
        <v>638</v>
      </c>
      <c r="E5356">
        <v>638</v>
      </c>
      <c r="F5356" s="5">
        <v>43831</v>
      </c>
      <c r="G5356">
        <v>638</v>
      </c>
      <c r="H5356" t="s">
        <v>57</v>
      </c>
    </row>
    <row r="5357" spans="1:8" x14ac:dyDescent="0.3">
      <c r="A5357">
        <v>453</v>
      </c>
      <c r="B5357" s="5">
        <v>43865</v>
      </c>
      <c r="C5357" t="s">
        <v>10</v>
      </c>
      <c r="D5357">
        <v>171</v>
      </c>
      <c r="E5357">
        <v>809</v>
      </c>
      <c r="F5357" s="5">
        <v>43862</v>
      </c>
      <c r="G5357">
        <v>171</v>
      </c>
      <c r="H5357" t="s">
        <v>57</v>
      </c>
    </row>
    <row r="5358" spans="1:8" x14ac:dyDescent="0.3">
      <c r="A5358">
        <v>453</v>
      </c>
      <c r="B5358" s="5">
        <v>43877</v>
      </c>
      <c r="C5358" t="s">
        <v>11</v>
      </c>
      <c r="D5358">
        <v>765</v>
      </c>
      <c r="E5358">
        <v>44</v>
      </c>
      <c r="F5358" s="5">
        <v>43862</v>
      </c>
      <c r="G5358">
        <v>-765</v>
      </c>
      <c r="H5358" t="s">
        <v>57</v>
      </c>
    </row>
    <row r="5359" spans="1:8" x14ac:dyDescent="0.3">
      <c r="A5359">
        <v>453</v>
      </c>
      <c r="B5359" s="5">
        <v>43883</v>
      </c>
      <c r="C5359" t="s">
        <v>10</v>
      </c>
      <c r="D5359">
        <v>386</v>
      </c>
      <c r="E5359">
        <v>430</v>
      </c>
      <c r="F5359" s="5">
        <v>43862</v>
      </c>
      <c r="G5359">
        <v>386</v>
      </c>
      <c r="H5359" t="s">
        <v>57</v>
      </c>
    </row>
    <row r="5360" spans="1:8" x14ac:dyDescent="0.3">
      <c r="A5360">
        <v>453</v>
      </c>
      <c r="B5360" s="5">
        <v>43888</v>
      </c>
      <c r="C5360" t="s">
        <v>10</v>
      </c>
      <c r="D5360">
        <v>381</v>
      </c>
      <c r="E5360">
        <v>811</v>
      </c>
      <c r="F5360" s="5">
        <v>43862</v>
      </c>
      <c r="G5360">
        <v>381</v>
      </c>
      <c r="H5360" t="s">
        <v>57</v>
      </c>
    </row>
    <row r="5361" spans="1:8" x14ac:dyDescent="0.3">
      <c r="A5361">
        <v>453</v>
      </c>
      <c r="B5361" s="5">
        <v>43891</v>
      </c>
      <c r="C5361" t="s">
        <v>12</v>
      </c>
      <c r="D5361">
        <v>5</v>
      </c>
      <c r="E5361">
        <v>806</v>
      </c>
      <c r="F5361" s="5">
        <v>43891</v>
      </c>
      <c r="G5361">
        <v>-5</v>
      </c>
      <c r="H5361" t="s">
        <v>57</v>
      </c>
    </row>
    <row r="5362" spans="1:8" x14ac:dyDescent="0.3">
      <c r="A5362">
        <v>453</v>
      </c>
      <c r="B5362" s="5">
        <v>43904</v>
      </c>
      <c r="C5362" t="s">
        <v>11</v>
      </c>
      <c r="D5362">
        <v>652</v>
      </c>
      <c r="E5362">
        <v>154</v>
      </c>
      <c r="F5362" s="5">
        <v>43891</v>
      </c>
      <c r="G5362">
        <v>-652</v>
      </c>
      <c r="H5362" t="s">
        <v>57</v>
      </c>
    </row>
    <row r="5363" spans="1:8" x14ac:dyDescent="0.3">
      <c r="A5363">
        <v>453</v>
      </c>
      <c r="B5363" s="5">
        <v>43910</v>
      </c>
      <c r="C5363" t="s">
        <v>12</v>
      </c>
      <c r="D5363">
        <v>134</v>
      </c>
      <c r="E5363">
        <v>20</v>
      </c>
      <c r="F5363" s="5">
        <v>43891</v>
      </c>
      <c r="G5363">
        <v>-134</v>
      </c>
      <c r="H5363" t="s">
        <v>57</v>
      </c>
    </row>
    <row r="5364" spans="1:8" x14ac:dyDescent="0.3">
      <c r="A5364">
        <v>453</v>
      </c>
      <c r="B5364" s="5">
        <v>43916</v>
      </c>
      <c r="C5364" t="s">
        <v>12</v>
      </c>
      <c r="D5364">
        <v>615</v>
      </c>
      <c r="E5364">
        <v>-595</v>
      </c>
      <c r="F5364" s="5">
        <v>43891</v>
      </c>
      <c r="G5364">
        <v>-615</v>
      </c>
      <c r="H5364" t="s">
        <v>58</v>
      </c>
    </row>
    <row r="5365" spans="1:8" x14ac:dyDescent="0.3">
      <c r="A5365">
        <v>453</v>
      </c>
      <c r="B5365" s="5">
        <v>43934</v>
      </c>
      <c r="C5365" t="s">
        <v>11</v>
      </c>
      <c r="D5365">
        <v>127</v>
      </c>
      <c r="E5365">
        <v>-722</v>
      </c>
      <c r="F5365" s="5">
        <v>43922</v>
      </c>
      <c r="G5365">
        <v>-127</v>
      </c>
      <c r="H5365" t="s">
        <v>58</v>
      </c>
    </row>
    <row r="5366" spans="1:8" x14ac:dyDescent="0.3">
      <c r="A5366">
        <v>453</v>
      </c>
      <c r="B5366" s="5">
        <v>43942</v>
      </c>
      <c r="C5366" t="s">
        <v>10</v>
      </c>
      <c r="D5366">
        <v>839</v>
      </c>
      <c r="E5366">
        <v>117</v>
      </c>
      <c r="F5366" s="5">
        <v>43922</v>
      </c>
      <c r="G5366">
        <v>839</v>
      </c>
      <c r="H5366" t="s">
        <v>57</v>
      </c>
    </row>
    <row r="5367" spans="1:8" x14ac:dyDescent="0.3">
      <c r="A5367">
        <v>454</v>
      </c>
      <c r="B5367" s="5">
        <v>43838</v>
      </c>
      <c r="C5367" t="s">
        <v>10</v>
      </c>
      <c r="D5367">
        <v>603</v>
      </c>
      <c r="E5367">
        <v>603</v>
      </c>
      <c r="F5367" s="5">
        <v>43831</v>
      </c>
      <c r="G5367">
        <v>603</v>
      </c>
      <c r="H5367" t="s">
        <v>57</v>
      </c>
    </row>
    <row r="5368" spans="1:8" x14ac:dyDescent="0.3">
      <c r="A5368">
        <v>454</v>
      </c>
      <c r="B5368" s="5">
        <v>43846</v>
      </c>
      <c r="C5368" t="s">
        <v>10</v>
      </c>
      <c r="D5368">
        <v>409</v>
      </c>
      <c r="E5368">
        <v>1012</v>
      </c>
      <c r="F5368" s="5">
        <v>43831</v>
      </c>
      <c r="G5368">
        <v>409</v>
      </c>
      <c r="H5368" t="s">
        <v>57</v>
      </c>
    </row>
    <row r="5369" spans="1:8" x14ac:dyDescent="0.3">
      <c r="A5369">
        <v>454</v>
      </c>
      <c r="B5369" s="5">
        <v>43858</v>
      </c>
      <c r="C5369" t="s">
        <v>11</v>
      </c>
      <c r="D5369">
        <v>120</v>
      </c>
      <c r="E5369">
        <v>892</v>
      </c>
      <c r="F5369" s="5">
        <v>43831</v>
      </c>
      <c r="G5369">
        <v>-120</v>
      </c>
      <c r="H5369" t="s">
        <v>57</v>
      </c>
    </row>
    <row r="5370" spans="1:8" x14ac:dyDescent="0.3">
      <c r="A5370">
        <v>454</v>
      </c>
      <c r="B5370" s="5">
        <v>43859</v>
      </c>
      <c r="C5370" t="s">
        <v>11</v>
      </c>
      <c r="D5370">
        <v>881</v>
      </c>
      <c r="E5370">
        <v>11</v>
      </c>
      <c r="F5370" s="5">
        <v>43831</v>
      </c>
      <c r="G5370">
        <v>-881</v>
      </c>
      <c r="H5370" t="s">
        <v>57</v>
      </c>
    </row>
    <row r="5371" spans="1:8" x14ac:dyDescent="0.3">
      <c r="A5371">
        <v>454</v>
      </c>
      <c r="B5371" s="5">
        <v>43862</v>
      </c>
      <c r="C5371" t="s">
        <v>10</v>
      </c>
      <c r="D5371">
        <v>678</v>
      </c>
      <c r="E5371">
        <v>689</v>
      </c>
      <c r="F5371" s="5">
        <v>43862</v>
      </c>
      <c r="G5371">
        <v>678</v>
      </c>
      <c r="H5371" t="s">
        <v>57</v>
      </c>
    </row>
    <row r="5372" spans="1:8" x14ac:dyDescent="0.3">
      <c r="A5372">
        <v>454</v>
      </c>
      <c r="B5372" s="5">
        <v>43862</v>
      </c>
      <c r="C5372" t="s">
        <v>10</v>
      </c>
      <c r="D5372">
        <v>622</v>
      </c>
      <c r="E5372">
        <v>1311</v>
      </c>
      <c r="F5372" s="5">
        <v>43862</v>
      </c>
      <c r="G5372">
        <v>622</v>
      </c>
      <c r="H5372" t="s">
        <v>57</v>
      </c>
    </row>
    <row r="5373" spans="1:8" x14ac:dyDescent="0.3">
      <c r="A5373">
        <v>454</v>
      </c>
      <c r="B5373" s="5">
        <v>43887</v>
      </c>
      <c r="C5373" t="s">
        <v>10</v>
      </c>
      <c r="D5373">
        <v>852</v>
      </c>
      <c r="E5373">
        <v>2163</v>
      </c>
      <c r="F5373" s="5">
        <v>43862</v>
      </c>
      <c r="G5373">
        <v>852</v>
      </c>
      <c r="H5373" t="s">
        <v>57</v>
      </c>
    </row>
    <row r="5374" spans="1:8" x14ac:dyDescent="0.3">
      <c r="A5374">
        <v>454</v>
      </c>
      <c r="B5374" s="5">
        <v>43891</v>
      </c>
      <c r="C5374" t="s">
        <v>12</v>
      </c>
      <c r="D5374">
        <v>471</v>
      </c>
      <c r="E5374">
        <v>1692</v>
      </c>
      <c r="F5374" s="5">
        <v>43891</v>
      </c>
      <c r="G5374">
        <v>-471</v>
      </c>
      <c r="H5374" t="s">
        <v>57</v>
      </c>
    </row>
    <row r="5375" spans="1:8" x14ac:dyDescent="0.3">
      <c r="A5375">
        <v>454</v>
      </c>
      <c r="B5375" s="5">
        <v>43891</v>
      </c>
      <c r="C5375" t="s">
        <v>11</v>
      </c>
      <c r="D5375">
        <v>309</v>
      </c>
      <c r="E5375">
        <v>1383</v>
      </c>
      <c r="F5375" s="5">
        <v>43891</v>
      </c>
      <c r="G5375">
        <v>-309</v>
      </c>
      <c r="H5375" t="s">
        <v>57</v>
      </c>
    </row>
    <row r="5376" spans="1:8" x14ac:dyDescent="0.3">
      <c r="A5376">
        <v>454</v>
      </c>
      <c r="B5376" s="5">
        <v>43894</v>
      </c>
      <c r="C5376" t="s">
        <v>10</v>
      </c>
      <c r="D5376">
        <v>411</v>
      </c>
      <c r="E5376">
        <v>1794</v>
      </c>
      <c r="F5376" s="5">
        <v>43891</v>
      </c>
      <c r="G5376">
        <v>411</v>
      </c>
      <c r="H5376" t="s">
        <v>57</v>
      </c>
    </row>
    <row r="5377" spans="1:8" x14ac:dyDescent="0.3">
      <c r="A5377">
        <v>454</v>
      </c>
      <c r="B5377" s="5">
        <v>43900</v>
      </c>
      <c r="C5377" t="s">
        <v>10</v>
      </c>
      <c r="D5377">
        <v>342</v>
      </c>
      <c r="E5377">
        <v>2136</v>
      </c>
      <c r="F5377" s="5">
        <v>43891</v>
      </c>
      <c r="G5377">
        <v>342</v>
      </c>
      <c r="H5377" t="s">
        <v>57</v>
      </c>
    </row>
    <row r="5378" spans="1:8" x14ac:dyDescent="0.3">
      <c r="A5378">
        <v>454</v>
      </c>
      <c r="B5378" s="5">
        <v>43917</v>
      </c>
      <c r="C5378" t="s">
        <v>10</v>
      </c>
      <c r="D5378">
        <v>48</v>
      </c>
      <c r="E5378">
        <v>2184</v>
      </c>
      <c r="F5378" s="5">
        <v>43891</v>
      </c>
      <c r="G5378">
        <v>48</v>
      </c>
      <c r="H5378" t="s">
        <v>57</v>
      </c>
    </row>
    <row r="5379" spans="1:8" x14ac:dyDescent="0.3">
      <c r="A5379">
        <v>454</v>
      </c>
      <c r="B5379" s="5">
        <v>43921</v>
      </c>
      <c r="C5379" t="s">
        <v>10</v>
      </c>
      <c r="D5379">
        <v>800</v>
      </c>
      <c r="E5379">
        <v>2984</v>
      </c>
      <c r="F5379" s="5">
        <v>43891</v>
      </c>
      <c r="G5379">
        <v>800</v>
      </c>
      <c r="H5379" t="s">
        <v>57</v>
      </c>
    </row>
    <row r="5380" spans="1:8" x14ac:dyDescent="0.3">
      <c r="A5380">
        <v>454</v>
      </c>
      <c r="B5380" s="5">
        <v>43921</v>
      </c>
      <c r="C5380" t="s">
        <v>11</v>
      </c>
      <c r="D5380">
        <v>883</v>
      </c>
      <c r="E5380">
        <v>2101</v>
      </c>
      <c r="F5380" s="5">
        <v>43891</v>
      </c>
      <c r="G5380">
        <v>-883</v>
      </c>
      <c r="H5380" t="s">
        <v>57</v>
      </c>
    </row>
    <row r="5381" spans="1:8" x14ac:dyDescent="0.3">
      <c r="A5381">
        <v>455</v>
      </c>
      <c r="B5381" s="5">
        <v>43837</v>
      </c>
      <c r="C5381" t="s">
        <v>10</v>
      </c>
      <c r="D5381">
        <v>329</v>
      </c>
      <c r="E5381">
        <v>329</v>
      </c>
      <c r="F5381" s="5">
        <v>43831</v>
      </c>
      <c r="G5381">
        <v>329</v>
      </c>
      <c r="H5381" t="s">
        <v>57</v>
      </c>
    </row>
    <row r="5382" spans="1:8" x14ac:dyDescent="0.3">
      <c r="A5382">
        <v>455</v>
      </c>
      <c r="B5382" s="5">
        <v>43899</v>
      </c>
      <c r="C5382" t="s">
        <v>12</v>
      </c>
      <c r="D5382">
        <v>887</v>
      </c>
      <c r="E5382">
        <v>-558</v>
      </c>
      <c r="F5382" s="5">
        <v>43891</v>
      </c>
      <c r="G5382">
        <v>-887</v>
      </c>
      <c r="H5382" t="s">
        <v>58</v>
      </c>
    </row>
    <row r="5383" spans="1:8" x14ac:dyDescent="0.3">
      <c r="A5383">
        <v>455</v>
      </c>
      <c r="B5383" s="5">
        <v>43915</v>
      </c>
      <c r="C5383" t="s">
        <v>10</v>
      </c>
      <c r="D5383">
        <v>327</v>
      </c>
      <c r="E5383">
        <v>-231</v>
      </c>
      <c r="F5383" s="5">
        <v>43891</v>
      </c>
      <c r="G5383">
        <v>327</v>
      </c>
      <c r="H5383" t="s">
        <v>58</v>
      </c>
    </row>
    <row r="5384" spans="1:8" x14ac:dyDescent="0.3">
      <c r="A5384">
        <v>456</v>
      </c>
      <c r="B5384" s="5">
        <v>43837</v>
      </c>
      <c r="C5384" t="s">
        <v>10</v>
      </c>
      <c r="D5384">
        <v>753</v>
      </c>
      <c r="E5384">
        <v>753</v>
      </c>
      <c r="F5384" s="5">
        <v>43831</v>
      </c>
      <c r="G5384">
        <v>753</v>
      </c>
      <c r="H5384" t="s">
        <v>57</v>
      </c>
    </row>
    <row r="5385" spans="1:8" x14ac:dyDescent="0.3">
      <c r="A5385">
        <v>456</v>
      </c>
      <c r="B5385" s="5">
        <v>43839</v>
      </c>
      <c r="C5385" t="s">
        <v>10</v>
      </c>
      <c r="D5385">
        <v>561</v>
      </c>
      <c r="E5385">
        <v>1314</v>
      </c>
      <c r="F5385" s="5">
        <v>43831</v>
      </c>
      <c r="G5385">
        <v>561</v>
      </c>
      <c r="H5385" t="s">
        <v>57</v>
      </c>
    </row>
    <row r="5386" spans="1:8" x14ac:dyDescent="0.3">
      <c r="A5386">
        <v>456</v>
      </c>
      <c r="B5386" s="5">
        <v>43862</v>
      </c>
      <c r="C5386" t="s">
        <v>12</v>
      </c>
      <c r="D5386">
        <v>480</v>
      </c>
      <c r="E5386">
        <v>834</v>
      </c>
      <c r="F5386" s="5">
        <v>43862</v>
      </c>
      <c r="G5386">
        <v>-480</v>
      </c>
      <c r="H5386" t="s">
        <v>57</v>
      </c>
    </row>
    <row r="5387" spans="1:8" x14ac:dyDescent="0.3">
      <c r="A5387">
        <v>456</v>
      </c>
      <c r="B5387" s="5">
        <v>43870</v>
      </c>
      <c r="C5387" t="s">
        <v>10</v>
      </c>
      <c r="D5387">
        <v>351</v>
      </c>
      <c r="E5387">
        <v>1185</v>
      </c>
      <c r="F5387" s="5">
        <v>43862</v>
      </c>
      <c r="G5387">
        <v>351</v>
      </c>
      <c r="H5387" t="s">
        <v>57</v>
      </c>
    </row>
    <row r="5388" spans="1:8" x14ac:dyDescent="0.3">
      <c r="A5388">
        <v>456</v>
      </c>
      <c r="B5388" s="5">
        <v>43875</v>
      </c>
      <c r="C5388" t="s">
        <v>10</v>
      </c>
      <c r="D5388">
        <v>910</v>
      </c>
      <c r="E5388">
        <v>2095</v>
      </c>
      <c r="F5388" s="5">
        <v>43862</v>
      </c>
      <c r="G5388">
        <v>910</v>
      </c>
      <c r="H5388" t="s">
        <v>57</v>
      </c>
    </row>
    <row r="5389" spans="1:8" x14ac:dyDescent="0.3">
      <c r="A5389">
        <v>456</v>
      </c>
      <c r="B5389" s="5">
        <v>43878</v>
      </c>
      <c r="C5389" t="s">
        <v>12</v>
      </c>
      <c r="D5389">
        <v>537</v>
      </c>
      <c r="E5389">
        <v>1558</v>
      </c>
      <c r="F5389" s="5">
        <v>43862</v>
      </c>
      <c r="G5389">
        <v>-537</v>
      </c>
      <c r="H5389" t="s">
        <v>57</v>
      </c>
    </row>
    <row r="5390" spans="1:8" x14ac:dyDescent="0.3">
      <c r="A5390">
        <v>456</v>
      </c>
      <c r="B5390" s="5">
        <v>43881</v>
      </c>
      <c r="C5390" t="s">
        <v>10</v>
      </c>
      <c r="D5390">
        <v>622</v>
      </c>
      <c r="E5390">
        <v>2180</v>
      </c>
      <c r="F5390" s="5">
        <v>43862</v>
      </c>
      <c r="G5390">
        <v>622</v>
      </c>
      <c r="H5390" t="s">
        <v>57</v>
      </c>
    </row>
    <row r="5391" spans="1:8" x14ac:dyDescent="0.3">
      <c r="A5391">
        <v>456</v>
      </c>
      <c r="B5391" s="5">
        <v>43882</v>
      </c>
      <c r="C5391" t="s">
        <v>12</v>
      </c>
      <c r="D5391">
        <v>892</v>
      </c>
      <c r="E5391">
        <v>1288</v>
      </c>
      <c r="F5391" s="5">
        <v>43862</v>
      </c>
      <c r="G5391">
        <v>-892</v>
      </c>
      <c r="H5391" t="s">
        <v>57</v>
      </c>
    </row>
    <row r="5392" spans="1:8" x14ac:dyDescent="0.3">
      <c r="A5392">
        <v>456</v>
      </c>
      <c r="B5392" s="5">
        <v>43885</v>
      </c>
      <c r="C5392" t="s">
        <v>10</v>
      </c>
      <c r="D5392">
        <v>460</v>
      </c>
      <c r="E5392">
        <v>1748</v>
      </c>
      <c r="F5392" s="5">
        <v>43862</v>
      </c>
      <c r="G5392">
        <v>460</v>
      </c>
      <c r="H5392" t="s">
        <v>57</v>
      </c>
    </row>
    <row r="5393" spans="1:8" x14ac:dyDescent="0.3">
      <c r="A5393">
        <v>456</v>
      </c>
      <c r="B5393" s="5">
        <v>43886</v>
      </c>
      <c r="C5393" t="s">
        <v>12</v>
      </c>
      <c r="D5393">
        <v>521</v>
      </c>
      <c r="E5393">
        <v>1227</v>
      </c>
      <c r="F5393" s="5">
        <v>43862</v>
      </c>
      <c r="G5393">
        <v>-521</v>
      </c>
      <c r="H5393" t="s">
        <v>57</v>
      </c>
    </row>
    <row r="5394" spans="1:8" x14ac:dyDescent="0.3">
      <c r="A5394">
        <v>456</v>
      </c>
      <c r="B5394" s="5">
        <v>43887</v>
      </c>
      <c r="C5394" t="s">
        <v>11</v>
      </c>
      <c r="D5394">
        <v>483</v>
      </c>
      <c r="E5394">
        <v>744</v>
      </c>
      <c r="F5394" s="5">
        <v>43862</v>
      </c>
      <c r="G5394">
        <v>-483</v>
      </c>
      <c r="H5394" t="s">
        <v>57</v>
      </c>
    </row>
    <row r="5395" spans="1:8" x14ac:dyDescent="0.3">
      <c r="A5395">
        <v>456</v>
      </c>
      <c r="B5395" s="5">
        <v>43895</v>
      </c>
      <c r="C5395" t="s">
        <v>10</v>
      </c>
      <c r="D5395">
        <v>665</v>
      </c>
      <c r="E5395">
        <v>1409</v>
      </c>
      <c r="F5395" s="5">
        <v>43891</v>
      </c>
      <c r="G5395">
        <v>665</v>
      </c>
      <c r="H5395" t="s">
        <v>57</v>
      </c>
    </row>
    <row r="5396" spans="1:8" x14ac:dyDescent="0.3">
      <c r="A5396">
        <v>456</v>
      </c>
      <c r="B5396" s="5">
        <v>43903</v>
      </c>
      <c r="C5396" t="s">
        <v>11</v>
      </c>
      <c r="D5396">
        <v>952</v>
      </c>
      <c r="E5396">
        <v>457</v>
      </c>
      <c r="F5396" s="5">
        <v>43891</v>
      </c>
      <c r="G5396">
        <v>-952</v>
      </c>
      <c r="H5396" t="s">
        <v>57</v>
      </c>
    </row>
    <row r="5397" spans="1:8" x14ac:dyDescent="0.3">
      <c r="A5397">
        <v>456</v>
      </c>
      <c r="B5397" s="5">
        <v>43910</v>
      </c>
      <c r="C5397" t="s">
        <v>11</v>
      </c>
      <c r="D5397">
        <v>743</v>
      </c>
      <c r="E5397">
        <v>-286</v>
      </c>
      <c r="F5397" s="5">
        <v>43891</v>
      </c>
      <c r="G5397">
        <v>-743</v>
      </c>
      <c r="H5397" t="s">
        <v>58</v>
      </c>
    </row>
    <row r="5398" spans="1:8" x14ac:dyDescent="0.3">
      <c r="A5398">
        <v>456</v>
      </c>
      <c r="B5398" s="5">
        <v>43910</v>
      </c>
      <c r="C5398" t="s">
        <v>10</v>
      </c>
      <c r="D5398">
        <v>403</v>
      </c>
      <c r="E5398">
        <v>117</v>
      </c>
      <c r="F5398" s="5">
        <v>43891</v>
      </c>
      <c r="G5398">
        <v>403</v>
      </c>
      <c r="H5398" t="s">
        <v>57</v>
      </c>
    </row>
    <row r="5399" spans="1:8" x14ac:dyDescent="0.3">
      <c r="A5399">
        <v>456</v>
      </c>
      <c r="B5399" s="5">
        <v>43911</v>
      </c>
      <c r="C5399" t="s">
        <v>10</v>
      </c>
      <c r="D5399">
        <v>278</v>
      </c>
      <c r="E5399">
        <v>395</v>
      </c>
      <c r="F5399" s="5">
        <v>43891</v>
      </c>
      <c r="G5399">
        <v>278</v>
      </c>
      <c r="H5399" t="s">
        <v>57</v>
      </c>
    </row>
    <row r="5400" spans="1:8" x14ac:dyDescent="0.3">
      <c r="A5400">
        <v>456</v>
      </c>
      <c r="B5400" s="5">
        <v>43918</v>
      </c>
      <c r="C5400" t="s">
        <v>12</v>
      </c>
      <c r="D5400">
        <v>450</v>
      </c>
      <c r="E5400">
        <v>-55</v>
      </c>
      <c r="F5400" s="5">
        <v>43891</v>
      </c>
      <c r="G5400">
        <v>-450</v>
      </c>
      <c r="H5400" t="s">
        <v>58</v>
      </c>
    </row>
    <row r="5401" spans="1:8" x14ac:dyDescent="0.3">
      <c r="A5401">
        <v>456</v>
      </c>
      <c r="B5401" s="5">
        <v>43924</v>
      </c>
      <c r="C5401" t="s">
        <v>10</v>
      </c>
      <c r="D5401">
        <v>270</v>
      </c>
      <c r="E5401">
        <v>215</v>
      </c>
      <c r="F5401" s="5">
        <v>43922</v>
      </c>
      <c r="G5401">
        <v>270</v>
      </c>
      <c r="H5401" t="s">
        <v>57</v>
      </c>
    </row>
    <row r="5402" spans="1:8" x14ac:dyDescent="0.3">
      <c r="A5402">
        <v>456</v>
      </c>
      <c r="B5402" s="5">
        <v>43924</v>
      </c>
      <c r="C5402" t="s">
        <v>12</v>
      </c>
      <c r="D5402">
        <v>203</v>
      </c>
      <c r="E5402">
        <v>12</v>
      </c>
      <c r="F5402" s="5">
        <v>43922</v>
      </c>
      <c r="G5402">
        <v>-203</v>
      </c>
      <c r="H5402" t="s">
        <v>57</v>
      </c>
    </row>
    <row r="5403" spans="1:8" x14ac:dyDescent="0.3">
      <c r="A5403">
        <v>457</v>
      </c>
      <c r="B5403" s="5">
        <v>43853</v>
      </c>
      <c r="C5403" t="s">
        <v>10</v>
      </c>
      <c r="D5403">
        <v>657</v>
      </c>
      <c r="E5403">
        <v>657</v>
      </c>
      <c r="F5403" s="5">
        <v>43831</v>
      </c>
      <c r="G5403">
        <v>657</v>
      </c>
      <c r="H5403" t="s">
        <v>57</v>
      </c>
    </row>
    <row r="5404" spans="1:8" x14ac:dyDescent="0.3">
      <c r="A5404">
        <v>457</v>
      </c>
      <c r="B5404" s="5">
        <v>43854</v>
      </c>
      <c r="C5404" t="s">
        <v>12</v>
      </c>
      <c r="D5404">
        <v>462</v>
      </c>
      <c r="E5404">
        <v>195</v>
      </c>
      <c r="F5404" s="5">
        <v>43831</v>
      </c>
      <c r="G5404">
        <v>-462</v>
      </c>
      <c r="H5404" t="s">
        <v>57</v>
      </c>
    </row>
    <row r="5405" spans="1:8" x14ac:dyDescent="0.3">
      <c r="A5405">
        <v>457</v>
      </c>
      <c r="B5405" s="5">
        <v>43873</v>
      </c>
      <c r="C5405" t="s">
        <v>10</v>
      </c>
      <c r="D5405">
        <v>300</v>
      </c>
      <c r="E5405">
        <v>495</v>
      </c>
      <c r="F5405" s="5">
        <v>43862</v>
      </c>
      <c r="G5405">
        <v>300</v>
      </c>
      <c r="H5405" t="s">
        <v>57</v>
      </c>
    </row>
    <row r="5406" spans="1:8" x14ac:dyDescent="0.3">
      <c r="A5406">
        <v>457</v>
      </c>
      <c r="B5406" s="5">
        <v>43887</v>
      </c>
      <c r="C5406" t="s">
        <v>12</v>
      </c>
      <c r="D5406">
        <v>729</v>
      </c>
      <c r="E5406">
        <v>-234</v>
      </c>
      <c r="F5406" s="5">
        <v>43862</v>
      </c>
      <c r="G5406">
        <v>-729</v>
      </c>
      <c r="H5406" t="s">
        <v>58</v>
      </c>
    </row>
    <row r="5407" spans="1:8" x14ac:dyDescent="0.3">
      <c r="A5407">
        <v>457</v>
      </c>
      <c r="B5407" s="5">
        <v>43903</v>
      </c>
      <c r="C5407" t="s">
        <v>10</v>
      </c>
      <c r="D5407">
        <v>341</v>
      </c>
      <c r="E5407">
        <v>107</v>
      </c>
      <c r="F5407" s="5">
        <v>43891</v>
      </c>
      <c r="G5407">
        <v>341</v>
      </c>
      <c r="H5407" t="s">
        <v>57</v>
      </c>
    </row>
    <row r="5408" spans="1:8" x14ac:dyDescent="0.3">
      <c r="A5408">
        <v>457</v>
      </c>
      <c r="B5408" s="5">
        <v>43908</v>
      </c>
      <c r="C5408" t="s">
        <v>10</v>
      </c>
      <c r="D5408">
        <v>248</v>
      </c>
      <c r="E5408">
        <v>355</v>
      </c>
      <c r="F5408" s="5">
        <v>43891</v>
      </c>
      <c r="G5408">
        <v>248</v>
      </c>
      <c r="H5408" t="s">
        <v>57</v>
      </c>
    </row>
    <row r="5409" spans="1:8" x14ac:dyDescent="0.3">
      <c r="A5409">
        <v>457</v>
      </c>
      <c r="B5409" s="5">
        <v>43910</v>
      </c>
      <c r="C5409" t="s">
        <v>11</v>
      </c>
      <c r="D5409">
        <v>962</v>
      </c>
      <c r="E5409">
        <v>-607</v>
      </c>
      <c r="F5409" s="5">
        <v>43891</v>
      </c>
      <c r="G5409">
        <v>-962</v>
      </c>
      <c r="H5409" t="s">
        <v>58</v>
      </c>
    </row>
    <row r="5410" spans="1:8" x14ac:dyDescent="0.3">
      <c r="A5410">
        <v>457</v>
      </c>
      <c r="B5410" s="5">
        <v>43920</v>
      </c>
      <c r="C5410" t="s">
        <v>11</v>
      </c>
      <c r="D5410">
        <v>107</v>
      </c>
      <c r="E5410">
        <v>-714</v>
      </c>
      <c r="F5410" s="5">
        <v>43891</v>
      </c>
      <c r="G5410">
        <v>-107</v>
      </c>
      <c r="H5410" t="s">
        <v>58</v>
      </c>
    </row>
    <row r="5411" spans="1:8" x14ac:dyDescent="0.3">
      <c r="A5411">
        <v>457</v>
      </c>
      <c r="B5411" s="5">
        <v>43934</v>
      </c>
      <c r="C5411" t="s">
        <v>10</v>
      </c>
      <c r="D5411">
        <v>467</v>
      </c>
      <c r="E5411">
        <v>-247</v>
      </c>
      <c r="F5411" s="5">
        <v>43922</v>
      </c>
      <c r="G5411">
        <v>467</v>
      </c>
      <c r="H5411" t="s">
        <v>58</v>
      </c>
    </row>
    <row r="5412" spans="1:8" x14ac:dyDescent="0.3">
      <c r="A5412">
        <v>457</v>
      </c>
      <c r="B5412" s="5">
        <v>43940</v>
      </c>
      <c r="C5412" t="s">
        <v>11</v>
      </c>
      <c r="D5412">
        <v>471</v>
      </c>
      <c r="E5412">
        <v>-718</v>
      </c>
      <c r="F5412" s="5">
        <v>43922</v>
      </c>
      <c r="G5412">
        <v>-471</v>
      </c>
      <c r="H5412" t="s">
        <v>58</v>
      </c>
    </row>
    <row r="5413" spans="1:8" x14ac:dyDescent="0.3">
      <c r="A5413">
        <v>458</v>
      </c>
      <c r="B5413" s="5">
        <v>43834</v>
      </c>
      <c r="C5413" t="s">
        <v>10</v>
      </c>
      <c r="D5413">
        <v>715</v>
      </c>
      <c r="E5413">
        <v>715</v>
      </c>
      <c r="F5413" s="5">
        <v>43831</v>
      </c>
      <c r="G5413">
        <v>715</v>
      </c>
      <c r="H5413" t="s">
        <v>57</v>
      </c>
    </row>
    <row r="5414" spans="1:8" x14ac:dyDescent="0.3">
      <c r="A5414">
        <v>458</v>
      </c>
      <c r="B5414" s="5">
        <v>43875</v>
      </c>
      <c r="C5414" t="s">
        <v>12</v>
      </c>
      <c r="D5414">
        <v>905</v>
      </c>
      <c r="E5414">
        <v>-190</v>
      </c>
      <c r="F5414" s="5">
        <v>43862</v>
      </c>
      <c r="G5414">
        <v>-905</v>
      </c>
      <c r="H5414" t="s">
        <v>58</v>
      </c>
    </row>
    <row r="5415" spans="1:8" x14ac:dyDescent="0.3">
      <c r="A5415">
        <v>458</v>
      </c>
      <c r="B5415" s="5">
        <v>43878</v>
      </c>
      <c r="C5415" t="s">
        <v>12</v>
      </c>
      <c r="D5415">
        <v>463</v>
      </c>
      <c r="E5415">
        <v>-653</v>
      </c>
      <c r="F5415" s="5">
        <v>43862</v>
      </c>
      <c r="G5415">
        <v>-463</v>
      </c>
      <c r="H5415" t="s">
        <v>58</v>
      </c>
    </row>
    <row r="5416" spans="1:8" x14ac:dyDescent="0.3">
      <c r="A5416">
        <v>459</v>
      </c>
      <c r="B5416" s="5">
        <v>43843</v>
      </c>
      <c r="C5416" t="s">
        <v>10</v>
      </c>
      <c r="D5416">
        <v>857</v>
      </c>
      <c r="E5416">
        <v>857</v>
      </c>
      <c r="F5416" s="5">
        <v>43831</v>
      </c>
      <c r="G5416">
        <v>857</v>
      </c>
      <c r="H5416" t="s">
        <v>57</v>
      </c>
    </row>
    <row r="5417" spans="1:8" x14ac:dyDescent="0.3">
      <c r="A5417">
        <v>459</v>
      </c>
      <c r="B5417" s="5">
        <v>43846</v>
      </c>
      <c r="C5417" t="s">
        <v>11</v>
      </c>
      <c r="D5417">
        <v>611</v>
      </c>
      <c r="E5417">
        <v>246</v>
      </c>
      <c r="F5417" s="5">
        <v>43831</v>
      </c>
      <c r="G5417">
        <v>-611</v>
      </c>
      <c r="H5417" t="s">
        <v>57</v>
      </c>
    </row>
    <row r="5418" spans="1:8" x14ac:dyDescent="0.3">
      <c r="A5418">
        <v>459</v>
      </c>
      <c r="B5418" s="5">
        <v>43863</v>
      </c>
      <c r="C5418" t="s">
        <v>10</v>
      </c>
      <c r="D5418">
        <v>168</v>
      </c>
      <c r="E5418">
        <v>414</v>
      </c>
      <c r="F5418" s="5">
        <v>43862</v>
      </c>
      <c r="G5418">
        <v>168</v>
      </c>
      <c r="H5418" t="s">
        <v>57</v>
      </c>
    </row>
    <row r="5419" spans="1:8" x14ac:dyDescent="0.3">
      <c r="A5419">
        <v>459</v>
      </c>
      <c r="B5419" s="5">
        <v>43874</v>
      </c>
      <c r="C5419" t="s">
        <v>12</v>
      </c>
      <c r="D5419">
        <v>971</v>
      </c>
      <c r="E5419">
        <v>-557</v>
      </c>
      <c r="F5419" s="5">
        <v>43862</v>
      </c>
      <c r="G5419">
        <v>-971</v>
      </c>
      <c r="H5419" t="s">
        <v>58</v>
      </c>
    </row>
    <row r="5420" spans="1:8" x14ac:dyDescent="0.3">
      <c r="A5420">
        <v>459</v>
      </c>
      <c r="B5420" s="5">
        <v>43877</v>
      </c>
      <c r="C5420" t="s">
        <v>11</v>
      </c>
      <c r="D5420">
        <v>456</v>
      </c>
      <c r="E5420">
        <v>-1013</v>
      </c>
      <c r="F5420" s="5">
        <v>43862</v>
      </c>
      <c r="G5420">
        <v>-456</v>
      </c>
      <c r="H5420" t="s">
        <v>58</v>
      </c>
    </row>
    <row r="5421" spans="1:8" x14ac:dyDescent="0.3">
      <c r="A5421">
        <v>459</v>
      </c>
      <c r="B5421" s="5">
        <v>43878</v>
      </c>
      <c r="C5421" t="s">
        <v>11</v>
      </c>
      <c r="D5421">
        <v>585</v>
      </c>
      <c r="E5421">
        <v>-1598</v>
      </c>
      <c r="F5421" s="5">
        <v>43862</v>
      </c>
      <c r="G5421">
        <v>-585</v>
      </c>
      <c r="H5421" t="s">
        <v>58</v>
      </c>
    </row>
    <row r="5422" spans="1:8" x14ac:dyDescent="0.3">
      <c r="A5422">
        <v>459</v>
      </c>
      <c r="B5422" s="5">
        <v>43880</v>
      </c>
      <c r="C5422" t="s">
        <v>10</v>
      </c>
      <c r="D5422">
        <v>247</v>
      </c>
      <c r="E5422">
        <v>-1351</v>
      </c>
      <c r="F5422" s="5">
        <v>43862</v>
      </c>
      <c r="G5422">
        <v>247</v>
      </c>
      <c r="H5422" t="s">
        <v>58</v>
      </c>
    </row>
    <row r="5423" spans="1:8" x14ac:dyDescent="0.3">
      <c r="A5423">
        <v>459</v>
      </c>
      <c r="B5423" s="5">
        <v>43884</v>
      </c>
      <c r="C5423" t="s">
        <v>11</v>
      </c>
      <c r="D5423">
        <v>138</v>
      </c>
      <c r="E5423">
        <v>-1489</v>
      </c>
      <c r="F5423" s="5">
        <v>43862</v>
      </c>
      <c r="G5423">
        <v>-138</v>
      </c>
      <c r="H5423" t="s">
        <v>58</v>
      </c>
    </row>
    <row r="5424" spans="1:8" x14ac:dyDescent="0.3">
      <c r="A5424">
        <v>459</v>
      </c>
      <c r="B5424" s="5">
        <v>43885</v>
      </c>
      <c r="C5424" t="s">
        <v>11</v>
      </c>
      <c r="D5424">
        <v>543</v>
      </c>
      <c r="E5424">
        <v>-2032</v>
      </c>
      <c r="F5424" s="5">
        <v>43862</v>
      </c>
      <c r="G5424">
        <v>-543</v>
      </c>
      <c r="H5424" t="s">
        <v>58</v>
      </c>
    </row>
    <row r="5425" spans="1:8" x14ac:dyDescent="0.3">
      <c r="A5425">
        <v>459</v>
      </c>
      <c r="B5425" s="5">
        <v>43886</v>
      </c>
      <c r="C5425" t="s">
        <v>12</v>
      </c>
      <c r="D5425">
        <v>880</v>
      </c>
      <c r="E5425">
        <v>-2912</v>
      </c>
      <c r="F5425" s="5">
        <v>43862</v>
      </c>
      <c r="G5425">
        <v>-880</v>
      </c>
      <c r="H5425" t="s">
        <v>58</v>
      </c>
    </row>
    <row r="5426" spans="1:8" x14ac:dyDescent="0.3">
      <c r="A5426">
        <v>459</v>
      </c>
      <c r="B5426" s="5">
        <v>43891</v>
      </c>
      <c r="C5426" t="s">
        <v>10</v>
      </c>
      <c r="D5426">
        <v>457</v>
      </c>
      <c r="E5426">
        <v>-2455</v>
      </c>
      <c r="F5426" s="5">
        <v>43891</v>
      </c>
      <c r="G5426">
        <v>457</v>
      </c>
      <c r="H5426" t="s">
        <v>58</v>
      </c>
    </row>
    <row r="5427" spans="1:8" x14ac:dyDescent="0.3">
      <c r="A5427">
        <v>459</v>
      </c>
      <c r="B5427" s="5">
        <v>43904</v>
      </c>
      <c r="C5427" t="s">
        <v>10</v>
      </c>
      <c r="D5427">
        <v>15</v>
      </c>
      <c r="E5427">
        <v>-2440</v>
      </c>
      <c r="F5427" s="5">
        <v>43891</v>
      </c>
      <c r="G5427">
        <v>15</v>
      </c>
      <c r="H5427" t="s">
        <v>58</v>
      </c>
    </row>
    <row r="5428" spans="1:8" x14ac:dyDescent="0.3">
      <c r="A5428">
        <v>459</v>
      </c>
      <c r="B5428" s="5">
        <v>43909</v>
      </c>
      <c r="C5428" t="s">
        <v>11</v>
      </c>
      <c r="D5428">
        <v>394</v>
      </c>
      <c r="E5428">
        <v>-2834</v>
      </c>
      <c r="F5428" s="5">
        <v>43891</v>
      </c>
      <c r="G5428">
        <v>-394</v>
      </c>
      <c r="H5428" t="s">
        <v>58</v>
      </c>
    </row>
    <row r="5429" spans="1:8" x14ac:dyDescent="0.3">
      <c r="A5429">
        <v>460</v>
      </c>
      <c r="B5429" s="5">
        <v>43859</v>
      </c>
      <c r="C5429" t="s">
        <v>10</v>
      </c>
      <c r="D5429">
        <v>80</v>
      </c>
      <c r="E5429">
        <v>80</v>
      </c>
      <c r="F5429" s="5">
        <v>43831</v>
      </c>
      <c r="G5429">
        <v>80</v>
      </c>
      <c r="H5429" t="s">
        <v>57</v>
      </c>
    </row>
    <row r="5430" spans="1:8" x14ac:dyDescent="0.3">
      <c r="A5430">
        <v>460</v>
      </c>
      <c r="B5430" s="5">
        <v>43875</v>
      </c>
      <c r="C5430" t="s">
        <v>10</v>
      </c>
      <c r="D5430">
        <v>552</v>
      </c>
      <c r="E5430">
        <v>632</v>
      </c>
      <c r="F5430" s="5">
        <v>43862</v>
      </c>
      <c r="G5430">
        <v>552</v>
      </c>
      <c r="H5430" t="s">
        <v>57</v>
      </c>
    </row>
    <row r="5431" spans="1:8" x14ac:dyDescent="0.3">
      <c r="A5431">
        <v>460</v>
      </c>
      <c r="B5431" s="5">
        <v>43882</v>
      </c>
      <c r="C5431" t="s">
        <v>12</v>
      </c>
      <c r="D5431">
        <v>966</v>
      </c>
      <c r="E5431">
        <v>-334</v>
      </c>
      <c r="F5431" s="5">
        <v>43862</v>
      </c>
      <c r="G5431">
        <v>-966</v>
      </c>
      <c r="H5431" t="s">
        <v>58</v>
      </c>
    </row>
    <row r="5432" spans="1:8" x14ac:dyDescent="0.3">
      <c r="A5432">
        <v>460</v>
      </c>
      <c r="B5432" s="5">
        <v>43882</v>
      </c>
      <c r="C5432" t="s">
        <v>10</v>
      </c>
      <c r="D5432">
        <v>126</v>
      </c>
      <c r="E5432">
        <v>-208</v>
      </c>
      <c r="F5432" s="5">
        <v>43862</v>
      </c>
      <c r="G5432">
        <v>126</v>
      </c>
      <c r="H5432" t="s">
        <v>58</v>
      </c>
    </row>
    <row r="5433" spans="1:8" x14ac:dyDescent="0.3">
      <c r="A5433">
        <v>460</v>
      </c>
      <c r="B5433" s="5">
        <v>43886</v>
      </c>
      <c r="C5433" t="s">
        <v>12</v>
      </c>
      <c r="D5433">
        <v>483</v>
      </c>
      <c r="E5433">
        <v>-691</v>
      </c>
      <c r="F5433" s="5">
        <v>43862</v>
      </c>
      <c r="G5433">
        <v>-483</v>
      </c>
      <c r="H5433" t="s">
        <v>58</v>
      </c>
    </row>
    <row r="5434" spans="1:8" x14ac:dyDescent="0.3">
      <c r="A5434">
        <v>460</v>
      </c>
      <c r="B5434" s="5">
        <v>43887</v>
      </c>
      <c r="C5434" t="s">
        <v>11</v>
      </c>
      <c r="D5434">
        <v>467</v>
      </c>
      <c r="E5434">
        <v>-1158</v>
      </c>
      <c r="F5434" s="5">
        <v>43862</v>
      </c>
      <c r="G5434">
        <v>-467</v>
      </c>
      <c r="H5434" t="s">
        <v>58</v>
      </c>
    </row>
    <row r="5435" spans="1:8" x14ac:dyDescent="0.3">
      <c r="A5435">
        <v>460</v>
      </c>
      <c r="B5435" s="5">
        <v>43917</v>
      </c>
      <c r="C5435" t="s">
        <v>11</v>
      </c>
      <c r="D5435">
        <v>994</v>
      </c>
      <c r="E5435">
        <v>-2152</v>
      </c>
      <c r="F5435" s="5">
        <v>43891</v>
      </c>
      <c r="G5435">
        <v>-994</v>
      </c>
      <c r="H5435" t="s">
        <v>58</v>
      </c>
    </row>
    <row r="5436" spans="1:8" x14ac:dyDescent="0.3">
      <c r="A5436">
        <v>460</v>
      </c>
      <c r="B5436" s="5">
        <v>43918</v>
      </c>
      <c r="C5436" t="s">
        <v>10</v>
      </c>
      <c r="D5436">
        <v>977</v>
      </c>
      <c r="E5436">
        <v>-1175</v>
      </c>
      <c r="F5436" s="5">
        <v>43891</v>
      </c>
      <c r="G5436">
        <v>977</v>
      </c>
      <c r="H5436" t="s">
        <v>58</v>
      </c>
    </row>
    <row r="5437" spans="1:8" x14ac:dyDescent="0.3">
      <c r="A5437">
        <v>460</v>
      </c>
      <c r="B5437" s="5">
        <v>43923</v>
      </c>
      <c r="C5437" t="s">
        <v>10</v>
      </c>
      <c r="D5437">
        <v>848</v>
      </c>
      <c r="E5437">
        <v>-327</v>
      </c>
      <c r="F5437" s="5">
        <v>43922</v>
      </c>
      <c r="G5437">
        <v>848</v>
      </c>
      <c r="H5437" t="s">
        <v>58</v>
      </c>
    </row>
    <row r="5438" spans="1:8" x14ac:dyDescent="0.3">
      <c r="A5438">
        <v>461</v>
      </c>
      <c r="B5438" s="5">
        <v>43831</v>
      </c>
      <c r="C5438" t="s">
        <v>10</v>
      </c>
      <c r="D5438">
        <v>840</v>
      </c>
      <c r="E5438">
        <v>840</v>
      </c>
      <c r="F5438" s="5">
        <v>43831</v>
      </c>
      <c r="G5438">
        <v>840</v>
      </c>
      <c r="H5438" t="s">
        <v>57</v>
      </c>
    </row>
    <row r="5439" spans="1:8" x14ac:dyDescent="0.3">
      <c r="A5439">
        <v>461</v>
      </c>
      <c r="B5439" s="5">
        <v>43831</v>
      </c>
      <c r="C5439" t="s">
        <v>10</v>
      </c>
      <c r="D5439">
        <v>788</v>
      </c>
      <c r="E5439">
        <v>1628</v>
      </c>
      <c r="F5439" s="5">
        <v>43831</v>
      </c>
      <c r="G5439">
        <v>788</v>
      </c>
      <c r="H5439" t="s">
        <v>57</v>
      </c>
    </row>
    <row r="5440" spans="1:8" x14ac:dyDescent="0.3">
      <c r="A5440">
        <v>461</v>
      </c>
      <c r="B5440" s="5">
        <v>43840</v>
      </c>
      <c r="C5440" t="s">
        <v>10</v>
      </c>
      <c r="D5440">
        <v>752</v>
      </c>
      <c r="E5440">
        <v>2380</v>
      </c>
      <c r="F5440" s="5">
        <v>43831</v>
      </c>
      <c r="G5440">
        <v>752</v>
      </c>
      <c r="H5440" t="s">
        <v>57</v>
      </c>
    </row>
    <row r="5441" spans="1:8" x14ac:dyDescent="0.3">
      <c r="A5441">
        <v>461</v>
      </c>
      <c r="B5441" s="5">
        <v>43848</v>
      </c>
      <c r="C5441" t="s">
        <v>10</v>
      </c>
      <c r="D5441">
        <v>386</v>
      </c>
      <c r="E5441">
        <v>2766</v>
      </c>
      <c r="F5441" s="5">
        <v>43831</v>
      </c>
      <c r="G5441">
        <v>386</v>
      </c>
      <c r="H5441" t="s">
        <v>57</v>
      </c>
    </row>
    <row r="5442" spans="1:8" x14ac:dyDescent="0.3">
      <c r="A5442">
        <v>461</v>
      </c>
      <c r="B5442" s="5">
        <v>43848</v>
      </c>
      <c r="C5442" t="s">
        <v>12</v>
      </c>
      <c r="D5442">
        <v>158</v>
      </c>
      <c r="E5442">
        <v>2608</v>
      </c>
      <c r="F5442" s="5">
        <v>43831</v>
      </c>
      <c r="G5442">
        <v>-158</v>
      </c>
      <c r="H5442" t="s">
        <v>57</v>
      </c>
    </row>
    <row r="5443" spans="1:8" x14ac:dyDescent="0.3">
      <c r="A5443">
        <v>461</v>
      </c>
      <c r="B5443" s="5">
        <v>43849</v>
      </c>
      <c r="C5443" t="s">
        <v>10</v>
      </c>
      <c r="D5443">
        <v>400</v>
      </c>
      <c r="E5443">
        <v>3008</v>
      </c>
      <c r="F5443" s="5">
        <v>43831</v>
      </c>
      <c r="G5443">
        <v>400</v>
      </c>
      <c r="H5443" t="s">
        <v>57</v>
      </c>
    </row>
    <row r="5444" spans="1:8" x14ac:dyDescent="0.3">
      <c r="A5444">
        <v>461</v>
      </c>
      <c r="B5444" s="5">
        <v>43851</v>
      </c>
      <c r="C5444" t="s">
        <v>11</v>
      </c>
      <c r="D5444">
        <v>736</v>
      </c>
      <c r="E5444">
        <v>2272</v>
      </c>
      <c r="F5444" s="5">
        <v>43831</v>
      </c>
      <c r="G5444">
        <v>-736</v>
      </c>
      <c r="H5444" t="s">
        <v>57</v>
      </c>
    </row>
    <row r="5445" spans="1:8" x14ac:dyDescent="0.3">
      <c r="A5445">
        <v>461</v>
      </c>
      <c r="B5445" s="5">
        <v>43851</v>
      </c>
      <c r="C5445" t="s">
        <v>12</v>
      </c>
      <c r="D5445">
        <v>5</v>
      </c>
      <c r="E5445">
        <v>2267</v>
      </c>
      <c r="F5445" s="5">
        <v>43831</v>
      </c>
      <c r="G5445">
        <v>-5</v>
      </c>
      <c r="H5445" t="s">
        <v>57</v>
      </c>
    </row>
    <row r="5446" spans="1:8" x14ac:dyDescent="0.3">
      <c r="A5446">
        <v>461</v>
      </c>
      <c r="B5446" s="5">
        <v>43866</v>
      </c>
      <c r="C5446" t="s">
        <v>10</v>
      </c>
      <c r="D5446">
        <v>901</v>
      </c>
      <c r="E5446">
        <v>3168</v>
      </c>
      <c r="F5446" s="5">
        <v>43862</v>
      </c>
      <c r="G5446">
        <v>901</v>
      </c>
      <c r="H5446" t="s">
        <v>57</v>
      </c>
    </row>
    <row r="5447" spans="1:8" x14ac:dyDescent="0.3">
      <c r="A5447">
        <v>461</v>
      </c>
      <c r="B5447" s="5">
        <v>43867</v>
      </c>
      <c r="C5447" t="s">
        <v>12</v>
      </c>
      <c r="D5447">
        <v>508</v>
      </c>
      <c r="E5447">
        <v>2660</v>
      </c>
      <c r="F5447" s="5">
        <v>43862</v>
      </c>
      <c r="G5447">
        <v>-508</v>
      </c>
      <c r="H5447" t="s">
        <v>57</v>
      </c>
    </row>
    <row r="5448" spans="1:8" x14ac:dyDescent="0.3">
      <c r="A5448">
        <v>461</v>
      </c>
      <c r="B5448" s="5">
        <v>43870</v>
      </c>
      <c r="C5448" t="s">
        <v>10</v>
      </c>
      <c r="D5448">
        <v>771</v>
      </c>
      <c r="E5448">
        <v>3431</v>
      </c>
      <c r="F5448" s="5">
        <v>43862</v>
      </c>
      <c r="G5448">
        <v>771</v>
      </c>
      <c r="H5448" t="s">
        <v>57</v>
      </c>
    </row>
    <row r="5449" spans="1:8" x14ac:dyDescent="0.3">
      <c r="A5449">
        <v>461</v>
      </c>
      <c r="B5449" s="5">
        <v>43894</v>
      </c>
      <c r="C5449" t="s">
        <v>11</v>
      </c>
      <c r="D5449">
        <v>219</v>
      </c>
      <c r="E5449">
        <v>3212</v>
      </c>
      <c r="F5449" s="5">
        <v>43891</v>
      </c>
      <c r="G5449">
        <v>-219</v>
      </c>
      <c r="H5449" t="s">
        <v>57</v>
      </c>
    </row>
    <row r="5450" spans="1:8" x14ac:dyDescent="0.3">
      <c r="A5450">
        <v>462</v>
      </c>
      <c r="B5450" s="5">
        <v>43856</v>
      </c>
      <c r="C5450" t="s">
        <v>12</v>
      </c>
      <c r="D5450">
        <v>106</v>
      </c>
      <c r="E5450">
        <v>-106</v>
      </c>
      <c r="F5450" s="5">
        <v>43831</v>
      </c>
      <c r="G5450">
        <v>-106</v>
      </c>
      <c r="H5450" t="s">
        <v>58</v>
      </c>
    </row>
    <row r="5451" spans="1:8" x14ac:dyDescent="0.3">
      <c r="A5451">
        <v>462</v>
      </c>
      <c r="B5451" s="5">
        <v>43856</v>
      </c>
      <c r="C5451" t="s">
        <v>10</v>
      </c>
      <c r="D5451">
        <v>614</v>
      </c>
      <c r="E5451">
        <v>508</v>
      </c>
      <c r="F5451" s="5">
        <v>43831</v>
      </c>
      <c r="G5451">
        <v>614</v>
      </c>
      <c r="H5451" t="s">
        <v>57</v>
      </c>
    </row>
    <row r="5452" spans="1:8" x14ac:dyDescent="0.3">
      <c r="A5452">
        <v>462</v>
      </c>
      <c r="B5452" s="5">
        <v>43857</v>
      </c>
      <c r="C5452" t="s">
        <v>12</v>
      </c>
      <c r="D5452">
        <v>106</v>
      </c>
      <c r="E5452">
        <v>402</v>
      </c>
      <c r="F5452" s="5">
        <v>43831</v>
      </c>
      <c r="G5452">
        <v>-106</v>
      </c>
      <c r="H5452" t="s">
        <v>57</v>
      </c>
    </row>
    <row r="5453" spans="1:8" x14ac:dyDescent="0.3">
      <c r="A5453">
        <v>462</v>
      </c>
      <c r="B5453" s="5">
        <v>43860</v>
      </c>
      <c r="C5453" t="s">
        <v>10</v>
      </c>
      <c r="D5453">
        <v>505</v>
      </c>
      <c r="E5453">
        <v>907</v>
      </c>
      <c r="F5453" s="5">
        <v>43831</v>
      </c>
      <c r="G5453">
        <v>505</v>
      </c>
      <c r="H5453" t="s">
        <v>57</v>
      </c>
    </row>
    <row r="5454" spans="1:8" x14ac:dyDescent="0.3">
      <c r="A5454">
        <v>462</v>
      </c>
      <c r="B5454" s="5">
        <v>43866</v>
      </c>
      <c r="C5454" t="s">
        <v>10</v>
      </c>
      <c r="D5454">
        <v>641</v>
      </c>
      <c r="E5454">
        <v>1548</v>
      </c>
      <c r="F5454" s="5">
        <v>43862</v>
      </c>
      <c r="G5454">
        <v>641</v>
      </c>
      <c r="H5454" t="s">
        <v>57</v>
      </c>
    </row>
    <row r="5455" spans="1:8" x14ac:dyDescent="0.3">
      <c r="A5455">
        <v>462</v>
      </c>
      <c r="B5455" s="5">
        <v>43867</v>
      </c>
      <c r="C5455" t="s">
        <v>12</v>
      </c>
      <c r="D5455">
        <v>77</v>
      </c>
      <c r="E5455">
        <v>1471</v>
      </c>
      <c r="F5455" s="5">
        <v>43862</v>
      </c>
      <c r="G5455">
        <v>-77</v>
      </c>
      <c r="H5455" t="s">
        <v>57</v>
      </c>
    </row>
    <row r="5456" spans="1:8" x14ac:dyDescent="0.3">
      <c r="A5456">
        <v>462</v>
      </c>
      <c r="B5456" s="5">
        <v>43868</v>
      </c>
      <c r="C5456" t="s">
        <v>11</v>
      </c>
      <c r="D5456">
        <v>912</v>
      </c>
      <c r="E5456">
        <v>559</v>
      </c>
      <c r="F5456" s="5">
        <v>43862</v>
      </c>
      <c r="G5456">
        <v>-912</v>
      </c>
      <c r="H5456" t="s">
        <v>57</v>
      </c>
    </row>
    <row r="5457" spans="1:8" x14ac:dyDescent="0.3">
      <c r="A5457">
        <v>462</v>
      </c>
      <c r="B5457" s="5">
        <v>43869</v>
      </c>
      <c r="C5457" t="s">
        <v>10</v>
      </c>
      <c r="D5457">
        <v>249</v>
      </c>
      <c r="E5457">
        <v>808</v>
      </c>
      <c r="F5457" s="5">
        <v>43862</v>
      </c>
      <c r="G5457">
        <v>249</v>
      </c>
      <c r="H5457" t="s">
        <v>57</v>
      </c>
    </row>
    <row r="5458" spans="1:8" x14ac:dyDescent="0.3">
      <c r="A5458">
        <v>462</v>
      </c>
      <c r="B5458" s="5">
        <v>43875</v>
      </c>
      <c r="C5458" t="s">
        <v>12</v>
      </c>
      <c r="D5458">
        <v>239</v>
      </c>
      <c r="E5458">
        <v>569</v>
      </c>
      <c r="F5458" s="5">
        <v>43862</v>
      </c>
      <c r="G5458">
        <v>-239</v>
      </c>
      <c r="H5458" t="s">
        <v>57</v>
      </c>
    </row>
    <row r="5459" spans="1:8" x14ac:dyDescent="0.3">
      <c r="A5459">
        <v>462</v>
      </c>
      <c r="B5459" s="5">
        <v>43876</v>
      </c>
      <c r="C5459" t="s">
        <v>12</v>
      </c>
      <c r="D5459">
        <v>579</v>
      </c>
      <c r="E5459">
        <v>-10</v>
      </c>
      <c r="F5459" s="5">
        <v>43862</v>
      </c>
      <c r="G5459">
        <v>-579</v>
      </c>
      <c r="H5459" t="s">
        <v>58</v>
      </c>
    </row>
    <row r="5460" spans="1:8" x14ac:dyDescent="0.3">
      <c r="A5460">
        <v>462</v>
      </c>
      <c r="B5460" s="5">
        <v>43892</v>
      </c>
      <c r="C5460" t="s">
        <v>11</v>
      </c>
      <c r="D5460">
        <v>386</v>
      </c>
      <c r="E5460">
        <v>-396</v>
      </c>
      <c r="F5460" s="5">
        <v>43891</v>
      </c>
      <c r="G5460">
        <v>-386</v>
      </c>
      <c r="H5460" t="s">
        <v>58</v>
      </c>
    </row>
    <row r="5461" spans="1:8" x14ac:dyDescent="0.3">
      <c r="A5461">
        <v>462</v>
      </c>
      <c r="B5461" s="5">
        <v>43892</v>
      </c>
      <c r="C5461" t="s">
        <v>12</v>
      </c>
      <c r="D5461">
        <v>359</v>
      </c>
      <c r="E5461">
        <v>-755</v>
      </c>
      <c r="F5461" s="5">
        <v>43891</v>
      </c>
      <c r="G5461">
        <v>-359</v>
      </c>
      <c r="H5461" t="s">
        <v>58</v>
      </c>
    </row>
    <row r="5462" spans="1:8" x14ac:dyDescent="0.3">
      <c r="A5462">
        <v>462</v>
      </c>
      <c r="B5462" s="5">
        <v>43893</v>
      </c>
      <c r="C5462" t="s">
        <v>10</v>
      </c>
      <c r="D5462">
        <v>144</v>
      </c>
      <c r="E5462">
        <v>-611</v>
      </c>
      <c r="F5462" s="5">
        <v>43891</v>
      </c>
      <c r="G5462">
        <v>144</v>
      </c>
      <c r="H5462" t="s">
        <v>58</v>
      </c>
    </row>
    <row r="5463" spans="1:8" x14ac:dyDescent="0.3">
      <c r="A5463">
        <v>462</v>
      </c>
      <c r="B5463" s="5">
        <v>43893</v>
      </c>
      <c r="C5463" t="s">
        <v>12</v>
      </c>
      <c r="D5463">
        <v>713</v>
      </c>
      <c r="E5463">
        <v>-1324</v>
      </c>
      <c r="F5463" s="5">
        <v>43891</v>
      </c>
      <c r="G5463">
        <v>-713</v>
      </c>
      <c r="H5463" t="s">
        <v>58</v>
      </c>
    </row>
    <row r="5464" spans="1:8" x14ac:dyDescent="0.3">
      <c r="A5464">
        <v>462</v>
      </c>
      <c r="B5464" s="5">
        <v>43909</v>
      </c>
      <c r="C5464" t="s">
        <v>10</v>
      </c>
      <c r="D5464">
        <v>610</v>
      </c>
      <c r="E5464">
        <v>-714</v>
      </c>
      <c r="F5464" s="5">
        <v>43891</v>
      </c>
      <c r="G5464">
        <v>610</v>
      </c>
      <c r="H5464" t="s">
        <v>58</v>
      </c>
    </row>
    <row r="5465" spans="1:8" x14ac:dyDescent="0.3">
      <c r="A5465">
        <v>462</v>
      </c>
      <c r="B5465" s="5">
        <v>43917</v>
      </c>
      <c r="C5465" t="s">
        <v>12</v>
      </c>
      <c r="D5465">
        <v>117</v>
      </c>
      <c r="E5465">
        <v>-831</v>
      </c>
      <c r="F5465" s="5">
        <v>43891</v>
      </c>
      <c r="G5465">
        <v>-117</v>
      </c>
      <c r="H5465" t="s">
        <v>58</v>
      </c>
    </row>
    <row r="5466" spans="1:8" x14ac:dyDescent="0.3">
      <c r="A5466">
        <v>462</v>
      </c>
      <c r="B5466" s="5">
        <v>43922</v>
      </c>
      <c r="C5466" t="s">
        <v>11</v>
      </c>
      <c r="D5466">
        <v>200</v>
      </c>
      <c r="E5466">
        <v>-1031</v>
      </c>
      <c r="F5466" s="5">
        <v>43922</v>
      </c>
      <c r="G5466">
        <v>-200</v>
      </c>
      <c r="H5466" t="s">
        <v>58</v>
      </c>
    </row>
    <row r="5467" spans="1:8" x14ac:dyDescent="0.3">
      <c r="A5467">
        <v>462</v>
      </c>
      <c r="B5467" s="5">
        <v>43931</v>
      </c>
      <c r="C5467" t="s">
        <v>12</v>
      </c>
      <c r="D5467">
        <v>510</v>
      </c>
      <c r="E5467">
        <v>-1541</v>
      </c>
      <c r="F5467" s="5">
        <v>43922</v>
      </c>
      <c r="G5467">
        <v>-510</v>
      </c>
      <c r="H5467" t="s">
        <v>58</v>
      </c>
    </row>
    <row r="5468" spans="1:8" x14ac:dyDescent="0.3">
      <c r="A5468">
        <v>462</v>
      </c>
      <c r="B5468" s="5">
        <v>43934</v>
      </c>
      <c r="C5468" t="s">
        <v>12</v>
      </c>
      <c r="D5468">
        <v>994</v>
      </c>
      <c r="E5468">
        <v>-2535</v>
      </c>
      <c r="F5468" s="5">
        <v>43922</v>
      </c>
      <c r="G5468">
        <v>-994</v>
      </c>
      <c r="H5468" t="s">
        <v>58</v>
      </c>
    </row>
    <row r="5469" spans="1:8" x14ac:dyDescent="0.3">
      <c r="A5469">
        <v>462</v>
      </c>
      <c r="B5469" s="5">
        <v>43939</v>
      </c>
      <c r="C5469" t="s">
        <v>10</v>
      </c>
      <c r="D5469">
        <v>801</v>
      </c>
      <c r="E5469">
        <v>-1734</v>
      </c>
      <c r="F5469" s="5">
        <v>43922</v>
      </c>
      <c r="G5469">
        <v>801</v>
      </c>
      <c r="H5469" t="s">
        <v>58</v>
      </c>
    </row>
    <row r="5470" spans="1:8" x14ac:dyDescent="0.3">
      <c r="A5470">
        <v>462</v>
      </c>
      <c r="B5470" s="5">
        <v>43939</v>
      </c>
      <c r="C5470" t="s">
        <v>10</v>
      </c>
      <c r="D5470">
        <v>339</v>
      </c>
      <c r="E5470">
        <v>-1395</v>
      </c>
      <c r="F5470" s="5">
        <v>43922</v>
      </c>
      <c r="G5470">
        <v>339</v>
      </c>
      <c r="H5470" t="s">
        <v>58</v>
      </c>
    </row>
    <row r="5471" spans="1:8" x14ac:dyDescent="0.3">
      <c r="A5471">
        <v>463</v>
      </c>
      <c r="B5471" s="5">
        <v>43851</v>
      </c>
      <c r="C5471" t="s">
        <v>10</v>
      </c>
      <c r="D5471">
        <v>881</v>
      </c>
      <c r="E5471">
        <v>881</v>
      </c>
      <c r="F5471" s="5">
        <v>43831</v>
      </c>
      <c r="G5471">
        <v>881</v>
      </c>
      <c r="H5471" t="s">
        <v>57</v>
      </c>
    </row>
    <row r="5472" spans="1:8" x14ac:dyDescent="0.3">
      <c r="A5472">
        <v>463</v>
      </c>
      <c r="B5472" s="5">
        <v>43857</v>
      </c>
      <c r="C5472" t="s">
        <v>10</v>
      </c>
      <c r="D5472">
        <v>285</v>
      </c>
      <c r="E5472">
        <v>1166</v>
      </c>
      <c r="F5472" s="5">
        <v>43831</v>
      </c>
      <c r="G5472">
        <v>285</v>
      </c>
      <c r="H5472" t="s">
        <v>57</v>
      </c>
    </row>
    <row r="5473" spans="1:8" x14ac:dyDescent="0.3">
      <c r="A5473">
        <v>463</v>
      </c>
      <c r="B5473" s="5">
        <v>43863</v>
      </c>
      <c r="C5473" t="s">
        <v>11</v>
      </c>
      <c r="D5473">
        <v>760</v>
      </c>
      <c r="E5473">
        <v>406</v>
      </c>
      <c r="F5473" s="5">
        <v>43862</v>
      </c>
      <c r="G5473">
        <v>-760</v>
      </c>
      <c r="H5473" t="s">
        <v>57</v>
      </c>
    </row>
    <row r="5474" spans="1:8" x14ac:dyDescent="0.3">
      <c r="A5474">
        <v>463</v>
      </c>
      <c r="B5474" s="5">
        <v>43874</v>
      </c>
      <c r="C5474" t="s">
        <v>10</v>
      </c>
      <c r="D5474">
        <v>81</v>
      </c>
      <c r="E5474">
        <v>487</v>
      </c>
      <c r="F5474" s="5">
        <v>43862</v>
      </c>
      <c r="G5474">
        <v>81</v>
      </c>
      <c r="H5474" t="s">
        <v>57</v>
      </c>
    </row>
    <row r="5475" spans="1:8" x14ac:dyDescent="0.3">
      <c r="A5475">
        <v>463</v>
      </c>
      <c r="B5475" s="5">
        <v>43877</v>
      </c>
      <c r="C5475" t="s">
        <v>12</v>
      </c>
      <c r="D5475">
        <v>835</v>
      </c>
      <c r="E5475">
        <v>-348</v>
      </c>
      <c r="F5475" s="5">
        <v>43862</v>
      </c>
      <c r="G5475">
        <v>-835</v>
      </c>
      <c r="H5475" t="s">
        <v>58</v>
      </c>
    </row>
    <row r="5476" spans="1:8" x14ac:dyDescent="0.3">
      <c r="A5476">
        <v>463</v>
      </c>
      <c r="B5476" s="5">
        <v>43886</v>
      </c>
      <c r="C5476" t="s">
        <v>10</v>
      </c>
      <c r="D5476">
        <v>660</v>
      </c>
      <c r="E5476">
        <v>312</v>
      </c>
      <c r="F5476" s="5">
        <v>43862</v>
      </c>
      <c r="G5476">
        <v>660</v>
      </c>
      <c r="H5476" t="s">
        <v>57</v>
      </c>
    </row>
    <row r="5477" spans="1:8" x14ac:dyDescent="0.3">
      <c r="A5477">
        <v>463</v>
      </c>
      <c r="B5477" s="5">
        <v>43897</v>
      </c>
      <c r="C5477" t="s">
        <v>10</v>
      </c>
      <c r="D5477">
        <v>822</v>
      </c>
      <c r="E5477">
        <v>1134</v>
      </c>
      <c r="F5477" s="5">
        <v>43891</v>
      </c>
      <c r="G5477">
        <v>822</v>
      </c>
      <c r="H5477" t="s">
        <v>57</v>
      </c>
    </row>
    <row r="5478" spans="1:8" x14ac:dyDescent="0.3">
      <c r="A5478">
        <v>463</v>
      </c>
      <c r="B5478" s="5">
        <v>43898</v>
      </c>
      <c r="C5478" t="s">
        <v>12</v>
      </c>
      <c r="D5478">
        <v>542</v>
      </c>
      <c r="E5478">
        <v>592</v>
      </c>
      <c r="F5478" s="5">
        <v>43891</v>
      </c>
      <c r="G5478">
        <v>-542</v>
      </c>
      <c r="H5478" t="s">
        <v>57</v>
      </c>
    </row>
    <row r="5479" spans="1:8" x14ac:dyDescent="0.3">
      <c r="A5479">
        <v>463</v>
      </c>
      <c r="B5479" s="5">
        <v>43898</v>
      </c>
      <c r="C5479" t="s">
        <v>12</v>
      </c>
      <c r="D5479">
        <v>731</v>
      </c>
      <c r="E5479">
        <v>-139</v>
      </c>
      <c r="F5479" s="5">
        <v>43891</v>
      </c>
      <c r="G5479">
        <v>-731</v>
      </c>
      <c r="H5479" t="s">
        <v>58</v>
      </c>
    </row>
    <row r="5480" spans="1:8" x14ac:dyDescent="0.3">
      <c r="A5480">
        <v>463</v>
      </c>
      <c r="B5480" s="5">
        <v>43900</v>
      </c>
      <c r="C5480" t="s">
        <v>10</v>
      </c>
      <c r="D5480">
        <v>444</v>
      </c>
      <c r="E5480">
        <v>305</v>
      </c>
      <c r="F5480" s="5">
        <v>43891</v>
      </c>
      <c r="G5480">
        <v>444</v>
      </c>
      <c r="H5480" t="s">
        <v>57</v>
      </c>
    </row>
    <row r="5481" spans="1:8" x14ac:dyDescent="0.3">
      <c r="A5481">
        <v>463</v>
      </c>
      <c r="B5481" s="5">
        <v>43907</v>
      </c>
      <c r="C5481" t="s">
        <v>10</v>
      </c>
      <c r="D5481">
        <v>102</v>
      </c>
      <c r="E5481">
        <v>407</v>
      </c>
      <c r="F5481" s="5">
        <v>43891</v>
      </c>
      <c r="G5481">
        <v>102</v>
      </c>
      <c r="H5481" t="s">
        <v>57</v>
      </c>
    </row>
    <row r="5482" spans="1:8" x14ac:dyDescent="0.3">
      <c r="A5482">
        <v>463</v>
      </c>
      <c r="B5482" s="5">
        <v>43920</v>
      </c>
      <c r="C5482" t="s">
        <v>10</v>
      </c>
      <c r="D5482">
        <v>266</v>
      </c>
      <c r="E5482">
        <v>673</v>
      </c>
      <c r="F5482" s="5">
        <v>43891</v>
      </c>
      <c r="G5482">
        <v>266</v>
      </c>
      <c r="H5482" t="s">
        <v>57</v>
      </c>
    </row>
    <row r="5483" spans="1:8" x14ac:dyDescent="0.3">
      <c r="A5483">
        <v>463</v>
      </c>
      <c r="B5483" s="5">
        <v>43937</v>
      </c>
      <c r="C5483" t="s">
        <v>11</v>
      </c>
      <c r="D5483">
        <v>393</v>
      </c>
      <c r="E5483">
        <v>280</v>
      </c>
      <c r="F5483" s="5">
        <v>43922</v>
      </c>
      <c r="G5483">
        <v>-393</v>
      </c>
      <c r="H5483" t="s">
        <v>57</v>
      </c>
    </row>
    <row r="5484" spans="1:8" x14ac:dyDescent="0.3">
      <c r="A5484">
        <v>464</v>
      </c>
      <c r="B5484" s="5">
        <v>43847</v>
      </c>
      <c r="C5484" t="s">
        <v>10</v>
      </c>
      <c r="D5484">
        <v>953</v>
      </c>
      <c r="E5484">
        <v>953</v>
      </c>
      <c r="F5484" s="5">
        <v>43831</v>
      </c>
      <c r="G5484">
        <v>953</v>
      </c>
      <c r="H5484" t="s">
        <v>57</v>
      </c>
    </row>
    <row r="5485" spans="1:8" x14ac:dyDescent="0.3">
      <c r="A5485">
        <v>464</v>
      </c>
      <c r="B5485" s="5">
        <v>43914</v>
      </c>
      <c r="C5485" t="s">
        <v>11</v>
      </c>
      <c r="D5485">
        <v>609</v>
      </c>
      <c r="E5485">
        <v>344</v>
      </c>
      <c r="F5485" s="5">
        <v>43891</v>
      </c>
      <c r="G5485">
        <v>-609</v>
      </c>
      <c r="H5485" t="s">
        <v>57</v>
      </c>
    </row>
    <row r="5486" spans="1:8" x14ac:dyDescent="0.3">
      <c r="A5486">
        <v>464</v>
      </c>
      <c r="B5486" s="5">
        <v>43917</v>
      </c>
      <c r="C5486" t="s">
        <v>12</v>
      </c>
      <c r="D5486">
        <v>855</v>
      </c>
      <c r="E5486">
        <v>-511</v>
      </c>
      <c r="F5486" s="5">
        <v>43891</v>
      </c>
      <c r="G5486">
        <v>-855</v>
      </c>
      <c r="H5486" t="s">
        <v>58</v>
      </c>
    </row>
    <row r="5487" spans="1:8" x14ac:dyDescent="0.3">
      <c r="A5487">
        <v>464</v>
      </c>
      <c r="B5487" s="5">
        <v>43932</v>
      </c>
      <c r="C5487" t="s">
        <v>11</v>
      </c>
      <c r="D5487">
        <v>983</v>
      </c>
      <c r="E5487">
        <v>-1494</v>
      </c>
      <c r="F5487" s="5">
        <v>43922</v>
      </c>
      <c r="G5487">
        <v>-983</v>
      </c>
      <c r="H5487" t="s">
        <v>58</v>
      </c>
    </row>
    <row r="5488" spans="1:8" x14ac:dyDescent="0.3">
      <c r="A5488">
        <v>465</v>
      </c>
      <c r="B5488" s="5">
        <v>43858</v>
      </c>
      <c r="C5488" t="s">
        <v>10</v>
      </c>
      <c r="D5488">
        <v>955</v>
      </c>
      <c r="E5488">
        <v>955</v>
      </c>
      <c r="F5488" s="5">
        <v>43831</v>
      </c>
      <c r="G5488">
        <v>955</v>
      </c>
      <c r="H5488" t="s">
        <v>57</v>
      </c>
    </row>
    <row r="5489" spans="1:8" x14ac:dyDescent="0.3">
      <c r="A5489">
        <v>465</v>
      </c>
      <c r="B5489" s="5">
        <v>43862</v>
      </c>
      <c r="C5489" t="s">
        <v>12</v>
      </c>
      <c r="D5489">
        <v>766</v>
      </c>
      <c r="E5489">
        <v>189</v>
      </c>
      <c r="F5489" s="5">
        <v>43862</v>
      </c>
      <c r="G5489">
        <v>-766</v>
      </c>
      <c r="H5489" t="s">
        <v>57</v>
      </c>
    </row>
    <row r="5490" spans="1:8" x14ac:dyDescent="0.3">
      <c r="A5490">
        <v>465</v>
      </c>
      <c r="B5490" s="5">
        <v>43872</v>
      </c>
      <c r="C5490" t="s">
        <v>10</v>
      </c>
      <c r="D5490">
        <v>775</v>
      </c>
      <c r="E5490">
        <v>964</v>
      </c>
      <c r="F5490" s="5">
        <v>43862</v>
      </c>
      <c r="G5490">
        <v>775</v>
      </c>
      <c r="H5490" t="s">
        <v>57</v>
      </c>
    </row>
    <row r="5491" spans="1:8" x14ac:dyDescent="0.3">
      <c r="A5491">
        <v>465</v>
      </c>
      <c r="B5491" s="5">
        <v>43879</v>
      </c>
      <c r="C5491" t="s">
        <v>12</v>
      </c>
      <c r="D5491">
        <v>34</v>
      </c>
      <c r="E5491">
        <v>930</v>
      </c>
      <c r="F5491" s="5">
        <v>43862</v>
      </c>
      <c r="G5491">
        <v>-34</v>
      </c>
      <c r="H5491" t="s">
        <v>57</v>
      </c>
    </row>
    <row r="5492" spans="1:8" x14ac:dyDescent="0.3">
      <c r="A5492">
        <v>465</v>
      </c>
      <c r="B5492" s="5">
        <v>43883</v>
      </c>
      <c r="C5492" t="s">
        <v>10</v>
      </c>
      <c r="D5492">
        <v>238</v>
      </c>
      <c r="E5492">
        <v>1168</v>
      </c>
      <c r="F5492" s="5">
        <v>43862</v>
      </c>
      <c r="G5492">
        <v>238</v>
      </c>
      <c r="H5492" t="s">
        <v>57</v>
      </c>
    </row>
    <row r="5493" spans="1:8" x14ac:dyDescent="0.3">
      <c r="A5493">
        <v>465</v>
      </c>
      <c r="B5493" s="5">
        <v>43887</v>
      </c>
      <c r="C5493" t="s">
        <v>10</v>
      </c>
      <c r="D5493">
        <v>821</v>
      </c>
      <c r="E5493">
        <v>1989</v>
      </c>
      <c r="F5493" s="5">
        <v>43862</v>
      </c>
      <c r="G5493">
        <v>821</v>
      </c>
      <c r="H5493" t="s">
        <v>57</v>
      </c>
    </row>
    <row r="5494" spans="1:8" x14ac:dyDescent="0.3">
      <c r="A5494">
        <v>465</v>
      </c>
      <c r="B5494" s="5">
        <v>43915</v>
      </c>
      <c r="C5494" t="s">
        <v>11</v>
      </c>
      <c r="D5494">
        <v>483</v>
      </c>
      <c r="E5494">
        <v>1506</v>
      </c>
      <c r="F5494" s="5">
        <v>43891</v>
      </c>
      <c r="G5494">
        <v>-483</v>
      </c>
      <c r="H5494" t="s">
        <v>57</v>
      </c>
    </row>
    <row r="5495" spans="1:8" x14ac:dyDescent="0.3">
      <c r="A5495">
        <v>465</v>
      </c>
      <c r="B5495" s="5">
        <v>43927</v>
      </c>
      <c r="C5495" t="s">
        <v>11</v>
      </c>
      <c r="D5495">
        <v>156</v>
      </c>
      <c r="E5495">
        <v>1350</v>
      </c>
      <c r="F5495" s="5">
        <v>43922</v>
      </c>
      <c r="G5495">
        <v>-156</v>
      </c>
      <c r="H5495" t="s">
        <v>57</v>
      </c>
    </row>
    <row r="5496" spans="1:8" x14ac:dyDescent="0.3">
      <c r="A5496">
        <v>466</v>
      </c>
      <c r="B5496" s="5">
        <v>43847</v>
      </c>
      <c r="C5496" t="s">
        <v>10</v>
      </c>
      <c r="D5496">
        <v>80</v>
      </c>
      <c r="E5496">
        <v>80</v>
      </c>
      <c r="F5496" s="5">
        <v>43831</v>
      </c>
      <c r="G5496">
        <v>80</v>
      </c>
      <c r="H5496" t="s">
        <v>57</v>
      </c>
    </row>
    <row r="5497" spans="1:8" x14ac:dyDescent="0.3">
      <c r="A5497">
        <v>466</v>
      </c>
      <c r="B5497" s="5">
        <v>43872</v>
      </c>
      <c r="C5497" t="s">
        <v>10</v>
      </c>
      <c r="D5497">
        <v>143</v>
      </c>
      <c r="E5497">
        <v>223</v>
      </c>
      <c r="F5497" s="5">
        <v>43862</v>
      </c>
      <c r="G5497">
        <v>143</v>
      </c>
      <c r="H5497" t="s">
        <v>57</v>
      </c>
    </row>
    <row r="5498" spans="1:8" x14ac:dyDescent="0.3">
      <c r="A5498">
        <v>466</v>
      </c>
      <c r="B5498" s="5">
        <v>43876</v>
      </c>
      <c r="C5498" t="s">
        <v>11</v>
      </c>
      <c r="D5498">
        <v>991</v>
      </c>
      <c r="E5498">
        <v>-768</v>
      </c>
      <c r="F5498" s="5">
        <v>43862</v>
      </c>
      <c r="G5498">
        <v>-991</v>
      </c>
      <c r="H5498" t="s">
        <v>58</v>
      </c>
    </row>
    <row r="5499" spans="1:8" x14ac:dyDescent="0.3">
      <c r="A5499">
        <v>466</v>
      </c>
      <c r="B5499" s="5">
        <v>43878</v>
      </c>
      <c r="C5499" t="s">
        <v>12</v>
      </c>
      <c r="D5499">
        <v>288</v>
      </c>
      <c r="E5499">
        <v>-1056</v>
      </c>
      <c r="F5499" s="5">
        <v>43862</v>
      </c>
      <c r="G5499">
        <v>-288</v>
      </c>
      <c r="H5499" t="s">
        <v>58</v>
      </c>
    </row>
    <row r="5500" spans="1:8" x14ac:dyDescent="0.3">
      <c r="A5500">
        <v>466</v>
      </c>
      <c r="B5500" s="5">
        <v>43888</v>
      </c>
      <c r="C5500" t="s">
        <v>12</v>
      </c>
      <c r="D5500">
        <v>923</v>
      </c>
      <c r="E5500">
        <v>-1979</v>
      </c>
      <c r="F5500" s="5">
        <v>43862</v>
      </c>
      <c r="G5500">
        <v>-923</v>
      </c>
      <c r="H5500" t="s">
        <v>58</v>
      </c>
    </row>
    <row r="5501" spans="1:8" x14ac:dyDescent="0.3">
      <c r="A5501">
        <v>466</v>
      </c>
      <c r="B5501" s="5">
        <v>43907</v>
      </c>
      <c r="C5501" t="s">
        <v>10</v>
      </c>
      <c r="D5501">
        <v>63</v>
      </c>
      <c r="E5501">
        <v>-1916</v>
      </c>
      <c r="F5501" s="5">
        <v>43891</v>
      </c>
      <c r="G5501">
        <v>63</v>
      </c>
      <c r="H5501" t="s">
        <v>58</v>
      </c>
    </row>
    <row r="5502" spans="1:8" x14ac:dyDescent="0.3">
      <c r="A5502">
        <v>466</v>
      </c>
      <c r="B5502" s="5">
        <v>43909</v>
      </c>
      <c r="C5502" t="s">
        <v>12</v>
      </c>
      <c r="D5502">
        <v>197</v>
      </c>
      <c r="E5502">
        <v>-2113</v>
      </c>
      <c r="F5502" s="5">
        <v>43891</v>
      </c>
      <c r="G5502">
        <v>-197</v>
      </c>
      <c r="H5502" t="s">
        <v>58</v>
      </c>
    </row>
    <row r="5503" spans="1:8" x14ac:dyDescent="0.3">
      <c r="A5503">
        <v>467</v>
      </c>
      <c r="B5503" s="5">
        <v>43849</v>
      </c>
      <c r="C5503" t="s">
        <v>10</v>
      </c>
      <c r="D5503">
        <v>738</v>
      </c>
      <c r="E5503">
        <v>738</v>
      </c>
      <c r="F5503" s="5">
        <v>43831</v>
      </c>
      <c r="G5503">
        <v>738</v>
      </c>
      <c r="H5503" t="s">
        <v>57</v>
      </c>
    </row>
    <row r="5504" spans="1:8" x14ac:dyDescent="0.3">
      <c r="A5504">
        <v>467</v>
      </c>
      <c r="B5504" s="5">
        <v>43850</v>
      </c>
      <c r="C5504" t="s">
        <v>10</v>
      </c>
      <c r="D5504">
        <v>786</v>
      </c>
      <c r="E5504">
        <v>1524</v>
      </c>
      <c r="F5504" s="5">
        <v>43831</v>
      </c>
      <c r="G5504">
        <v>786</v>
      </c>
      <c r="H5504" t="s">
        <v>57</v>
      </c>
    </row>
    <row r="5505" spans="1:8" x14ac:dyDescent="0.3">
      <c r="A5505">
        <v>467</v>
      </c>
      <c r="B5505" s="5">
        <v>43850</v>
      </c>
      <c r="C5505" t="s">
        <v>10</v>
      </c>
      <c r="D5505">
        <v>432</v>
      </c>
      <c r="E5505">
        <v>1956</v>
      </c>
      <c r="F5505" s="5">
        <v>43831</v>
      </c>
      <c r="G5505">
        <v>432</v>
      </c>
      <c r="H5505" t="s">
        <v>57</v>
      </c>
    </row>
    <row r="5506" spans="1:8" x14ac:dyDescent="0.3">
      <c r="A5506">
        <v>467</v>
      </c>
      <c r="B5506" s="5">
        <v>43854</v>
      </c>
      <c r="C5506" t="s">
        <v>10</v>
      </c>
      <c r="D5506">
        <v>314</v>
      </c>
      <c r="E5506">
        <v>2270</v>
      </c>
      <c r="F5506" s="5">
        <v>43831</v>
      </c>
      <c r="G5506">
        <v>314</v>
      </c>
      <c r="H5506" t="s">
        <v>57</v>
      </c>
    </row>
    <row r="5507" spans="1:8" x14ac:dyDescent="0.3">
      <c r="A5507">
        <v>467</v>
      </c>
      <c r="B5507" s="5">
        <v>43859</v>
      </c>
      <c r="C5507" t="s">
        <v>11</v>
      </c>
      <c r="D5507">
        <v>514</v>
      </c>
      <c r="E5507">
        <v>1756</v>
      </c>
      <c r="F5507" s="5">
        <v>43831</v>
      </c>
      <c r="G5507">
        <v>-514</v>
      </c>
      <c r="H5507" t="s">
        <v>57</v>
      </c>
    </row>
    <row r="5508" spans="1:8" x14ac:dyDescent="0.3">
      <c r="A5508">
        <v>467</v>
      </c>
      <c r="B5508" s="5">
        <v>43859</v>
      </c>
      <c r="C5508" t="s">
        <v>10</v>
      </c>
      <c r="D5508">
        <v>238</v>
      </c>
      <c r="E5508">
        <v>1994</v>
      </c>
      <c r="F5508" s="5">
        <v>43831</v>
      </c>
      <c r="G5508">
        <v>238</v>
      </c>
      <c r="H5508" t="s">
        <v>57</v>
      </c>
    </row>
    <row r="5509" spans="1:8" x14ac:dyDescent="0.3">
      <c r="A5509">
        <v>467</v>
      </c>
      <c r="B5509" s="5">
        <v>43868</v>
      </c>
      <c r="C5509" t="s">
        <v>10</v>
      </c>
      <c r="D5509">
        <v>1</v>
      </c>
      <c r="E5509">
        <v>1995</v>
      </c>
      <c r="F5509" s="5">
        <v>43862</v>
      </c>
      <c r="G5509">
        <v>1</v>
      </c>
      <c r="H5509" t="s">
        <v>57</v>
      </c>
    </row>
    <row r="5510" spans="1:8" x14ac:dyDescent="0.3">
      <c r="A5510">
        <v>467</v>
      </c>
      <c r="B5510" s="5">
        <v>43875</v>
      </c>
      <c r="C5510" t="s">
        <v>10</v>
      </c>
      <c r="D5510">
        <v>968</v>
      </c>
      <c r="E5510">
        <v>2963</v>
      </c>
      <c r="F5510" s="5">
        <v>43862</v>
      </c>
      <c r="G5510">
        <v>968</v>
      </c>
      <c r="H5510" t="s">
        <v>57</v>
      </c>
    </row>
    <row r="5511" spans="1:8" x14ac:dyDescent="0.3">
      <c r="A5511">
        <v>467</v>
      </c>
      <c r="B5511" s="5">
        <v>43877</v>
      </c>
      <c r="C5511" t="s">
        <v>10</v>
      </c>
      <c r="D5511">
        <v>556</v>
      </c>
      <c r="E5511">
        <v>3519</v>
      </c>
      <c r="F5511" s="5">
        <v>43862</v>
      </c>
      <c r="G5511">
        <v>556</v>
      </c>
      <c r="H5511" t="s">
        <v>57</v>
      </c>
    </row>
    <row r="5512" spans="1:8" x14ac:dyDescent="0.3">
      <c r="A5512">
        <v>467</v>
      </c>
      <c r="B5512" s="5">
        <v>43880</v>
      </c>
      <c r="C5512" t="s">
        <v>10</v>
      </c>
      <c r="D5512">
        <v>819</v>
      </c>
      <c r="E5512">
        <v>4338</v>
      </c>
      <c r="F5512" s="5">
        <v>43862</v>
      </c>
      <c r="G5512">
        <v>819</v>
      </c>
      <c r="H5512" t="s">
        <v>57</v>
      </c>
    </row>
    <row r="5513" spans="1:8" x14ac:dyDescent="0.3">
      <c r="A5513">
        <v>467</v>
      </c>
      <c r="B5513" s="5">
        <v>43882</v>
      </c>
      <c r="C5513" t="s">
        <v>12</v>
      </c>
      <c r="D5513">
        <v>173</v>
      </c>
      <c r="E5513">
        <v>4165</v>
      </c>
      <c r="F5513" s="5">
        <v>43862</v>
      </c>
      <c r="G5513">
        <v>-173</v>
      </c>
      <c r="H5513" t="s">
        <v>57</v>
      </c>
    </row>
    <row r="5514" spans="1:8" x14ac:dyDescent="0.3">
      <c r="A5514">
        <v>467</v>
      </c>
      <c r="B5514" s="5">
        <v>43883</v>
      </c>
      <c r="C5514" t="s">
        <v>12</v>
      </c>
      <c r="D5514">
        <v>612</v>
      </c>
      <c r="E5514">
        <v>3553</v>
      </c>
      <c r="F5514" s="5">
        <v>43862</v>
      </c>
      <c r="G5514">
        <v>-612</v>
      </c>
      <c r="H5514" t="s">
        <v>57</v>
      </c>
    </row>
    <row r="5515" spans="1:8" x14ac:dyDescent="0.3">
      <c r="A5515">
        <v>467</v>
      </c>
      <c r="B5515" s="5">
        <v>43888</v>
      </c>
      <c r="C5515" t="s">
        <v>10</v>
      </c>
      <c r="D5515">
        <v>29</v>
      </c>
      <c r="E5515">
        <v>3582</v>
      </c>
      <c r="F5515" s="5">
        <v>43862</v>
      </c>
      <c r="G5515">
        <v>29</v>
      </c>
      <c r="H5515" t="s">
        <v>57</v>
      </c>
    </row>
    <row r="5516" spans="1:8" x14ac:dyDescent="0.3">
      <c r="A5516">
        <v>467</v>
      </c>
      <c r="B5516" s="5">
        <v>43893</v>
      </c>
      <c r="C5516" t="s">
        <v>12</v>
      </c>
      <c r="D5516">
        <v>978</v>
      </c>
      <c r="E5516">
        <v>2604</v>
      </c>
      <c r="F5516" s="5">
        <v>43891</v>
      </c>
      <c r="G5516">
        <v>-978</v>
      </c>
      <c r="H5516" t="s">
        <v>57</v>
      </c>
    </row>
    <row r="5517" spans="1:8" x14ac:dyDescent="0.3">
      <c r="A5517">
        <v>467</v>
      </c>
      <c r="B5517" s="5">
        <v>43896</v>
      </c>
      <c r="C5517" t="s">
        <v>10</v>
      </c>
      <c r="D5517">
        <v>852</v>
      </c>
      <c r="E5517">
        <v>3456</v>
      </c>
      <c r="F5517" s="5">
        <v>43891</v>
      </c>
      <c r="G5517">
        <v>852</v>
      </c>
      <c r="H5517" t="s">
        <v>57</v>
      </c>
    </row>
    <row r="5518" spans="1:8" x14ac:dyDescent="0.3">
      <c r="A5518">
        <v>467</v>
      </c>
      <c r="B5518" s="5">
        <v>43900</v>
      </c>
      <c r="C5518" t="s">
        <v>11</v>
      </c>
      <c r="D5518">
        <v>129</v>
      </c>
      <c r="E5518">
        <v>3327</v>
      </c>
      <c r="F5518" s="5">
        <v>43891</v>
      </c>
      <c r="G5518">
        <v>-129</v>
      </c>
      <c r="H5518" t="s">
        <v>57</v>
      </c>
    </row>
    <row r="5519" spans="1:8" x14ac:dyDescent="0.3">
      <c r="A5519">
        <v>467</v>
      </c>
      <c r="B5519" s="5">
        <v>43902</v>
      </c>
      <c r="C5519" t="s">
        <v>11</v>
      </c>
      <c r="D5519">
        <v>809</v>
      </c>
      <c r="E5519">
        <v>2518</v>
      </c>
      <c r="F5519" s="5">
        <v>43891</v>
      </c>
      <c r="G5519">
        <v>-809</v>
      </c>
      <c r="H5519" t="s">
        <v>57</v>
      </c>
    </row>
    <row r="5520" spans="1:8" x14ac:dyDescent="0.3">
      <c r="A5520">
        <v>467</v>
      </c>
      <c r="B5520" s="5">
        <v>43902</v>
      </c>
      <c r="C5520" t="s">
        <v>11</v>
      </c>
      <c r="D5520">
        <v>368</v>
      </c>
      <c r="E5520">
        <v>2150</v>
      </c>
      <c r="F5520" s="5">
        <v>43891</v>
      </c>
      <c r="G5520">
        <v>-368</v>
      </c>
      <c r="H5520" t="s">
        <v>57</v>
      </c>
    </row>
    <row r="5521" spans="1:8" x14ac:dyDescent="0.3">
      <c r="A5521">
        <v>467</v>
      </c>
      <c r="B5521" s="5">
        <v>43916</v>
      </c>
      <c r="C5521" t="s">
        <v>10</v>
      </c>
      <c r="D5521">
        <v>116</v>
      </c>
      <c r="E5521">
        <v>2266</v>
      </c>
      <c r="F5521" s="5">
        <v>43891</v>
      </c>
      <c r="G5521">
        <v>116</v>
      </c>
      <c r="H5521" t="s">
        <v>57</v>
      </c>
    </row>
    <row r="5522" spans="1:8" x14ac:dyDescent="0.3">
      <c r="A5522">
        <v>467</v>
      </c>
      <c r="B5522" s="5">
        <v>43918</v>
      </c>
      <c r="C5522" t="s">
        <v>10</v>
      </c>
      <c r="D5522">
        <v>488</v>
      </c>
      <c r="E5522">
        <v>2754</v>
      </c>
      <c r="F5522" s="5">
        <v>43891</v>
      </c>
      <c r="G5522">
        <v>488</v>
      </c>
      <c r="H5522" t="s">
        <v>57</v>
      </c>
    </row>
    <row r="5523" spans="1:8" x14ac:dyDescent="0.3">
      <c r="A5523">
        <v>467</v>
      </c>
      <c r="B5523" s="5">
        <v>43924</v>
      </c>
      <c r="C5523" t="s">
        <v>12</v>
      </c>
      <c r="D5523">
        <v>691</v>
      </c>
      <c r="E5523">
        <v>2063</v>
      </c>
      <c r="F5523" s="5">
        <v>43922</v>
      </c>
      <c r="G5523">
        <v>-691</v>
      </c>
      <c r="H5523" t="s">
        <v>57</v>
      </c>
    </row>
    <row r="5524" spans="1:8" x14ac:dyDescent="0.3">
      <c r="A5524">
        <v>467</v>
      </c>
      <c r="B5524" s="5">
        <v>43927</v>
      </c>
      <c r="C5524" t="s">
        <v>12</v>
      </c>
      <c r="D5524">
        <v>873</v>
      </c>
      <c r="E5524">
        <v>1190</v>
      </c>
      <c r="F5524" s="5">
        <v>43922</v>
      </c>
      <c r="G5524">
        <v>-873</v>
      </c>
      <c r="H5524" t="s">
        <v>57</v>
      </c>
    </row>
    <row r="5525" spans="1:8" x14ac:dyDescent="0.3">
      <c r="A5525">
        <v>468</v>
      </c>
      <c r="B5525" s="5">
        <v>43855</v>
      </c>
      <c r="C5525" t="s">
        <v>10</v>
      </c>
      <c r="D5525">
        <v>939</v>
      </c>
      <c r="E5525">
        <v>939</v>
      </c>
      <c r="F5525" s="5">
        <v>43831</v>
      </c>
      <c r="G5525">
        <v>939</v>
      </c>
      <c r="H5525" t="s">
        <v>57</v>
      </c>
    </row>
    <row r="5526" spans="1:8" x14ac:dyDescent="0.3">
      <c r="A5526">
        <v>468</v>
      </c>
      <c r="B5526" s="5">
        <v>43859</v>
      </c>
      <c r="C5526" t="s">
        <v>11</v>
      </c>
      <c r="D5526">
        <v>900</v>
      </c>
      <c r="E5526">
        <v>39</v>
      </c>
      <c r="F5526" s="5">
        <v>43831</v>
      </c>
      <c r="G5526">
        <v>-900</v>
      </c>
      <c r="H5526" t="s">
        <v>57</v>
      </c>
    </row>
    <row r="5527" spans="1:8" x14ac:dyDescent="0.3">
      <c r="A5527">
        <v>468</v>
      </c>
      <c r="B5527" s="5">
        <v>43875</v>
      </c>
      <c r="C5527" t="s">
        <v>11</v>
      </c>
      <c r="D5527">
        <v>902</v>
      </c>
      <c r="E5527">
        <v>-863</v>
      </c>
      <c r="F5527" s="5">
        <v>43862</v>
      </c>
      <c r="G5527">
        <v>-902</v>
      </c>
      <c r="H5527" t="s">
        <v>58</v>
      </c>
    </row>
    <row r="5528" spans="1:8" x14ac:dyDescent="0.3">
      <c r="A5528">
        <v>468</v>
      </c>
      <c r="B5528" s="5">
        <v>43880</v>
      </c>
      <c r="C5528" t="s">
        <v>10</v>
      </c>
      <c r="D5528">
        <v>708</v>
      </c>
      <c r="E5528">
        <v>-155</v>
      </c>
      <c r="F5528" s="5">
        <v>43862</v>
      </c>
      <c r="G5528">
        <v>708</v>
      </c>
      <c r="H5528" t="s">
        <v>58</v>
      </c>
    </row>
    <row r="5529" spans="1:8" x14ac:dyDescent="0.3">
      <c r="A5529">
        <v>468</v>
      </c>
      <c r="B5529" s="5">
        <v>43892</v>
      </c>
      <c r="C5529" t="s">
        <v>10</v>
      </c>
      <c r="D5529">
        <v>40</v>
      </c>
      <c r="E5529">
        <v>-115</v>
      </c>
      <c r="F5529" s="5">
        <v>43891</v>
      </c>
      <c r="G5529">
        <v>40</v>
      </c>
      <c r="H5529" t="s">
        <v>58</v>
      </c>
    </row>
    <row r="5530" spans="1:8" x14ac:dyDescent="0.3">
      <c r="A5530">
        <v>468</v>
      </c>
      <c r="B5530" s="5">
        <v>43892</v>
      </c>
      <c r="C5530" t="s">
        <v>12</v>
      </c>
      <c r="D5530">
        <v>26</v>
      </c>
      <c r="E5530">
        <v>-141</v>
      </c>
      <c r="F5530" s="5">
        <v>43891</v>
      </c>
      <c r="G5530">
        <v>-26</v>
      </c>
      <c r="H5530" t="s">
        <v>58</v>
      </c>
    </row>
    <row r="5531" spans="1:8" x14ac:dyDescent="0.3">
      <c r="A5531">
        <v>468</v>
      </c>
      <c r="B5531" s="5">
        <v>43908</v>
      </c>
      <c r="C5531" t="s">
        <v>11</v>
      </c>
      <c r="D5531">
        <v>776</v>
      </c>
      <c r="E5531">
        <v>-917</v>
      </c>
      <c r="F5531" s="5">
        <v>43891</v>
      </c>
      <c r="G5531">
        <v>-776</v>
      </c>
      <c r="H5531" t="s">
        <v>58</v>
      </c>
    </row>
    <row r="5532" spans="1:8" x14ac:dyDescent="0.3">
      <c r="A5532">
        <v>469</v>
      </c>
      <c r="B5532" s="5">
        <v>43847</v>
      </c>
      <c r="C5532" t="s">
        <v>10</v>
      </c>
      <c r="D5532">
        <v>297</v>
      </c>
      <c r="E5532">
        <v>297</v>
      </c>
      <c r="F5532" s="5">
        <v>43831</v>
      </c>
      <c r="G5532">
        <v>297</v>
      </c>
      <c r="H5532" t="s">
        <v>57</v>
      </c>
    </row>
    <row r="5533" spans="1:8" x14ac:dyDescent="0.3">
      <c r="A5533">
        <v>469</v>
      </c>
      <c r="B5533" s="5">
        <v>43860</v>
      </c>
      <c r="C5533" t="s">
        <v>10</v>
      </c>
      <c r="D5533">
        <v>89</v>
      </c>
      <c r="E5533">
        <v>386</v>
      </c>
      <c r="F5533" s="5">
        <v>43831</v>
      </c>
      <c r="G5533">
        <v>89</v>
      </c>
      <c r="H5533" t="s">
        <v>57</v>
      </c>
    </row>
    <row r="5534" spans="1:8" x14ac:dyDescent="0.3">
      <c r="A5534">
        <v>469</v>
      </c>
      <c r="B5534" s="5">
        <v>43865</v>
      </c>
      <c r="C5534" t="s">
        <v>10</v>
      </c>
      <c r="D5534">
        <v>914</v>
      </c>
      <c r="E5534">
        <v>1300</v>
      </c>
      <c r="F5534" s="5">
        <v>43862</v>
      </c>
      <c r="G5534">
        <v>914</v>
      </c>
      <c r="H5534" t="s">
        <v>57</v>
      </c>
    </row>
    <row r="5535" spans="1:8" x14ac:dyDescent="0.3">
      <c r="A5535">
        <v>469</v>
      </c>
      <c r="B5535" s="5">
        <v>43874</v>
      </c>
      <c r="C5535" t="s">
        <v>10</v>
      </c>
      <c r="D5535">
        <v>140</v>
      </c>
      <c r="E5535">
        <v>1440</v>
      </c>
      <c r="F5535" s="5">
        <v>43862</v>
      </c>
      <c r="G5535">
        <v>140</v>
      </c>
      <c r="H5535" t="s">
        <v>57</v>
      </c>
    </row>
    <row r="5536" spans="1:8" x14ac:dyDescent="0.3">
      <c r="A5536">
        <v>469</v>
      </c>
      <c r="B5536" s="5">
        <v>43878</v>
      </c>
      <c r="C5536" t="s">
        <v>12</v>
      </c>
      <c r="D5536">
        <v>630</v>
      </c>
      <c r="E5536">
        <v>810</v>
      </c>
      <c r="F5536" s="5">
        <v>43862</v>
      </c>
      <c r="G5536">
        <v>-630</v>
      </c>
      <c r="H5536" t="s">
        <v>57</v>
      </c>
    </row>
    <row r="5537" spans="1:8" x14ac:dyDescent="0.3">
      <c r="A5537">
        <v>469</v>
      </c>
      <c r="B5537" s="5">
        <v>43882</v>
      </c>
      <c r="C5537" t="s">
        <v>10</v>
      </c>
      <c r="D5537">
        <v>883</v>
      </c>
      <c r="E5537">
        <v>1693</v>
      </c>
      <c r="F5537" s="5">
        <v>43862</v>
      </c>
      <c r="G5537">
        <v>883</v>
      </c>
      <c r="H5537" t="s">
        <v>57</v>
      </c>
    </row>
    <row r="5538" spans="1:8" x14ac:dyDescent="0.3">
      <c r="A5538">
        <v>469</v>
      </c>
      <c r="B5538" s="5">
        <v>43889</v>
      </c>
      <c r="C5538" t="s">
        <v>10</v>
      </c>
      <c r="D5538">
        <v>468</v>
      </c>
      <c r="E5538">
        <v>2161</v>
      </c>
      <c r="F5538" s="5">
        <v>43862</v>
      </c>
      <c r="G5538">
        <v>468</v>
      </c>
      <c r="H5538" t="s">
        <v>57</v>
      </c>
    </row>
    <row r="5539" spans="1:8" x14ac:dyDescent="0.3">
      <c r="A5539">
        <v>469</v>
      </c>
      <c r="B5539" s="5">
        <v>43891</v>
      </c>
      <c r="C5539" t="s">
        <v>12</v>
      </c>
      <c r="D5539">
        <v>789</v>
      </c>
      <c r="E5539">
        <v>1372</v>
      </c>
      <c r="F5539" s="5">
        <v>43891</v>
      </c>
      <c r="G5539">
        <v>-789</v>
      </c>
      <c r="H5539" t="s">
        <v>57</v>
      </c>
    </row>
    <row r="5540" spans="1:8" x14ac:dyDescent="0.3">
      <c r="A5540">
        <v>469</v>
      </c>
      <c r="B5540" s="5">
        <v>43893</v>
      </c>
      <c r="C5540" t="s">
        <v>12</v>
      </c>
      <c r="D5540">
        <v>295</v>
      </c>
      <c r="E5540">
        <v>1077</v>
      </c>
      <c r="F5540" s="5">
        <v>43891</v>
      </c>
      <c r="G5540">
        <v>-295</v>
      </c>
      <c r="H5540" t="s">
        <v>57</v>
      </c>
    </row>
    <row r="5541" spans="1:8" x14ac:dyDescent="0.3">
      <c r="A5541">
        <v>469</v>
      </c>
      <c r="B5541" s="5">
        <v>43898</v>
      </c>
      <c r="C5541" t="s">
        <v>10</v>
      </c>
      <c r="D5541">
        <v>437</v>
      </c>
      <c r="E5541">
        <v>1514</v>
      </c>
      <c r="F5541" s="5">
        <v>43891</v>
      </c>
      <c r="G5541">
        <v>437</v>
      </c>
      <c r="H5541" t="s">
        <v>57</v>
      </c>
    </row>
    <row r="5542" spans="1:8" x14ac:dyDescent="0.3">
      <c r="A5542">
        <v>469</v>
      </c>
      <c r="B5542" s="5">
        <v>43898</v>
      </c>
      <c r="C5542" t="s">
        <v>11</v>
      </c>
      <c r="D5542">
        <v>761</v>
      </c>
      <c r="E5542">
        <v>753</v>
      </c>
      <c r="F5542" s="5">
        <v>43891</v>
      </c>
      <c r="G5542">
        <v>-761</v>
      </c>
      <c r="H5542" t="s">
        <v>57</v>
      </c>
    </row>
    <row r="5543" spans="1:8" x14ac:dyDescent="0.3">
      <c r="A5543">
        <v>469</v>
      </c>
      <c r="B5543" s="5">
        <v>43913</v>
      </c>
      <c r="C5543" t="s">
        <v>10</v>
      </c>
      <c r="D5543">
        <v>15</v>
      </c>
      <c r="E5543">
        <v>768</v>
      </c>
      <c r="F5543" s="5">
        <v>43891</v>
      </c>
      <c r="G5543">
        <v>15</v>
      </c>
      <c r="H5543" t="s">
        <v>57</v>
      </c>
    </row>
    <row r="5544" spans="1:8" x14ac:dyDescent="0.3">
      <c r="A5544">
        <v>469</v>
      </c>
      <c r="B5544" s="5">
        <v>43914</v>
      </c>
      <c r="C5544" t="s">
        <v>11</v>
      </c>
      <c r="D5544">
        <v>703</v>
      </c>
      <c r="E5544">
        <v>65</v>
      </c>
      <c r="F5544" s="5">
        <v>43891</v>
      </c>
      <c r="G5544">
        <v>-703</v>
      </c>
      <c r="H5544" t="s">
        <v>57</v>
      </c>
    </row>
    <row r="5545" spans="1:8" x14ac:dyDescent="0.3">
      <c r="A5545">
        <v>469</v>
      </c>
      <c r="B5545" s="5">
        <v>43916</v>
      </c>
      <c r="C5545" t="s">
        <v>11</v>
      </c>
      <c r="D5545">
        <v>867</v>
      </c>
      <c r="E5545">
        <v>-802</v>
      </c>
      <c r="F5545" s="5">
        <v>43891</v>
      </c>
      <c r="G5545">
        <v>-867</v>
      </c>
      <c r="H5545" t="s">
        <v>58</v>
      </c>
    </row>
    <row r="5546" spans="1:8" x14ac:dyDescent="0.3">
      <c r="A5546">
        <v>469</v>
      </c>
      <c r="B5546" s="5">
        <v>43931</v>
      </c>
      <c r="C5546" t="s">
        <v>11</v>
      </c>
      <c r="D5546">
        <v>735</v>
      </c>
      <c r="E5546">
        <v>-1537</v>
      </c>
      <c r="F5546" s="5">
        <v>43922</v>
      </c>
      <c r="G5546">
        <v>-735</v>
      </c>
      <c r="H5546" t="s">
        <v>58</v>
      </c>
    </row>
    <row r="5547" spans="1:8" x14ac:dyDescent="0.3">
      <c r="A5547">
        <v>470</v>
      </c>
      <c r="B5547" s="5">
        <v>43838</v>
      </c>
      <c r="C5547" t="s">
        <v>10</v>
      </c>
      <c r="D5547">
        <v>942</v>
      </c>
      <c r="E5547">
        <v>942</v>
      </c>
      <c r="F5547" s="5">
        <v>43831</v>
      </c>
      <c r="G5547">
        <v>942</v>
      </c>
      <c r="H5547" t="s">
        <v>57</v>
      </c>
    </row>
    <row r="5548" spans="1:8" x14ac:dyDescent="0.3">
      <c r="A5548">
        <v>470</v>
      </c>
      <c r="B5548" s="5">
        <v>43848</v>
      </c>
      <c r="C5548" t="s">
        <v>12</v>
      </c>
      <c r="D5548">
        <v>565</v>
      </c>
      <c r="E5548">
        <v>377</v>
      </c>
      <c r="F5548" s="5">
        <v>43831</v>
      </c>
      <c r="G5548">
        <v>-565</v>
      </c>
      <c r="H5548" t="s">
        <v>57</v>
      </c>
    </row>
    <row r="5549" spans="1:8" x14ac:dyDescent="0.3">
      <c r="A5549">
        <v>470</v>
      </c>
      <c r="B5549" s="5">
        <v>43875</v>
      </c>
      <c r="C5549" t="s">
        <v>12</v>
      </c>
      <c r="D5549">
        <v>688</v>
      </c>
      <c r="E5549">
        <v>-311</v>
      </c>
      <c r="F5549" s="5">
        <v>43862</v>
      </c>
      <c r="G5549">
        <v>-688</v>
      </c>
      <c r="H5549" t="s">
        <v>58</v>
      </c>
    </row>
    <row r="5550" spans="1:8" x14ac:dyDescent="0.3">
      <c r="A5550">
        <v>471</v>
      </c>
      <c r="B5550" s="5">
        <v>43843</v>
      </c>
      <c r="C5550" t="s">
        <v>10</v>
      </c>
      <c r="D5550">
        <v>781</v>
      </c>
      <c r="E5550">
        <v>781</v>
      </c>
      <c r="F5550" s="5">
        <v>43831</v>
      </c>
      <c r="G5550">
        <v>781</v>
      </c>
      <c r="H5550" t="s">
        <v>57</v>
      </c>
    </row>
    <row r="5551" spans="1:8" x14ac:dyDescent="0.3">
      <c r="A5551">
        <v>471</v>
      </c>
      <c r="B5551" s="5">
        <v>43892</v>
      </c>
      <c r="C5551" t="s">
        <v>10</v>
      </c>
      <c r="D5551">
        <v>197</v>
      </c>
      <c r="E5551">
        <v>978</v>
      </c>
      <c r="F5551" s="5">
        <v>43891</v>
      </c>
      <c r="G5551">
        <v>197</v>
      </c>
      <c r="H5551" t="s">
        <v>57</v>
      </c>
    </row>
    <row r="5552" spans="1:8" x14ac:dyDescent="0.3">
      <c r="A5552">
        <v>471</v>
      </c>
      <c r="B5552" s="5">
        <v>43897</v>
      </c>
      <c r="C5552" t="s">
        <v>10</v>
      </c>
      <c r="D5552">
        <v>211</v>
      </c>
      <c r="E5552">
        <v>1189</v>
      </c>
      <c r="F5552" s="5">
        <v>43891</v>
      </c>
      <c r="G5552">
        <v>211</v>
      </c>
      <c r="H5552" t="s">
        <v>57</v>
      </c>
    </row>
    <row r="5553" spans="1:8" x14ac:dyDescent="0.3">
      <c r="A5553">
        <v>471</v>
      </c>
      <c r="B5553" s="5">
        <v>43899</v>
      </c>
      <c r="C5553" t="s">
        <v>10</v>
      </c>
      <c r="D5553">
        <v>49</v>
      </c>
      <c r="E5553">
        <v>1238</v>
      </c>
      <c r="F5553" s="5">
        <v>43891</v>
      </c>
      <c r="G5553">
        <v>49</v>
      </c>
      <c r="H5553" t="s">
        <v>57</v>
      </c>
    </row>
    <row r="5554" spans="1:8" x14ac:dyDescent="0.3">
      <c r="A5554">
        <v>471</v>
      </c>
      <c r="B5554" s="5">
        <v>43930</v>
      </c>
      <c r="C5554" t="s">
        <v>10</v>
      </c>
      <c r="D5554">
        <v>649</v>
      </c>
      <c r="E5554">
        <v>1887</v>
      </c>
      <c r="F5554" s="5">
        <v>43922</v>
      </c>
      <c r="G5554">
        <v>649</v>
      </c>
      <c r="H5554" t="s">
        <v>57</v>
      </c>
    </row>
    <row r="5555" spans="1:8" x14ac:dyDescent="0.3">
      <c r="A5555">
        <v>472</v>
      </c>
      <c r="B5555" s="5">
        <v>43848</v>
      </c>
      <c r="C5555" t="s">
        <v>10</v>
      </c>
      <c r="D5555">
        <v>495</v>
      </c>
      <c r="E5555">
        <v>495</v>
      </c>
      <c r="F5555" s="5">
        <v>43831</v>
      </c>
      <c r="G5555">
        <v>495</v>
      </c>
      <c r="H5555" t="s">
        <v>57</v>
      </c>
    </row>
    <row r="5556" spans="1:8" x14ac:dyDescent="0.3">
      <c r="A5556">
        <v>472</v>
      </c>
      <c r="B5556" s="5">
        <v>43849</v>
      </c>
      <c r="C5556" t="s">
        <v>12</v>
      </c>
      <c r="D5556">
        <v>527</v>
      </c>
      <c r="E5556">
        <v>-32</v>
      </c>
      <c r="F5556" s="5">
        <v>43831</v>
      </c>
      <c r="G5556">
        <v>-527</v>
      </c>
      <c r="H5556" t="s">
        <v>58</v>
      </c>
    </row>
    <row r="5557" spans="1:8" x14ac:dyDescent="0.3">
      <c r="A5557">
        <v>472</v>
      </c>
      <c r="B5557" s="5">
        <v>43859</v>
      </c>
      <c r="C5557" t="s">
        <v>10</v>
      </c>
      <c r="D5557">
        <v>843</v>
      </c>
      <c r="E5557">
        <v>811</v>
      </c>
      <c r="F5557" s="5">
        <v>43831</v>
      </c>
      <c r="G5557">
        <v>843</v>
      </c>
      <c r="H5557" t="s">
        <v>57</v>
      </c>
    </row>
    <row r="5558" spans="1:8" x14ac:dyDescent="0.3">
      <c r="A5558">
        <v>472</v>
      </c>
      <c r="B5558" s="5">
        <v>43862</v>
      </c>
      <c r="C5558" t="s">
        <v>11</v>
      </c>
      <c r="D5558">
        <v>347</v>
      </c>
      <c r="E5558">
        <v>464</v>
      </c>
      <c r="F5558" s="5">
        <v>43862</v>
      </c>
      <c r="G5558">
        <v>-347</v>
      </c>
      <c r="H5558" t="s">
        <v>57</v>
      </c>
    </row>
    <row r="5559" spans="1:8" x14ac:dyDescent="0.3">
      <c r="A5559">
        <v>472</v>
      </c>
      <c r="B5559" s="5">
        <v>43872</v>
      </c>
      <c r="C5559" t="s">
        <v>11</v>
      </c>
      <c r="D5559">
        <v>666</v>
      </c>
      <c r="E5559">
        <v>-202</v>
      </c>
      <c r="F5559" s="5">
        <v>43862</v>
      </c>
      <c r="G5559">
        <v>-666</v>
      </c>
      <c r="H5559" t="s">
        <v>58</v>
      </c>
    </row>
    <row r="5560" spans="1:8" x14ac:dyDescent="0.3">
      <c r="A5560">
        <v>472</v>
      </c>
      <c r="B5560" s="5">
        <v>43888</v>
      </c>
      <c r="C5560" t="s">
        <v>10</v>
      </c>
      <c r="D5560">
        <v>87</v>
      </c>
      <c r="E5560">
        <v>-115</v>
      </c>
      <c r="F5560" s="5">
        <v>43862</v>
      </c>
      <c r="G5560">
        <v>87</v>
      </c>
      <c r="H5560" t="s">
        <v>58</v>
      </c>
    </row>
    <row r="5561" spans="1:8" x14ac:dyDescent="0.3">
      <c r="A5561">
        <v>472</v>
      </c>
      <c r="B5561" s="5">
        <v>43895</v>
      </c>
      <c r="C5561" t="s">
        <v>10</v>
      </c>
      <c r="D5561">
        <v>78</v>
      </c>
      <c r="E5561">
        <v>-37</v>
      </c>
      <c r="F5561" s="5">
        <v>43891</v>
      </c>
      <c r="G5561">
        <v>78</v>
      </c>
      <c r="H5561" t="s">
        <v>58</v>
      </c>
    </row>
    <row r="5562" spans="1:8" x14ac:dyDescent="0.3">
      <c r="A5562">
        <v>472</v>
      </c>
      <c r="B5562" s="5">
        <v>43896</v>
      </c>
      <c r="C5562" t="s">
        <v>12</v>
      </c>
      <c r="D5562">
        <v>499</v>
      </c>
      <c r="E5562">
        <v>-536</v>
      </c>
      <c r="F5562" s="5">
        <v>43891</v>
      </c>
      <c r="G5562">
        <v>-499</v>
      </c>
      <c r="H5562" t="s">
        <v>58</v>
      </c>
    </row>
    <row r="5563" spans="1:8" x14ac:dyDescent="0.3">
      <c r="A5563">
        <v>472</v>
      </c>
      <c r="B5563" s="5">
        <v>43898</v>
      </c>
      <c r="C5563" t="s">
        <v>10</v>
      </c>
      <c r="D5563">
        <v>362</v>
      </c>
      <c r="E5563">
        <v>-174</v>
      </c>
      <c r="F5563" s="5">
        <v>43891</v>
      </c>
      <c r="G5563">
        <v>362</v>
      </c>
      <c r="H5563" t="s">
        <v>58</v>
      </c>
    </row>
    <row r="5564" spans="1:8" x14ac:dyDescent="0.3">
      <c r="A5564">
        <v>472</v>
      </c>
      <c r="B5564" s="5">
        <v>43910</v>
      </c>
      <c r="C5564" t="s">
        <v>10</v>
      </c>
      <c r="D5564">
        <v>182</v>
      </c>
      <c r="E5564">
        <v>8</v>
      </c>
      <c r="F5564" s="5">
        <v>43891</v>
      </c>
      <c r="G5564">
        <v>182</v>
      </c>
      <c r="H5564" t="s">
        <v>57</v>
      </c>
    </row>
    <row r="5565" spans="1:8" x14ac:dyDescent="0.3">
      <c r="A5565">
        <v>472</v>
      </c>
      <c r="B5565" s="5">
        <v>43911</v>
      </c>
      <c r="C5565" t="s">
        <v>12</v>
      </c>
      <c r="D5565">
        <v>513</v>
      </c>
      <c r="E5565">
        <v>-505</v>
      </c>
      <c r="F5565" s="5">
        <v>43891</v>
      </c>
      <c r="G5565">
        <v>-513</v>
      </c>
      <c r="H5565" t="s">
        <v>58</v>
      </c>
    </row>
    <row r="5566" spans="1:8" x14ac:dyDescent="0.3">
      <c r="A5566">
        <v>472</v>
      </c>
      <c r="B5566" s="5">
        <v>43920</v>
      </c>
      <c r="C5566" t="s">
        <v>10</v>
      </c>
      <c r="D5566">
        <v>537</v>
      </c>
      <c r="E5566">
        <v>32</v>
      </c>
      <c r="F5566" s="5">
        <v>43891</v>
      </c>
      <c r="G5566">
        <v>537</v>
      </c>
      <c r="H5566" t="s">
        <v>57</v>
      </c>
    </row>
    <row r="5567" spans="1:8" x14ac:dyDescent="0.3">
      <c r="A5567">
        <v>472</v>
      </c>
      <c r="B5567" s="5">
        <v>43922</v>
      </c>
      <c r="C5567" t="s">
        <v>11</v>
      </c>
      <c r="D5567">
        <v>865</v>
      </c>
      <c r="E5567">
        <v>-833</v>
      </c>
      <c r="F5567" s="5">
        <v>43922</v>
      </c>
      <c r="G5567">
        <v>-865</v>
      </c>
      <c r="H5567" t="s">
        <v>58</v>
      </c>
    </row>
    <row r="5568" spans="1:8" x14ac:dyDescent="0.3">
      <c r="A5568">
        <v>472</v>
      </c>
      <c r="B5568" s="5">
        <v>43922</v>
      </c>
      <c r="C5568" t="s">
        <v>11</v>
      </c>
      <c r="D5568">
        <v>12</v>
      </c>
      <c r="E5568">
        <v>-845</v>
      </c>
      <c r="F5568" s="5">
        <v>43922</v>
      </c>
      <c r="G5568">
        <v>-12</v>
      </c>
      <c r="H5568" t="s">
        <v>58</v>
      </c>
    </row>
    <row r="5569" spans="1:8" x14ac:dyDescent="0.3">
      <c r="A5569">
        <v>472</v>
      </c>
      <c r="B5569" s="5">
        <v>43925</v>
      </c>
      <c r="C5569" t="s">
        <v>10</v>
      </c>
      <c r="D5569">
        <v>405</v>
      </c>
      <c r="E5569">
        <v>-440</v>
      </c>
      <c r="F5569" s="5">
        <v>43922</v>
      </c>
      <c r="G5569">
        <v>405</v>
      </c>
      <c r="H5569" t="s">
        <v>58</v>
      </c>
    </row>
    <row r="5570" spans="1:8" x14ac:dyDescent="0.3">
      <c r="A5570">
        <v>472</v>
      </c>
      <c r="B5570" s="5">
        <v>43927</v>
      </c>
      <c r="C5570" t="s">
        <v>11</v>
      </c>
      <c r="D5570">
        <v>903</v>
      </c>
      <c r="E5570">
        <v>-1343</v>
      </c>
      <c r="F5570" s="5">
        <v>43922</v>
      </c>
      <c r="G5570">
        <v>-903</v>
      </c>
      <c r="H5570" t="s">
        <v>58</v>
      </c>
    </row>
    <row r="5571" spans="1:8" x14ac:dyDescent="0.3">
      <c r="A5571">
        <v>472</v>
      </c>
      <c r="B5571" s="5">
        <v>43928</v>
      </c>
      <c r="C5571" t="s">
        <v>10</v>
      </c>
      <c r="D5571">
        <v>557</v>
      </c>
      <c r="E5571">
        <v>-786</v>
      </c>
      <c r="F5571" s="5">
        <v>43922</v>
      </c>
      <c r="G5571">
        <v>557</v>
      </c>
      <c r="H5571" t="s">
        <v>58</v>
      </c>
    </row>
    <row r="5572" spans="1:8" x14ac:dyDescent="0.3">
      <c r="A5572">
        <v>472</v>
      </c>
      <c r="B5572" s="5">
        <v>43928</v>
      </c>
      <c r="C5572" t="s">
        <v>10</v>
      </c>
      <c r="D5572">
        <v>115</v>
      </c>
      <c r="E5572">
        <v>-671</v>
      </c>
      <c r="F5572" s="5">
        <v>43922</v>
      </c>
      <c r="G5572">
        <v>115</v>
      </c>
      <c r="H5572" t="s">
        <v>58</v>
      </c>
    </row>
    <row r="5573" spans="1:8" x14ac:dyDescent="0.3">
      <c r="A5573">
        <v>472</v>
      </c>
      <c r="B5573" s="5">
        <v>43929</v>
      </c>
      <c r="C5573" t="s">
        <v>10</v>
      </c>
      <c r="D5573">
        <v>418</v>
      </c>
      <c r="E5573">
        <v>-253</v>
      </c>
      <c r="F5573" s="5">
        <v>43922</v>
      </c>
      <c r="G5573">
        <v>418</v>
      </c>
      <c r="H5573" t="s">
        <v>58</v>
      </c>
    </row>
    <row r="5574" spans="1:8" x14ac:dyDescent="0.3">
      <c r="A5574">
        <v>472</v>
      </c>
      <c r="B5574" s="5">
        <v>43935</v>
      </c>
      <c r="C5574" t="s">
        <v>10</v>
      </c>
      <c r="D5574">
        <v>920</v>
      </c>
      <c r="E5574">
        <v>667</v>
      </c>
      <c r="F5574" s="5">
        <v>43922</v>
      </c>
      <c r="G5574">
        <v>920</v>
      </c>
      <c r="H5574" t="s">
        <v>57</v>
      </c>
    </row>
    <row r="5575" spans="1:8" x14ac:dyDescent="0.3">
      <c r="A5575">
        <v>472</v>
      </c>
      <c r="B5575" s="5">
        <v>43937</v>
      </c>
      <c r="C5575" t="s">
        <v>11</v>
      </c>
      <c r="D5575">
        <v>449</v>
      </c>
      <c r="E5575">
        <v>218</v>
      </c>
      <c r="F5575" s="5">
        <v>43922</v>
      </c>
      <c r="G5575">
        <v>-449</v>
      </c>
      <c r="H5575" t="s">
        <v>57</v>
      </c>
    </row>
    <row r="5576" spans="1:8" x14ac:dyDescent="0.3">
      <c r="A5576">
        <v>473</v>
      </c>
      <c r="B5576" s="5">
        <v>43847</v>
      </c>
      <c r="C5576" t="s">
        <v>10</v>
      </c>
      <c r="D5576">
        <v>657</v>
      </c>
      <c r="E5576">
        <v>657</v>
      </c>
      <c r="F5576" s="5">
        <v>43831</v>
      </c>
      <c r="G5576">
        <v>657</v>
      </c>
      <c r="H5576" t="s">
        <v>57</v>
      </c>
    </row>
    <row r="5577" spans="1:8" x14ac:dyDescent="0.3">
      <c r="A5577">
        <v>473</v>
      </c>
      <c r="B5577" s="5">
        <v>43857</v>
      </c>
      <c r="C5577" t="s">
        <v>10</v>
      </c>
      <c r="D5577">
        <v>909</v>
      </c>
      <c r="E5577">
        <v>1566</v>
      </c>
      <c r="F5577" s="5">
        <v>43831</v>
      </c>
      <c r="G5577">
        <v>909</v>
      </c>
      <c r="H5577" t="s">
        <v>57</v>
      </c>
    </row>
    <row r="5578" spans="1:8" x14ac:dyDescent="0.3">
      <c r="A5578">
        <v>473</v>
      </c>
      <c r="B5578" s="5">
        <v>43859</v>
      </c>
      <c r="C5578" t="s">
        <v>11</v>
      </c>
      <c r="D5578">
        <v>834</v>
      </c>
      <c r="E5578">
        <v>732</v>
      </c>
      <c r="F5578" s="5">
        <v>43831</v>
      </c>
      <c r="G5578">
        <v>-834</v>
      </c>
      <c r="H5578" t="s">
        <v>57</v>
      </c>
    </row>
    <row r="5579" spans="1:8" x14ac:dyDescent="0.3">
      <c r="A5579">
        <v>473</v>
      </c>
      <c r="B5579" s="5">
        <v>43861</v>
      </c>
      <c r="C5579" t="s">
        <v>11</v>
      </c>
      <c r="D5579">
        <v>915</v>
      </c>
      <c r="E5579">
        <v>-183</v>
      </c>
      <c r="F5579" s="5">
        <v>43831</v>
      </c>
      <c r="G5579">
        <v>-915</v>
      </c>
      <c r="H5579" t="s">
        <v>58</v>
      </c>
    </row>
    <row r="5580" spans="1:8" x14ac:dyDescent="0.3">
      <c r="A5580">
        <v>473</v>
      </c>
      <c r="B5580" s="5">
        <v>43867</v>
      </c>
      <c r="C5580" t="s">
        <v>12</v>
      </c>
      <c r="D5580">
        <v>244</v>
      </c>
      <c r="E5580">
        <v>-427</v>
      </c>
      <c r="F5580" s="5">
        <v>43862</v>
      </c>
      <c r="G5580">
        <v>-244</v>
      </c>
      <c r="H5580" t="s">
        <v>58</v>
      </c>
    </row>
    <row r="5581" spans="1:8" x14ac:dyDescent="0.3">
      <c r="A5581">
        <v>473</v>
      </c>
      <c r="B5581" s="5">
        <v>43887</v>
      </c>
      <c r="C5581" t="s">
        <v>12</v>
      </c>
      <c r="D5581">
        <v>437</v>
      </c>
      <c r="E5581">
        <v>-864</v>
      </c>
      <c r="F5581" s="5">
        <v>43862</v>
      </c>
      <c r="G5581">
        <v>-437</v>
      </c>
      <c r="H5581" t="s">
        <v>58</v>
      </c>
    </row>
    <row r="5582" spans="1:8" x14ac:dyDescent="0.3">
      <c r="A5582">
        <v>473</v>
      </c>
      <c r="B5582" s="5">
        <v>43891</v>
      </c>
      <c r="C5582" t="s">
        <v>11</v>
      </c>
      <c r="D5582">
        <v>900</v>
      </c>
      <c r="E5582">
        <v>-1764</v>
      </c>
      <c r="F5582" s="5">
        <v>43891</v>
      </c>
      <c r="G5582">
        <v>-900</v>
      </c>
      <c r="H5582" t="s">
        <v>58</v>
      </c>
    </row>
    <row r="5583" spans="1:8" x14ac:dyDescent="0.3">
      <c r="A5583">
        <v>473</v>
      </c>
      <c r="B5583" s="5">
        <v>43894</v>
      </c>
      <c r="C5583" t="s">
        <v>12</v>
      </c>
      <c r="D5583">
        <v>168</v>
      </c>
      <c r="E5583">
        <v>-1932</v>
      </c>
      <c r="F5583" s="5">
        <v>43891</v>
      </c>
      <c r="G5583">
        <v>-168</v>
      </c>
      <c r="H5583" t="s">
        <v>58</v>
      </c>
    </row>
    <row r="5584" spans="1:8" x14ac:dyDescent="0.3">
      <c r="A5584">
        <v>473</v>
      </c>
      <c r="B5584" s="5">
        <v>43900</v>
      </c>
      <c r="C5584" t="s">
        <v>12</v>
      </c>
      <c r="D5584">
        <v>954</v>
      </c>
      <c r="E5584">
        <v>-2886</v>
      </c>
      <c r="F5584" s="5">
        <v>43891</v>
      </c>
      <c r="G5584">
        <v>-954</v>
      </c>
      <c r="H5584" t="s">
        <v>58</v>
      </c>
    </row>
    <row r="5585" spans="1:8" x14ac:dyDescent="0.3">
      <c r="A5585">
        <v>473</v>
      </c>
      <c r="B5585" s="5">
        <v>43902</v>
      </c>
      <c r="C5585" t="s">
        <v>10</v>
      </c>
      <c r="D5585">
        <v>375</v>
      </c>
      <c r="E5585">
        <v>-2511</v>
      </c>
      <c r="F5585" s="5">
        <v>43891</v>
      </c>
      <c r="G5585">
        <v>375</v>
      </c>
      <c r="H5585" t="s">
        <v>58</v>
      </c>
    </row>
    <row r="5586" spans="1:8" x14ac:dyDescent="0.3">
      <c r="A5586">
        <v>473</v>
      </c>
      <c r="B5586" s="5">
        <v>43906</v>
      </c>
      <c r="C5586" t="s">
        <v>11</v>
      </c>
      <c r="D5586">
        <v>709</v>
      </c>
      <c r="E5586">
        <v>-3220</v>
      </c>
      <c r="F5586" s="5">
        <v>43891</v>
      </c>
      <c r="G5586">
        <v>-709</v>
      </c>
      <c r="H5586" t="s">
        <v>58</v>
      </c>
    </row>
    <row r="5587" spans="1:8" x14ac:dyDescent="0.3">
      <c r="A5587">
        <v>473</v>
      </c>
      <c r="B5587" s="5">
        <v>43918</v>
      </c>
      <c r="C5587" t="s">
        <v>11</v>
      </c>
      <c r="D5587">
        <v>116</v>
      </c>
      <c r="E5587">
        <v>-3336</v>
      </c>
      <c r="F5587" s="5">
        <v>43891</v>
      </c>
      <c r="G5587">
        <v>-116</v>
      </c>
      <c r="H5587" t="s">
        <v>58</v>
      </c>
    </row>
    <row r="5588" spans="1:8" x14ac:dyDescent="0.3">
      <c r="A5588">
        <v>473</v>
      </c>
      <c r="B5588" s="5">
        <v>43920</v>
      </c>
      <c r="C5588" t="s">
        <v>12</v>
      </c>
      <c r="D5588">
        <v>303</v>
      </c>
      <c r="E5588">
        <v>-3639</v>
      </c>
      <c r="F5588" s="5">
        <v>43891</v>
      </c>
      <c r="G5588">
        <v>-303</v>
      </c>
      <c r="H5588" t="s">
        <v>58</v>
      </c>
    </row>
    <row r="5589" spans="1:8" x14ac:dyDescent="0.3">
      <c r="A5589">
        <v>473</v>
      </c>
      <c r="B5589" s="5">
        <v>43921</v>
      </c>
      <c r="C5589" t="s">
        <v>10</v>
      </c>
      <c r="D5589">
        <v>9</v>
      </c>
      <c r="E5589">
        <v>-3630</v>
      </c>
      <c r="F5589" s="5">
        <v>43891</v>
      </c>
      <c r="G5589">
        <v>9</v>
      </c>
      <c r="H5589" t="s">
        <v>58</v>
      </c>
    </row>
    <row r="5590" spans="1:8" x14ac:dyDescent="0.3">
      <c r="A5590">
        <v>473</v>
      </c>
      <c r="B5590" s="5">
        <v>43923</v>
      </c>
      <c r="C5590" t="s">
        <v>11</v>
      </c>
      <c r="D5590">
        <v>578</v>
      </c>
      <c r="E5590">
        <v>-4208</v>
      </c>
      <c r="F5590" s="5">
        <v>43922</v>
      </c>
      <c r="G5590">
        <v>-578</v>
      </c>
      <c r="H5590" t="s">
        <v>58</v>
      </c>
    </row>
    <row r="5591" spans="1:8" x14ac:dyDescent="0.3">
      <c r="A5591">
        <v>473</v>
      </c>
      <c r="B5591" s="5">
        <v>43926</v>
      </c>
      <c r="C5591" t="s">
        <v>12</v>
      </c>
      <c r="D5591">
        <v>721</v>
      </c>
      <c r="E5591">
        <v>-4929</v>
      </c>
      <c r="F5591" s="5">
        <v>43922</v>
      </c>
      <c r="G5591">
        <v>-721</v>
      </c>
      <c r="H5591" t="s">
        <v>58</v>
      </c>
    </row>
    <row r="5592" spans="1:8" x14ac:dyDescent="0.3">
      <c r="A5592">
        <v>473</v>
      </c>
      <c r="B5592" s="5">
        <v>43929</v>
      </c>
      <c r="C5592" t="s">
        <v>12</v>
      </c>
      <c r="D5592">
        <v>843</v>
      </c>
      <c r="E5592">
        <v>-5772</v>
      </c>
      <c r="F5592" s="5">
        <v>43922</v>
      </c>
      <c r="G5592">
        <v>-843</v>
      </c>
      <c r="H5592" t="s">
        <v>58</v>
      </c>
    </row>
    <row r="5593" spans="1:8" x14ac:dyDescent="0.3">
      <c r="A5593">
        <v>474</v>
      </c>
      <c r="B5593" s="5">
        <v>43832</v>
      </c>
      <c r="C5593" t="s">
        <v>10</v>
      </c>
      <c r="D5593">
        <v>928</v>
      </c>
      <c r="E5593">
        <v>928</v>
      </c>
      <c r="F5593" s="5">
        <v>43831</v>
      </c>
      <c r="G5593">
        <v>928</v>
      </c>
      <c r="H5593" t="s">
        <v>57</v>
      </c>
    </row>
    <row r="5594" spans="1:8" x14ac:dyDescent="0.3">
      <c r="A5594">
        <v>474</v>
      </c>
      <c r="B5594" s="5">
        <v>43869</v>
      </c>
      <c r="C5594" t="s">
        <v>12</v>
      </c>
      <c r="D5594">
        <v>789</v>
      </c>
      <c r="E5594">
        <v>139</v>
      </c>
      <c r="F5594" s="5">
        <v>43862</v>
      </c>
      <c r="G5594">
        <v>-789</v>
      </c>
      <c r="H5594" t="s">
        <v>57</v>
      </c>
    </row>
    <row r="5595" spans="1:8" x14ac:dyDescent="0.3">
      <c r="A5595">
        <v>474</v>
      </c>
      <c r="B5595" s="5">
        <v>43898</v>
      </c>
      <c r="C5595" t="s">
        <v>12</v>
      </c>
      <c r="D5595">
        <v>398</v>
      </c>
      <c r="E5595">
        <v>-259</v>
      </c>
      <c r="F5595" s="5">
        <v>43891</v>
      </c>
      <c r="G5595">
        <v>-398</v>
      </c>
      <c r="H5595" t="s">
        <v>58</v>
      </c>
    </row>
    <row r="5596" spans="1:8" x14ac:dyDescent="0.3">
      <c r="A5596">
        <v>475</v>
      </c>
      <c r="B5596" s="5">
        <v>43833</v>
      </c>
      <c r="C5596" t="s">
        <v>10</v>
      </c>
      <c r="D5596">
        <v>552</v>
      </c>
      <c r="E5596">
        <v>552</v>
      </c>
      <c r="F5596" s="5">
        <v>43831</v>
      </c>
      <c r="G5596">
        <v>552</v>
      </c>
      <c r="H5596" t="s">
        <v>57</v>
      </c>
    </row>
    <row r="5597" spans="1:8" x14ac:dyDescent="0.3">
      <c r="A5597">
        <v>475</v>
      </c>
      <c r="B5597" s="5">
        <v>43839</v>
      </c>
      <c r="C5597" t="s">
        <v>10</v>
      </c>
      <c r="D5597">
        <v>713</v>
      </c>
      <c r="E5597">
        <v>1265</v>
      </c>
      <c r="F5597" s="5">
        <v>43831</v>
      </c>
      <c r="G5597">
        <v>713</v>
      </c>
      <c r="H5597" t="s">
        <v>57</v>
      </c>
    </row>
    <row r="5598" spans="1:8" x14ac:dyDescent="0.3">
      <c r="A5598">
        <v>475</v>
      </c>
      <c r="B5598" s="5">
        <v>43840</v>
      </c>
      <c r="C5598" t="s">
        <v>12</v>
      </c>
      <c r="D5598">
        <v>981</v>
      </c>
      <c r="E5598">
        <v>284</v>
      </c>
      <c r="F5598" s="5">
        <v>43831</v>
      </c>
      <c r="G5598">
        <v>-981</v>
      </c>
      <c r="H5598" t="s">
        <v>57</v>
      </c>
    </row>
    <row r="5599" spans="1:8" x14ac:dyDescent="0.3">
      <c r="A5599">
        <v>475</v>
      </c>
      <c r="B5599" s="5">
        <v>43840</v>
      </c>
      <c r="C5599" t="s">
        <v>12</v>
      </c>
      <c r="D5599">
        <v>476</v>
      </c>
      <c r="E5599">
        <v>-192</v>
      </c>
      <c r="F5599" s="5">
        <v>43831</v>
      </c>
      <c r="G5599">
        <v>-476</v>
      </c>
      <c r="H5599" t="s">
        <v>58</v>
      </c>
    </row>
    <row r="5600" spans="1:8" x14ac:dyDescent="0.3">
      <c r="A5600">
        <v>475</v>
      </c>
      <c r="B5600" s="5">
        <v>43847</v>
      </c>
      <c r="C5600" t="s">
        <v>11</v>
      </c>
      <c r="D5600">
        <v>72</v>
      </c>
      <c r="E5600">
        <v>-264</v>
      </c>
      <c r="F5600" s="5">
        <v>43831</v>
      </c>
      <c r="G5600">
        <v>-72</v>
      </c>
      <c r="H5600" t="s">
        <v>58</v>
      </c>
    </row>
    <row r="5601" spans="1:8" x14ac:dyDescent="0.3">
      <c r="A5601">
        <v>475</v>
      </c>
      <c r="B5601" s="5">
        <v>43851</v>
      </c>
      <c r="C5601" t="s">
        <v>10</v>
      </c>
      <c r="D5601">
        <v>525</v>
      </c>
      <c r="E5601">
        <v>261</v>
      </c>
      <c r="F5601" s="5">
        <v>43831</v>
      </c>
      <c r="G5601">
        <v>525</v>
      </c>
      <c r="H5601" t="s">
        <v>57</v>
      </c>
    </row>
    <row r="5602" spans="1:8" x14ac:dyDescent="0.3">
      <c r="A5602">
        <v>475</v>
      </c>
      <c r="B5602" s="5">
        <v>43853</v>
      </c>
      <c r="C5602" t="s">
        <v>12</v>
      </c>
      <c r="D5602">
        <v>849</v>
      </c>
      <c r="E5602">
        <v>-588</v>
      </c>
      <c r="F5602" s="5">
        <v>43831</v>
      </c>
      <c r="G5602">
        <v>-849</v>
      </c>
      <c r="H5602" t="s">
        <v>58</v>
      </c>
    </row>
    <row r="5603" spans="1:8" x14ac:dyDescent="0.3">
      <c r="A5603">
        <v>475</v>
      </c>
      <c r="B5603" s="5">
        <v>43856</v>
      </c>
      <c r="C5603" t="s">
        <v>11</v>
      </c>
      <c r="D5603">
        <v>85</v>
      </c>
      <c r="E5603">
        <v>-673</v>
      </c>
      <c r="F5603" s="5">
        <v>43831</v>
      </c>
      <c r="G5603">
        <v>-85</v>
      </c>
      <c r="H5603" t="s">
        <v>58</v>
      </c>
    </row>
    <row r="5604" spans="1:8" x14ac:dyDescent="0.3">
      <c r="A5604">
        <v>475</v>
      </c>
      <c r="B5604" s="5">
        <v>43872</v>
      </c>
      <c r="C5604" t="s">
        <v>10</v>
      </c>
      <c r="D5604">
        <v>222</v>
      </c>
      <c r="E5604">
        <v>-451</v>
      </c>
      <c r="F5604" s="5">
        <v>43862</v>
      </c>
      <c r="G5604">
        <v>222</v>
      </c>
      <c r="H5604" t="s">
        <v>58</v>
      </c>
    </row>
    <row r="5605" spans="1:8" x14ac:dyDescent="0.3">
      <c r="A5605">
        <v>475</v>
      </c>
      <c r="B5605" s="5">
        <v>43874</v>
      </c>
      <c r="C5605" t="s">
        <v>11</v>
      </c>
      <c r="D5605">
        <v>614</v>
      </c>
      <c r="E5605">
        <v>-1065</v>
      </c>
      <c r="F5605" s="5">
        <v>43862</v>
      </c>
      <c r="G5605">
        <v>-614</v>
      </c>
      <c r="H5605" t="s">
        <v>58</v>
      </c>
    </row>
    <row r="5606" spans="1:8" x14ac:dyDescent="0.3">
      <c r="A5606">
        <v>475</v>
      </c>
      <c r="B5606" s="5">
        <v>43889</v>
      </c>
      <c r="C5606" t="s">
        <v>12</v>
      </c>
      <c r="D5606">
        <v>952</v>
      </c>
      <c r="E5606">
        <v>-2017</v>
      </c>
      <c r="F5606" s="5">
        <v>43862</v>
      </c>
      <c r="G5606">
        <v>-952</v>
      </c>
      <c r="H5606" t="s">
        <v>58</v>
      </c>
    </row>
    <row r="5607" spans="1:8" x14ac:dyDescent="0.3">
      <c r="A5607">
        <v>475</v>
      </c>
      <c r="B5607" s="5">
        <v>43889</v>
      </c>
      <c r="C5607" t="s">
        <v>10</v>
      </c>
      <c r="D5607">
        <v>51</v>
      </c>
      <c r="E5607">
        <v>-1966</v>
      </c>
      <c r="F5607" s="5">
        <v>43862</v>
      </c>
      <c r="G5607">
        <v>51</v>
      </c>
      <c r="H5607" t="s">
        <v>58</v>
      </c>
    </row>
    <row r="5608" spans="1:8" x14ac:dyDescent="0.3">
      <c r="A5608">
        <v>475</v>
      </c>
      <c r="B5608" s="5">
        <v>43891</v>
      </c>
      <c r="C5608" t="s">
        <v>12</v>
      </c>
      <c r="D5608">
        <v>970</v>
      </c>
      <c r="E5608">
        <v>-2936</v>
      </c>
      <c r="F5608" s="5">
        <v>43891</v>
      </c>
      <c r="G5608">
        <v>-970</v>
      </c>
      <c r="H5608" t="s">
        <v>58</v>
      </c>
    </row>
    <row r="5609" spans="1:8" x14ac:dyDescent="0.3">
      <c r="A5609">
        <v>475</v>
      </c>
      <c r="B5609" s="5">
        <v>43893</v>
      </c>
      <c r="C5609" t="s">
        <v>11</v>
      </c>
      <c r="D5609">
        <v>710</v>
      </c>
      <c r="E5609">
        <v>-3646</v>
      </c>
      <c r="F5609" s="5">
        <v>43891</v>
      </c>
      <c r="G5609">
        <v>-710</v>
      </c>
      <c r="H5609" t="s">
        <v>58</v>
      </c>
    </row>
    <row r="5610" spans="1:8" x14ac:dyDescent="0.3">
      <c r="A5610">
        <v>475</v>
      </c>
      <c r="B5610" s="5">
        <v>43895</v>
      </c>
      <c r="C5610" t="s">
        <v>12</v>
      </c>
      <c r="D5610">
        <v>523</v>
      </c>
      <c r="E5610">
        <v>-4169</v>
      </c>
      <c r="F5610" s="5">
        <v>43891</v>
      </c>
      <c r="G5610">
        <v>-523</v>
      </c>
      <c r="H5610" t="s">
        <v>58</v>
      </c>
    </row>
    <row r="5611" spans="1:8" x14ac:dyDescent="0.3">
      <c r="A5611">
        <v>475</v>
      </c>
      <c r="B5611" s="5">
        <v>43906</v>
      </c>
      <c r="C5611" t="s">
        <v>12</v>
      </c>
      <c r="D5611">
        <v>522</v>
      </c>
      <c r="E5611">
        <v>-4691</v>
      </c>
      <c r="F5611" s="5">
        <v>43891</v>
      </c>
      <c r="G5611">
        <v>-522</v>
      </c>
      <c r="H5611" t="s">
        <v>58</v>
      </c>
    </row>
    <row r="5612" spans="1:8" x14ac:dyDescent="0.3">
      <c r="A5612">
        <v>475</v>
      </c>
      <c r="B5612" s="5">
        <v>43909</v>
      </c>
      <c r="C5612" t="s">
        <v>11</v>
      </c>
      <c r="D5612">
        <v>4</v>
      </c>
      <c r="E5612">
        <v>-4695</v>
      </c>
      <c r="F5612" s="5">
        <v>43891</v>
      </c>
      <c r="G5612">
        <v>-4</v>
      </c>
      <c r="H5612" t="s">
        <v>58</v>
      </c>
    </row>
    <row r="5613" spans="1:8" x14ac:dyDescent="0.3">
      <c r="A5613">
        <v>475</v>
      </c>
      <c r="B5613" s="5">
        <v>43910</v>
      </c>
      <c r="C5613" t="s">
        <v>12</v>
      </c>
      <c r="D5613">
        <v>535</v>
      </c>
      <c r="E5613">
        <v>-5230</v>
      </c>
      <c r="F5613" s="5">
        <v>43891</v>
      </c>
      <c r="G5613">
        <v>-535</v>
      </c>
      <c r="H5613" t="s">
        <v>58</v>
      </c>
    </row>
    <row r="5614" spans="1:8" x14ac:dyDescent="0.3">
      <c r="A5614">
        <v>475</v>
      </c>
      <c r="B5614" s="5">
        <v>43914</v>
      </c>
      <c r="C5614" t="s">
        <v>10</v>
      </c>
      <c r="D5614">
        <v>596</v>
      </c>
      <c r="E5614">
        <v>-4634</v>
      </c>
      <c r="F5614" s="5">
        <v>43891</v>
      </c>
      <c r="G5614">
        <v>596</v>
      </c>
      <c r="H5614" t="s">
        <v>58</v>
      </c>
    </row>
    <row r="5615" spans="1:8" x14ac:dyDescent="0.3">
      <c r="A5615">
        <v>475</v>
      </c>
      <c r="B5615" s="5">
        <v>43918</v>
      </c>
      <c r="C5615" t="s">
        <v>11</v>
      </c>
      <c r="D5615">
        <v>439</v>
      </c>
      <c r="E5615">
        <v>-5073</v>
      </c>
      <c r="F5615" s="5">
        <v>43891</v>
      </c>
      <c r="G5615">
        <v>-439</v>
      </c>
      <c r="H5615" t="s">
        <v>58</v>
      </c>
    </row>
    <row r="5616" spans="1:8" x14ac:dyDescent="0.3">
      <c r="A5616">
        <v>476</v>
      </c>
      <c r="B5616" s="5">
        <v>43857</v>
      </c>
      <c r="C5616" t="s">
        <v>10</v>
      </c>
      <c r="D5616">
        <v>392</v>
      </c>
      <c r="E5616">
        <v>392</v>
      </c>
      <c r="F5616" s="5">
        <v>43831</v>
      </c>
      <c r="G5616">
        <v>392</v>
      </c>
      <c r="H5616" t="s">
        <v>57</v>
      </c>
    </row>
    <row r="5617" spans="1:8" x14ac:dyDescent="0.3">
      <c r="A5617">
        <v>476</v>
      </c>
      <c r="B5617" s="5">
        <v>43861</v>
      </c>
      <c r="C5617" t="s">
        <v>12</v>
      </c>
      <c r="D5617">
        <v>868</v>
      </c>
      <c r="E5617">
        <v>-476</v>
      </c>
      <c r="F5617" s="5">
        <v>43831</v>
      </c>
      <c r="G5617">
        <v>-868</v>
      </c>
      <c r="H5617" t="s">
        <v>58</v>
      </c>
    </row>
    <row r="5618" spans="1:8" x14ac:dyDescent="0.3">
      <c r="A5618">
        <v>476</v>
      </c>
      <c r="B5618" s="5">
        <v>43876</v>
      </c>
      <c r="C5618" t="s">
        <v>10</v>
      </c>
      <c r="D5618">
        <v>567</v>
      </c>
      <c r="E5618">
        <v>91</v>
      </c>
      <c r="F5618" s="5">
        <v>43862</v>
      </c>
      <c r="G5618">
        <v>567</v>
      </c>
      <c r="H5618" t="s">
        <v>57</v>
      </c>
    </row>
    <row r="5619" spans="1:8" x14ac:dyDescent="0.3">
      <c r="A5619">
        <v>476</v>
      </c>
      <c r="B5619" s="5">
        <v>43878</v>
      </c>
      <c r="C5619" t="s">
        <v>11</v>
      </c>
      <c r="D5619">
        <v>227</v>
      </c>
      <c r="E5619">
        <v>-136</v>
      </c>
      <c r="F5619" s="5">
        <v>43862</v>
      </c>
      <c r="G5619">
        <v>-227</v>
      </c>
      <c r="H5619" t="s">
        <v>58</v>
      </c>
    </row>
    <row r="5620" spans="1:8" x14ac:dyDescent="0.3">
      <c r="A5620">
        <v>476</v>
      </c>
      <c r="B5620" s="5">
        <v>43878</v>
      </c>
      <c r="C5620" t="s">
        <v>11</v>
      </c>
      <c r="D5620">
        <v>314</v>
      </c>
      <c r="E5620">
        <v>-450</v>
      </c>
      <c r="F5620" s="5">
        <v>43862</v>
      </c>
      <c r="G5620">
        <v>-314</v>
      </c>
      <c r="H5620" t="s">
        <v>58</v>
      </c>
    </row>
    <row r="5621" spans="1:8" x14ac:dyDescent="0.3">
      <c r="A5621">
        <v>476</v>
      </c>
      <c r="B5621" s="5">
        <v>43879</v>
      </c>
      <c r="C5621" t="s">
        <v>11</v>
      </c>
      <c r="D5621">
        <v>826</v>
      </c>
      <c r="E5621">
        <v>-1276</v>
      </c>
      <c r="F5621" s="5">
        <v>43862</v>
      </c>
      <c r="G5621">
        <v>-826</v>
      </c>
      <c r="H5621" t="s">
        <v>58</v>
      </c>
    </row>
    <row r="5622" spans="1:8" x14ac:dyDescent="0.3">
      <c r="A5622">
        <v>476</v>
      </c>
      <c r="B5622" s="5">
        <v>43880</v>
      </c>
      <c r="C5622" t="s">
        <v>11</v>
      </c>
      <c r="D5622">
        <v>689</v>
      </c>
      <c r="E5622">
        <v>-1965</v>
      </c>
      <c r="F5622" s="5">
        <v>43862</v>
      </c>
      <c r="G5622">
        <v>-689</v>
      </c>
      <c r="H5622" t="s">
        <v>58</v>
      </c>
    </row>
    <row r="5623" spans="1:8" x14ac:dyDescent="0.3">
      <c r="A5623">
        <v>476</v>
      </c>
      <c r="B5623" s="5">
        <v>43887</v>
      </c>
      <c r="C5623" t="s">
        <v>12</v>
      </c>
      <c r="D5623">
        <v>507</v>
      </c>
      <c r="E5623">
        <v>-2472</v>
      </c>
      <c r="F5623" s="5">
        <v>43862</v>
      </c>
      <c r="G5623">
        <v>-507</v>
      </c>
      <c r="H5623" t="s">
        <v>58</v>
      </c>
    </row>
    <row r="5624" spans="1:8" x14ac:dyDescent="0.3">
      <c r="A5624">
        <v>476</v>
      </c>
      <c r="B5624" s="5">
        <v>43889</v>
      </c>
      <c r="C5624" t="s">
        <v>10</v>
      </c>
      <c r="D5624">
        <v>469</v>
      </c>
      <c r="E5624">
        <v>-2003</v>
      </c>
      <c r="F5624" s="5">
        <v>43862</v>
      </c>
      <c r="G5624">
        <v>469</v>
      </c>
      <c r="H5624" t="s">
        <v>58</v>
      </c>
    </row>
    <row r="5625" spans="1:8" x14ac:dyDescent="0.3">
      <c r="A5625">
        <v>476</v>
      </c>
      <c r="B5625" s="5">
        <v>43893</v>
      </c>
      <c r="C5625" t="s">
        <v>10</v>
      </c>
      <c r="D5625">
        <v>551</v>
      </c>
      <c r="E5625">
        <v>-1452</v>
      </c>
      <c r="F5625" s="5">
        <v>43891</v>
      </c>
      <c r="G5625">
        <v>551</v>
      </c>
      <c r="H5625" t="s">
        <v>58</v>
      </c>
    </row>
    <row r="5626" spans="1:8" x14ac:dyDescent="0.3">
      <c r="A5626">
        <v>476</v>
      </c>
      <c r="B5626" s="5">
        <v>43900</v>
      </c>
      <c r="C5626" t="s">
        <v>11</v>
      </c>
      <c r="D5626">
        <v>395</v>
      </c>
      <c r="E5626">
        <v>-1847</v>
      </c>
      <c r="F5626" s="5">
        <v>43891</v>
      </c>
      <c r="G5626">
        <v>-395</v>
      </c>
      <c r="H5626" t="s">
        <v>58</v>
      </c>
    </row>
    <row r="5627" spans="1:8" x14ac:dyDescent="0.3">
      <c r="A5627">
        <v>476</v>
      </c>
      <c r="B5627" s="5">
        <v>43911</v>
      </c>
      <c r="C5627" t="s">
        <v>11</v>
      </c>
      <c r="D5627">
        <v>575</v>
      </c>
      <c r="E5627">
        <v>-2422</v>
      </c>
      <c r="F5627" s="5">
        <v>43891</v>
      </c>
      <c r="G5627">
        <v>-575</v>
      </c>
      <c r="H5627" t="s">
        <v>58</v>
      </c>
    </row>
    <row r="5628" spans="1:8" x14ac:dyDescent="0.3">
      <c r="A5628">
        <v>476</v>
      </c>
      <c r="B5628" s="5">
        <v>43919</v>
      </c>
      <c r="C5628" t="s">
        <v>12</v>
      </c>
      <c r="D5628">
        <v>943</v>
      </c>
      <c r="E5628">
        <v>-3365</v>
      </c>
      <c r="F5628" s="5">
        <v>43891</v>
      </c>
      <c r="G5628">
        <v>-943</v>
      </c>
      <c r="H5628" t="s">
        <v>58</v>
      </c>
    </row>
    <row r="5629" spans="1:8" x14ac:dyDescent="0.3">
      <c r="A5629">
        <v>476</v>
      </c>
      <c r="B5629" s="5">
        <v>43925</v>
      </c>
      <c r="C5629" t="s">
        <v>10</v>
      </c>
      <c r="D5629">
        <v>851</v>
      </c>
      <c r="E5629">
        <v>-2514</v>
      </c>
      <c r="F5629" s="5">
        <v>43922</v>
      </c>
      <c r="G5629">
        <v>851</v>
      </c>
      <c r="H5629" t="s">
        <v>58</v>
      </c>
    </row>
    <row r="5630" spans="1:8" x14ac:dyDescent="0.3">
      <c r="A5630">
        <v>476</v>
      </c>
      <c r="B5630" s="5">
        <v>43926</v>
      </c>
      <c r="C5630" t="s">
        <v>11</v>
      </c>
      <c r="D5630">
        <v>581</v>
      </c>
      <c r="E5630">
        <v>-3095</v>
      </c>
      <c r="F5630" s="5">
        <v>43922</v>
      </c>
      <c r="G5630">
        <v>-581</v>
      </c>
      <c r="H5630" t="s">
        <v>58</v>
      </c>
    </row>
    <row r="5631" spans="1:8" x14ac:dyDescent="0.3">
      <c r="A5631">
        <v>476</v>
      </c>
      <c r="B5631" s="5">
        <v>43927</v>
      </c>
      <c r="C5631" t="s">
        <v>11</v>
      </c>
      <c r="D5631">
        <v>916</v>
      </c>
      <c r="E5631">
        <v>-4011</v>
      </c>
      <c r="F5631" s="5">
        <v>43922</v>
      </c>
      <c r="G5631">
        <v>-916</v>
      </c>
      <c r="H5631" t="s">
        <v>58</v>
      </c>
    </row>
    <row r="5632" spans="1:8" x14ac:dyDescent="0.3">
      <c r="A5632">
        <v>476</v>
      </c>
      <c r="B5632" s="5">
        <v>43930</v>
      </c>
      <c r="C5632" t="s">
        <v>12</v>
      </c>
      <c r="D5632">
        <v>338</v>
      </c>
      <c r="E5632">
        <v>-4349</v>
      </c>
      <c r="F5632" s="5">
        <v>43922</v>
      </c>
      <c r="G5632">
        <v>-338</v>
      </c>
      <c r="H5632" t="s">
        <v>58</v>
      </c>
    </row>
    <row r="5633" spans="1:8" x14ac:dyDescent="0.3">
      <c r="A5633">
        <v>476</v>
      </c>
      <c r="B5633" s="5">
        <v>43932</v>
      </c>
      <c r="C5633" t="s">
        <v>11</v>
      </c>
      <c r="D5633">
        <v>654</v>
      </c>
      <c r="E5633">
        <v>-5003</v>
      </c>
      <c r="F5633" s="5">
        <v>43922</v>
      </c>
      <c r="G5633">
        <v>-654</v>
      </c>
      <c r="H5633" t="s">
        <v>58</v>
      </c>
    </row>
    <row r="5634" spans="1:8" x14ac:dyDescent="0.3">
      <c r="A5634">
        <v>476</v>
      </c>
      <c r="B5634" s="5">
        <v>43944</v>
      </c>
      <c r="C5634" t="s">
        <v>11</v>
      </c>
      <c r="D5634">
        <v>898</v>
      </c>
      <c r="E5634">
        <v>-5901</v>
      </c>
      <c r="F5634" s="5">
        <v>43922</v>
      </c>
      <c r="G5634">
        <v>-898</v>
      </c>
      <c r="H5634" t="s">
        <v>58</v>
      </c>
    </row>
    <row r="5635" spans="1:8" x14ac:dyDescent="0.3">
      <c r="A5635">
        <v>476</v>
      </c>
      <c r="B5635" s="5">
        <v>43946</v>
      </c>
      <c r="C5635" t="s">
        <v>10</v>
      </c>
      <c r="D5635">
        <v>929</v>
      </c>
      <c r="E5635">
        <v>-4972</v>
      </c>
      <c r="F5635" s="5">
        <v>43922</v>
      </c>
      <c r="G5635">
        <v>929</v>
      </c>
      <c r="H5635" t="s">
        <v>58</v>
      </c>
    </row>
    <row r="5636" spans="1:8" x14ac:dyDescent="0.3">
      <c r="A5636">
        <v>477</v>
      </c>
      <c r="B5636" s="5">
        <v>43834</v>
      </c>
      <c r="C5636" t="s">
        <v>10</v>
      </c>
      <c r="D5636">
        <v>101</v>
      </c>
      <c r="E5636">
        <v>101</v>
      </c>
      <c r="F5636" s="5">
        <v>43831</v>
      </c>
      <c r="G5636">
        <v>101</v>
      </c>
      <c r="H5636" t="s">
        <v>57</v>
      </c>
    </row>
    <row r="5637" spans="1:8" x14ac:dyDescent="0.3">
      <c r="A5637">
        <v>477</v>
      </c>
      <c r="B5637" s="5">
        <v>43836</v>
      </c>
      <c r="C5637" t="s">
        <v>11</v>
      </c>
      <c r="D5637">
        <v>209</v>
      </c>
      <c r="E5637">
        <v>-108</v>
      </c>
      <c r="F5637" s="5">
        <v>43831</v>
      </c>
      <c r="G5637">
        <v>-209</v>
      </c>
      <c r="H5637" t="s">
        <v>58</v>
      </c>
    </row>
    <row r="5638" spans="1:8" x14ac:dyDescent="0.3">
      <c r="A5638">
        <v>477</v>
      </c>
      <c r="B5638" s="5">
        <v>43838</v>
      </c>
      <c r="C5638" t="s">
        <v>12</v>
      </c>
      <c r="D5638">
        <v>589</v>
      </c>
      <c r="E5638">
        <v>-697</v>
      </c>
      <c r="F5638" s="5">
        <v>43831</v>
      </c>
      <c r="G5638">
        <v>-589</v>
      </c>
      <c r="H5638" t="s">
        <v>58</v>
      </c>
    </row>
    <row r="5639" spans="1:8" x14ac:dyDescent="0.3">
      <c r="A5639">
        <v>477</v>
      </c>
      <c r="B5639" s="5">
        <v>43843</v>
      </c>
      <c r="C5639" t="s">
        <v>12</v>
      </c>
      <c r="D5639">
        <v>894</v>
      </c>
      <c r="E5639">
        <v>-1591</v>
      </c>
      <c r="F5639" s="5">
        <v>43831</v>
      </c>
      <c r="G5639">
        <v>-894</v>
      </c>
      <c r="H5639" t="s">
        <v>58</v>
      </c>
    </row>
    <row r="5640" spans="1:8" x14ac:dyDescent="0.3">
      <c r="A5640">
        <v>477</v>
      </c>
      <c r="B5640" s="5">
        <v>43844</v>
      </c>
      <c r="C5640" t="s">
        <v>11</v>
      </c>
      <c r="D5640">
        <v>235</v>
      </c>
      <c r="E5640">
        <v>-1826</v>
      </c>
      <c r="F5640" s="5">
        <v>43831</v>
      </c>
      <c r="G5640">
        <v>-235</v>
      </c>
      <c r="H5640" t="s">
        <v>58</v>
      </c>
    </row>
    <row r="5641" spans="1:8" x14ac:dyDescent="0.3">
      <c r="A5641">
        <v>477</v>
      </c>
      <c r="B5641" s="5">
        <v>43852</v>
      </c>
      <c r="C5641" t="s">
        <v>12</v>
      </c>
      <c r="D5641">
        <v>429</v>
      </c>
      <c r="E5641">
        <v>-2255</v>
      </c>
      <c r="F5641" s="5">
        <v>43831</v>
      </c>
      <c r="G5641">
        <v>-429</v>
      </c>
      <c r="H5641" t="s">
        <v>58</v>
      </c>
    </row>
    <row r="5642" spans="1:8" x14ac:dyDescent="0.3">
      <c r="A5642">
        <v>477</v>
      </c>
      <c r="B5642" s="5">
        <v>43861</v>
      </c>
      <c r="C5642" t="s">
        <v>12</v>
      </c>
      <c r="D5642">
        <v>351</v>
      </c>
      <c r="E5642">
        <v>-2606</v>
      </c>
      <c r="F5642" s="5">
        <v>43831</v>
      </c>
      <c r="G5642">
        <v>-351</v>
      </c>
      <c r="H5642" t="s">
        <v>58</v>
      </c>
    </row>
    <row r="5643" spans="1:8" x14ac:dyDescent="0.3">
      <c r="A5643">
        <v>477</v>
      </c>
      <c r="B5643" s="5">
        <v>43861</v>
      </c>
      <c r="C5643" t="s">
        <v>11</v>
      </c>
      <c r="D5643">
        <v>428</v>
      </c>
      <c r="E5643">
        <v>-3034</v>
      </c>
      <c r="F5643" s="5">
        <v>43831</v>
      </c>
      <c r="G5643">
        <v>-428</v>
      </c>
      <c r="H5643" t="s">
        <v>58</v>
      </c>
    </row>
    <row r="5644" spans="1:8" x14ac:dyDescent="0.3">
      <c r="A5644">
        <v>477</v>
      </c>
      <c r="B5644" s="5">
        <v>43863</v>
      </c>
      <c r="C5644" t="s">
        <v>12</v>
      </c>
      <c r="D5644">
        <v>274</v>
      </c>
      <c r="E5644">
        <v>-3308</v>
      </c>
      <c r="F5644" s="5">
        <v>43862</v>
      </c>
      <c r="G5644">
        <v>-274</v>
      </c>
      <c r="H5644" t="s">
        <v>58</v>
      </c>
    </row>
    <row r="5645" spans="1:8" x14ac:dyDescent="0.3">
      <c r="A5645">
        <v>477</v>
      </c>
      <c r="B5645" s="5">
        <v>43864</v>
      </c>
      <c r="C5645" t="s">
        <v>12</v>
      </c>
      <c r="D5645">
        <v>193</v>
      </c>
      <c r="E5645">
        <v>-3501</v>
      </c>
      <c r="F5645" s="5">
        <v>43862</v>
      </c>
      <c r="G5645">
        <v>-193</v>
      </c>
      <c r="H5645" t="s">
        <v>58</v>
      </c>
    </row>
    <row r="5646" spans="1:8" x14ac:dyDescent="0.3">
      <c r="A5646">
        <v>477</v>
      </c>
      <c r="B5646" s="5">
        <v>43867</v>
      </c>
      <c r="C5646" t="s">
        <v>12</v>
      </c>
      <c r="D5646">
        <v>935</v>
      </c>
      <c r="E5646">
        <v>-4436</v>
      </c>
      <c r="F5646" s="5">
        <v>43862</v>
      </c>
      <c r="G5646">
        <v>-935</v>
      </c>
      <c r="H5646" t="s">
        <v>58</v>
      </c>
    </row>
    <row r="5647" spans="1:8" x14ac:dyDescent="0.3">
      <c r="A5647">
        <v>477</v>
      </c>
      <c r="B5647" s="5">
        <v>43890</v>
      </c>
      <c r="C5647" t="s">
        <v>11</v>
      </c>
      <c r="D5647">
        <v>156</v>
      </c>
      <c r="E5647">
        <v>-4592</v>
      </c>
      <c r="F5647" s="5">
        <v>43862</v>
      </c>
      <c r="G5647">
        <v>-156</v>
      </c>
      <c r="H5647" t="s">
        <v>58</v>
      </c>
    </row>
    <row r="5648" spans="1:8" x14ac:dyDescent="0.3">
      <c r="A5648">
        <v>477</v>
      </c>
      <c r="B5648" s="5">
        <v>43905</v>
      </c>
      <c r="C5648" t="s">
        <v>12</v>
      </c>
      <c r="D5648">
        <v>531</v>
      </c>
      <c r="E5648">
        <v>-5123</v>
      </c>
      <c r="F5648" s="5">
        <v>43891</v>
      </c>
      <c r="G5648">
        <v>-531</v>
      </c>
      <c r="H5648" t="s">
        <v>58</v>
      </c>
    </row>
    <row r="5649" spans="1:8" x14ac:dyDescent="0.3">
      <c r="A5649">
        <v>477</v>
      </c>
      <c r="B5649" s="5">
        <v>43906</v>
      </c>
      <c r="C5649" t="s">
        <v>10</v>
      </c>
      <c r="D5649">
        <v>624</v>
      </c>
      <c r="E5649">
        <v>-4499</v>
      </c>
      <c r="F5649" s="5">
        <v>43891</v>
      </c>
      <c r="G5649">
        <v>624</v>
      </c>
      <c r="H5649" t="s">
        <v>58</v>
      </c>
    </row>
    <row r="5650" spans="1:8" x14ac:dyDescent="0.3">
      <c r="A5650">
        <v>477</v>
      </c>
      <c r="B5650" s="5">
        <v>43907</v>
      </c>
      <c r="C5650" t="s">
        <v>12</v>
      </c>
      <c r="D5650">
        <v>444</v>
      </c>
      <c r="E5650">
        <v>-4943</v>
      </c>
      <c r="F5650" s="5">
        <v>43891</v>
      </c>
      <c r="G5650">
        <v>-444</v>
      </c>
      <c r="H5650" t="s">
        <v>58</v>
      </c>
    </row>
    <row r="5651" spans="1:8" x14ac:dyDescent="0.3">
      <c r="A5651">
        <v>477</v>
      </c>
      <c r="B5651" s="5">
        <v>43918</v>
      </c>
      <c r="C5651" t="s">
        <v>11</v>
      </c>
      <c r="D5651">
        <v>849</v>
      </c>
      <c r="E5651">
        <v>-5792</v>
      </c>
      <c r="F5651" s="5">
        <v>43891</v>
      </c>
      <c r="G5651">
        <v>-849</v>
      </c>
      <c r="H5651" t="s">
        <v>58</v>
      </c>
    </row>
    <row r="5652" spans="1:8" x14ac:dyDescent="0.3">
      <c r="A5652">
        <v>477</v>
      </c>
      <c r="B5652" s="5">
        <v>43919</v>
      </c>
      <c r="C5652" t="s">
        <v>12</v>
      </c>
      <c r="D5652">
        <v>746</v>
      </c>
      <c r="E5652">
        <v>-6538</v>
      </c>
      <c r="F5652" s="5">
        <v>43891</v>
      </c>
      <c r="G5652">
        <v>-746</v>
      </c>
      <c r="H5652" t="s">
        <v>58</v>
      </c>
    </row>
    <row r="5653" spans="1:8" x14ac:dyDescent="0.3">
      <c r="A5653">
        <v>478</v>
      </c>
      <c r="B5653" s="5">
        <v>43838</v>
      </c>
      <c r="C5653" t="s">
        <v>10</v>
      </c>
      <c r="D5653">
        <v>351</v>
      </c>
      <c r="E5653">
        <v>351</v>
      </c>
      <c r="F5653" s="5">
        <v>43831</v>
      </c>
      <c r="G5653">
        <v>351</v>
      </c>
      <c r="H5653" t="s">
        <v>57</v>
      </c>
    </row>
    <row r="5654" spans="1:8" x14ac:dyDescent="0.3">
      <c r="A5654">
        <v>478</v>
      </c>
      <c r="B5654" s="5">
        <v>43838</v>
      </c>
      <c r="C5654" t="s">
        <v>12</v>
      </c>
      <c r="D5654">
        <v>8</v>
      </c>
      <c r="E5654">
        <v>343</v>
      </c>
      <c r="F5654" s="5">
        <v>43831</v>
      </c>
      <c r="G5654">
        <v>-8</v>
      </c>
      <c r="H5654" t="s">
        <v>57</v>
      </c>
    </row>
    <row r="5655" spans="1:8" x14ac:dyDescent="0.3">
      <c r="A5655">
        <v>478</v>
      </c>
      <c r="B5655" s="5">
        <v>43845</v>
      </c>
      <c r="C5655" t="s">
        <v>11</v>
      </c>
      <c r="D5655">
        <v>88</v>
      </c>
      <c r="E5655">
        <v>255</v>
      </c>
      <c r="F5655" s="5">
        <v>43831</v>
      </c>
      <c r="G5655">
        <v>-88</v>
      </c>
      <c r="H5655" t="s">
        <v>57</v>
      </c>
    </row>
    <row r="5656" spans="1:8" x14ac:dyDescent="0.3">
      <c r="A5656">
        <v>478</v>
      </c>
      <c r="B5656" s="5">
        <v>43856</v>
      </c>
      <c r="C5656" t="s">
        <v>11</v>
      </c>
      <c r="D5656">
        <v>967</v>
      </c>
      <c r="E5656">
        <v>-712</v>
      </c>
      <c r="F5656" s="5">
        <v>43831</v>
      </c>
      <c r="G5656">
        <v>-967</v>
      </c>
      <c r="H5656" t="s">
        <v>58</v>
      </c>
    </row>
    <row r="5657" spans="1:8" x14ac:dyDescent="0.3">
      <c r="A5657">
        <v>478</v>
      </c>
      <c r="B5657" s="5">
        <v>43866</v>
      </c>
      <c r="C5657" t="s">
        <v>10</v>
      </c>
      <c r="D5657">
        <v>844</v>
      </c>
      <c r="E5657">
        <v>132</v>
      </c>
      <c r="F5657" s="5">
        <v>43862</v>
      </c>
      <c r="G5657">
        <v>844</v>
      </c>
      <c r="H5657" t="s">
        <v>57</v>
      </c>
    </row>
    <row r="5658" spans="1:8" x14ac:dyDescent="0.3">
      <c r="A5658">
        <v>478</v>
      </c>
      <c r="B5658" s="5">
        <v>43879</v>
      </c>
      <c r="C5658" t="s">
        <v>10</v>
      </c>
      <c r="D5658">
        <v>968</v>
      </c>
      <c r="E5658">
        <v>1100</v>
      </c>
      <c r="F5658" s="5">
        <v>43862</v>
      </c>
      <c r="G5658">
        <v>968</v>
      </c>
      <c r="H5658" t="s">
        <v>57</v>
      </c>
    </row>
    <row r="5659" spans="1:8" x14ac:dyDescent="0.3">
      <c r="A5659">
        <v>478</v>
      </c>
      <c r="B5659" s="5">
        <v>43883</v>
      </c>
      <c r="C5659" t="s">
        <v>10</v>
      </c>
      <c r="D5659">
        <v>761</v>
      </c>
      <c r="E5659">
        <v>1861</v>
      </c>
      <c r="F5659" s="5">
        <v>43862</v>
      </c>
      <c r="G5659">
        <v>761</v>
      </c>
      <c r="H5659" t="s">
        <v>57</v>
      </c>
    </row>
    <row r="5660" spans="1:8" x14ac:dyDescent="0.3">
      <c r="A5660">
        <v>478</v>
      </c>
      <c r="B5660" s="5">
        <v>43887</v>
      </c>
      <c r="C5660" t="s">
        <v>10</v>
      </c>
      <c r="D5660">
        <v>330</v>
      </c>
      <c r="E5660">
        <v>2191</v>
      </c>
      <c r="F5660" s="5">
        <v>43862</v>
      </c>
      <c r="G5660">
        <v>330</v>
      </c>
      <c r="H5660" t="s">
        <v>57</v>
      </c>
    </row>
    <row r="5661" spans="1:8" x14ac:dyDescent="0.3">
      <c r="A5661">
        <v>478</v>
      </c>
      <c r="B5661" s="5">
        <v>43890</v>
      </c>
      <c r="C5661" t="s">
        <v>10</v>
      </c>
      <c r="D5661">
        <v>87</v>
      </c>
      <c r="E5661">
        <v>2278</v>
      </c>
      <c r="F5661" s="5">
        <v>43862</v>
      </c>
      <c r="G5661">
        <v>87</v>
      </c>
      <c r="H5661" t="s">
        <v>57</v>
      </c>
    </row>
    <row r="5662" spans="1:8" x14ac:dyDescent="0.3">
      <c r="A5662">
        <v>478</v>
      </c>
      <c r="B5662" s="5">
        <v>43893</v>
      </c>
      <c r="C5662" t="s">
        <v>10</v>
      </c>
      <c r="D5662">
        <v>434</v>
      </c>
      <c r="E5662">
        <v>2712</v>
      </c>
      <c r="F5662" s="5">
        <v>43891</v>
      </c>
      <c r="G5662">
        <v>434</v>
      </c>
      <c r="H5662" t="s">
        <v>57</v>
      </c>
    </row>
    <row r="5663" spans="1:8" x14ac:dyDescent="0.3">
      <c r="A5663">
        <v>478</v>
      </c>
      <c r="B5663" s="5">
        <v>43897</v>
      </c>
      <c r="C5663" t="s">
        <v>10</v>
      </c>
      <c r="D5663">
        <v>55</v>
      </c>
      <c r="E5663">
        <v>2767</v>
      </c>
      <c r="F5663" s="5">
        <v>43891</v>
      </c>
      <c r="G5663">
        <v>55</v>
      </c>
      <c r="H5663" t="s">
        <v>57</v>
      </c>
    </row>
    <row r="5664" spans="1:8" x14ac:dyDescent="0.3">
      <c r="A5664">
        <v>478</v>
      </c>
      <c r="B5664" s="5">
        <v>43899</v>
      </c>
      <c r="C5664" t="s">
        <v>12</v>
      </c>
      <c r="D5664">
        <v>680</v>
      </c>
      <c r="E5664">
        <v>2087</v>
      </c>
      <c r="F5664" s="5">
        <v>43891</v>
      </c>
      <c r="G5664">
        <v>-680</v>
      </c>
      <c r="H5664" t="s">
        <v>57</v>
      </c>
    </row>
    <row r="5665" spans="1:8" x14ac:dyDescent="0.3">
      <c r="A5665">
        <v>479</v>
      </c>
      <c r="B5665" s="5">
        <v>43853</v>
      </c>
      <c r="C5665" t="s">
        <v>10</v>
      </c>
      <c r="D5665">
        <v>320</v>
      </c>
      <c r="E5665">
        <v>320</v>
      </c>
      <c r="F5665" s="5">
        <v>43831</v>
      </c>
      <c r="G5665">
        <v>320</v>
      </c>
      <c r="H5665" t="s">
        <v>57</v>
      </c>
    </row>
    <row r="5666" spans="1:8" x14ac:dyDescent="0.3">
      <c r="A5666">
        <v>479</v>
      </c>
      <c r="B5666" s="5">
        <v>43890</v>
      </c>
      <c r="C5666" t="s">
        <v>11</v>
      </c>
      <c r="D5666">
        <v>647</v>
      </c>
      <c r="E5666">
        <v>-327</v>
      </c>
      <c r="F5666" s="5">
        <v>43862</v>
      </c>
      <c r="G5666">
        <v>-647</v>
      </c>
      <c r="H5666" t="s">
        <v>58</v>
      </c>
    </row>
    <row r="5667" spans="1:8" x14ac:dyDescent="0.3">
      <c r="A5667">
        <v>479</v>
      </c>
      <c r="B5667" s="5">
        <v>43921</v>
      </c>
      <c r="C5667" t="s">
        <v>10</v>
      </c>
      <c r="D5667">
        <v>840</v>
      </c>
      <c r="E5667">
        <v>513</v>
      </c>
      <c r="F5667" s="5">
        <v>43891</v>
      </c>
      <c r="G5667">
        <v>840</v>
      </c>
      <c r="H5667" t="s">
        <v>57</v>
      </c>
    </row>
    <row r="5668" spans="1:8" x14ac:dyDescent="0.3">
      <c r="A5668">
        <v>480</v>
      </c>
      <c r="B5668" s="5">
        <v>43859</v>
      </c>
      <c r="C5668" t="s">
        <v>10</v>
      </c>
      <c r="D5668">
        <v>522</v>
      </c>
      <c r="E5668">
        <v>522</v>
      </c>
      <c r="F5668" s="5">
        <v>43831</v>
      </c>
      <c r="G5668">
        <v>522</v>
      </c>
      <c r="H5668" t="s">
        <v>57</v>
      </c>
    </row>
    <row r="5669" spans="1:8" x14ac:dyDescent="0.3">
      <c r="A5669">
        <v>480</v>
      </c>
      <c r="B5669" s="5">
        <v>43912</v>
      </c>
      <c r="C5669" t="s">
        <v>11</v>
      </c>
      <c r="D5669">
        <v>757</v>
      </c>
      <c r="E5669">
        <v>-235</v>
      </c>
      <c r="F5669" s="5">
        <v>43891</v>
      </c>
      <c r="G5669">
        <v>-757</v>
      </c>
      <c r="H5669" t="s">
        <v>58</v>
      </c>
    </row>
    <row r="5670" spans="1:8" x14ac:dyDescent="0.3">
      <c r="A5670">
        <v>480</v>
      </c>
      <c r="B5670" s="5">
        <v>43932</v>
      </c>
      <c r="C5670" t="s">
        <v>10</v>
      </c>
      <c r="D5670">
        <v>553</v>
      </c>
      <c r="E5670">
        <v>318</v>
      </c>
      <c r="F5670" s="5">
        <v>43922</v>
      </c>
      <c r="G5670">
        <v>553</v>
      </c>
      <c r="H5670" t="s">
        <v>57</v>
      </c>
    </row>
    <row r="5671" spans="1:8" x14ac:dyDescent="0.3">
      <c r="A5671">
        <v>480</v>
      </c>
      <c r="B5671" s="5">
        <v>43935</v>
      </c>
      <c r="C5671" t="s">
        <v>11</v>
      </c>
      <c r="D5671">
        <v>478</v>
      </c>
      <c r="E5671">
        <v>-160</v>
      </c>
      <c r="F5671" s="5">
        <v>43922</v>
      </c>
      <c r="G5671">
        <v>-478</v>
      </c>
      <c r="H5671" t="s">
        <v>58</v>
      </c>
    </row>
    <row r="5672" spans="1:8" x14ac:dyDescent="0.3">
      <c r="A5672">
        <v>480</v>
      </c>
      <c r="B5672" s="5">
        <v>43942</v>
      </c>
      <c r="C5672" t="s">
        <v>12</v>
      </c>
      <c r="D5672">
        <v>5</v>
      </c>
      <c r="E5672">
        <v>-165</v>
      </c>
      <c r="F5672" s="5">
        <v>43922</v>
      </c>
      <c r="G5672">
        <v>-5</v>
      </c>
      <c r="H5672" t="s">
        <v>58</v>
      </c>
    </row>
    <row r="5673" spans="1:8" x14ac:dyDescent="0.3">
      <c r="A5673">
        <v>481</v>
      </c>
      <c r="B5673" s="5">
        <v>43832</v>
      </c>
      <c r="C5673" t="s">
        <v>10</v>
      </c>
      <c r="D5673">
        <v>42</v>
      </c>
      <c r="E5673">
        <v>42</v>
      </c>
      <c r="F5673" s="5">
        <v>43831</v>
      </c>
      <c r="G5673">
        <v>42</v>
      </c>
      <c r="H5673" t="s">
        <v>57</v>
      </c>
    </row>
    <row r="5674" spans="1:8" x14ac:dyDescent="0.3">
      <c r="A5674">
        <v>481</v>
      </c>
      <c r="B5674" s="5">
        <v>43838</v>
      </c>
      <c r="C5674" t="s">
        <v>11</v>
      </c>
      <c r="D5674">
        <v>606</v>
      </c>
      <c r="E5674">
        <v>-564</v>
      </c>
      <c r="F5674" s="5">
        <v>43831</v>
      </c>
      <c r="G5674">
        <v>-606</v>
      </c>
      <c r="H5674" t="s">
        <v>58</v>
      </c>
    </row>
    <row r="5675" spans="1:8" x14ac:dyDescent="0.3">
      <c r="A5675">
        <v>481</v>
      </c>
      <c r="B5675" s="5">
        <v>43838</v>
      </c>
      <c r="C5675" t="s">
        <v>11</v>
      </c>
      <c r="D5675">
        <v>790</v>
      </c>
      <c r="E5675">
        <v>-1354</v>
      </c>
      <c r="F5675" s="5">
        <v>43831</v>
      </c>
      <c r="G5675">
        <v>-790</v>
      </c>
      <c r="H5675" t="s">
        <v>58</v>
      </c>
    </row>
    <row r="5676" spans="1:8" x14ac:dyDescent="0.3">
      <c r="A5676">
        <v>481</v>
      </c>
      <c r="B5676" s="5">
        <v>43843</v>
      </c>
      <c r="C5676" t="s">
        <v>12</v>
      </c>
      <c r="D5676">
        <v>42</v>
      </c>
      <c r="E5676">
        <v>-1396</v>
      </c>
      <c r="F5676" s="5">
        <v>43831</v>
      </c>
      <c r="G5676">
        <v>-42</v>
      </c>
      <c r="H5676" t="s">
        <v>58</v>
      </c>
    </row>
    <row r="5677" spans="1:8" x14ac:dyDescent="0.3">
      <c r="A5677">
        <v>481</v>
      </c>
      <c r="B5677" s="5">
        <v>43871</v>
      </c>
      <c r="C5677" t="s">
        <v>12</v>
      </c>
      <c r="D5677">
        <v>879</v>
      </c>
      <c r="E5677">
        <v>-2275</v>
      </c>
      <c r="F5677" s="5">
        <v>43862</v>
      </c>
      <c r="G5677">
        <v>-879</v>
      </c>
      <c r="H5677" t="s">
        <v>58</v>
      </c>
    </row>
    <row r="5678" spans="1:8" x14ac:dyDescent="0.3">
      <c r="A5678">
        <v>481</v>
      </c>
      <c r="B5678" s="5">
        <v>43878</v>
      </c>
      <c r="C5678" t="s">
        <v>12</v>
      </c>
      <c r="D5678">
        <v>123</v>
      </c>
      <c r="E5678">
        <v>-2398</v>
      </c>
      <c r="F5678" s="5">
        <v>43862</v>
      </c>
      <c r="G5678">
        <v>-123</v>
      </c>
      <c r="H5678" t="s">
        <v>58</v>
      </c>
    </row>
    <row r="5679" spans="1:8" x14ac:dyDescent="0.3">
      <c r="A5679">
        <v>481</v>
      </c>
      <c r="B5679" s="5">
        <v>43888</v>
      </c>
      <c r="C5679" t="s">
        <v>11</v>
      </c>
      <c r="D5679">
        <v>507</v>
      </c>
      <c r="E5679">
        <v>-2905</v>
      </c>
      <c r="F5679" s="5">
        <v>43862</v>
      </c>
      <c r="G5679">
        <v>-507</v>
      </c>
      <c r="H5679" t="s">
        <v>58</v>
      </c>
    </row>
    <row r="5680" spans="1:8" x14ac:dyDescent="0.3">
      <c r="A5680">
        <v>481</v>
      </c>
      <c r="B5680" s="5">
        <v>43899</v>
      </c>
      <c r="C5680" t="s">
        <v>12</v>
      </c>
      <c r="D5680">
        <v>431</v>
      </c>
      <c r="E5680">
        <v>-3336</v>
      </c>
      <c r="F5680" s="5">
        <v>43891</v>
      </c>
      <c r="G5680">
        <v>-431</v>
      </c>
      <c r="H5680" t="s">
        <v>58</v>
      </c>
    </row>
    <row r="5681" spans="1:8" x14ac:dyDescent="0.3">
      <c r="A5681">
        <v>481</v>
      </c>
      <c r="B5681" s="5">
        <v>43906</v>
      </c>
      <c r="C5681" t="s">
        <v>12</v>
      </c>
      <c r="D5681">
        <v>179</v>
      </c>
      <c r="E5681">
        <v>-3515</v>
      </c>
      <c r="F5681" s="5">
        <v>43891</v>
      </c>
      <c r="G5681">
        <v>-179</v>
      </c>
      <c r="H5681" t="s">
        <v>58</v>
      </c>
    </row>
    <row r="5682" spans="1:8" x14ac:dyDescent="0.3">
      <c r="A5682">
        <v>481</v>
      </c>
      <c r="B5682" s="5">
        <v>43906</v>
      </c>
      <c r="C5682" t="s">
        <v>12</v>
      </c>
      <c r="D5682">
        <v>726</v>
      </c>
      <c r="E5682">
        <v>-4241</v>
      </c>
      <c r="F5682" s="5">
        <v>43891</v>
      </c>
      <c r="G5682">
        <v>-726</v>
      </c>
      <c r="H5682" t="s">
        <v>58</v>
      </c>
    </row>
    <row r="5683" spans="1:8" x14ac:dyDescent="0.3">
      <c r="A5683">
        <v>481</v>
      </c>
      <c r="B5683" s="5">
        <v>43915</v>
      </c>
      <c r="C5683" t="s">
        <v>10</v>
      </c>
      <c r="D5683">
        <v>39</v>
      </c>
      <c r="E5683">
        <v>-4202</v>
      </c>
      <c r="F5683" s="5">
        <v>43891</v>
      </c>
      <c r="G5683">
        <v>39</v>
      </c>
      <c r="H5683" t="s">
        <v>58</v>
      </c>
    </row>
    <row r="5684" spans="1:8" x14ac:dyDescent="0.3">
      <c r="A5684">
        <v>481</v>
      </c>
      <c r="B5684" s="5">
        <v>43919</v>
      </c>
      <c r="C5684" t="s">
        <v>10</v>
      </c>
      <c r="D5684">
        <v>808</v>
      </c>
      <c r="E5684">
        <v>-3394</v>
      </c>
      <c r="F5684" s="5">
        <v>43891</v>
      </c>
      <c r="G5684">
        <v>808</v>
      </c>
      <c r="H5684" t="s">
        <v>58</v>
      </c>
    </row>
    <row r="5685" spans="1:8" x14ac:dyDescent="0.3">
      <c r="A5685">
        <v>482</v>
      </c>
      <c r="B5685" s="5">
        <v>43831</v>
      </c>
      <c r="C5685" t="s">
        <v>10</v>
      </c>
      <c r="D5685">
        <v>674</v>
      </c>
      <c r="E5685">
        <v>674</v>
      </c>
      <c r="F5685" s="5">
        <v>43831</v>
      </c>
      <c r="G5685">
        <v>674</v>
      </c>
      <c r="H5685" t="s">
        <v>57</v>
      </c>
    </row>
    <row r="5686" spans="1:8" x14ac:dyDescent="0.3">
      <c r="A5686">
        <v>482</v>
      </c>
      <c r="B5686" s="5">
        <v>43836</v>
      </c>
      <c r="C5686" t="s">
        <v>12</v>
      </c>
      <c r="D5686">
        <v>547</v>
      </c>
      <c r="E5686">
        <v>127</v>
      </c>
      <c r="F5686" s="5">
        <v>43831</v>
      </c>
      <c r="G5686">
        <v>-547</v>
      </c>
      <c r="H5686" t="s">
        <v>57</v>
      </c>
    </row>
    <row r="5687" spans="1:8" x14ac:dyDescent="0.3">
      <c r="A5687">
        <v>482</v>
      </c>
      <c r="B5687" s="5">
        <v>43839</v>
      </c>
      <c r="C5687" t="s">
        <v>12</v>
      </c>
      <c r="D5687">
        <v>60</v>
      </c>
      <c r="E5687">
        <v>67</v>
      </c>
      <c r="F5687" s="5">
        <v>43831</v>
      </c>
      <c r="G5687">
        <v>-60</v>
      </c>
      <c r="H5687" t="s">
        <v>57</v>
      </c>
    </row>
    <row r="5688" spans="1:8" x14ac:dyDescent="0.3">
      <c r="A5688">
        <v>482</v>
      </c>
      <c r="B5688" s="5">
        <v>43849</v>
      </c>
      <c r="C5688" t="s">
        <v>10</v>
      </c>
      <c r="D5688">
        <v>764</v>
      </c>
      <c r="E5688">
        <v>831</v>
      </c>
      <c r="F5688" s="5">
        <v>43831</v>
      </c>
      <c r="G5688">
        <v>764</v>
      </c>
      <c r="H5688" t="s">
        <v>57</v>
      </c>
    </row>
    <row r="5689" spans="1:8" x14ac:dyDescent="0.3">
      <c r="A5689">
        <v>482</v>
      </c>
      <c r="B5689" s="5">
        <v>43859</v>
      </c>
      <c r="C5689" t="s">
        <v>12</v>
      </c>
      <c r="D5689">
        <v>445</v>
      </c>
      <c r="E5689">
        <v>386</v>
      </c>
      <c r="F5689" s="5">
        <v>43831</v>
      </c>
      <c r="G5689">
        <v>-445</v>
      </c>
      <c r="H5689" t="s">
        <v>57</v>
      </c>
    </row>
    <row r="5690" spans="1:8" x14ac:dyDescent="0.3">
      <c r="A5690">
        <v>482</v>
      </c>
      <c r="B5690" s="5">
        <v>43865</v>
      </c>
      <c r="C5690" t="s">
        <v>12</v>
      </c>
      <c r="D5690">
        <v>656</v>
      </c>
      <c r="E5690">
        <v>-270</v>
      </c>
      <c r="F5690" s="5">
        <v>43862</v>
      </c>
      <c r="G5690">
        <v>-656</v>
      </c>
      <c r="H5690" t="s">
        <v>58</v>
      </c>
    </row>
    <row r="5691" spans="1:8" x14ac:dyDescent="0.3">
      <c r="A5691">
        <v>482</v>
      </c>
      <c r="B5691" s="5">
        <v>43880</v>
      </c>
      <c r="C5691" t="s">
        <v>12</v>
      </c>
      <c r="D5691">
        <v>26</v>
      </c>
      <c r="E5691">
        <v>-296</v>
      </c>
      <c r="F5691" s="5">
        <v>43862</v>
      </c>
      <c r="G5691">
        <v>-26</v>
      </c>
      <c r="H5691" t="s">
        <v>58</v>
      </c>
    </row>
    <row r="5692" spans="1:8" x14ac:dyDescent="0.3">
      <c r="A5692">
        <v>482</v>
      </c>
      <c r="B5692" s="5">
        <v>43883</v>
      </c>
      <c r="C5692" t="s">
        <v>12</v>
      </c>
      <c r="D5692">
        <v>597</v>
      </c>
      <c r="E5692">
        <v>-893</v>
      </c>
      <c r="F5692" s="5">
        <v>43862</v>
      </c>
      <c r="G5692">
        <v>-597</v>
      </c>
      <c r="H5692" t="s">
        <v>58</v>
      </c>
    </row>
    <row r="5693" spans="1:8" x14ac:dyDescent="0.3">
      <c r="A5693">
        <v>482</v>
      </c>
      <c r="B5693" s="5">
        <v>43886</v>
      </c>
      <c r="C5693" t="s">
        <v>10</v>
      </c>
      <c r="D5693">
        <v>206</v>
      </c>
      <c r="E5693">
        <v>-687</v>
      </c>
      <c r="F5693" s="5">
        <v>43862</v>
      </c>
      <c r="G5693">
        <v>206</v>
      </c>
      <c r="H5693" t="s">
        <v>58</v>
      </c>
    </row>
    <row r="5694" spans="1:8" x14ac:dyDescent="0.3">
      <c r="A5694">
        <v>482</v>
      </c>
      <c r="B5694" s="5">
        <v>43895</v>
      </c>
      <c r="C5694" t="s">
        <v>11</v>
      </c>
      <c r="D5694">
        <v>646</v>
      </c>
      <c r="E5694">
        <v>-1333</v>
      </c>
      <c r="F5694" s="5">
        <v>43891</v>
      </c>
      <c r="G5694">
        <v>-646</v>
      </c>
      <c r="H5694" t="s">
        <v>58</v>
      </c>
    </row>
    <row r="5695" spans="1:8" x14ac:dyDescent="0.3">
      <c r="A5695">
        <v>482</v>
      </c>
      <c r="B5695" s="5">
        <v>43895</v>
      </c>
      <c r="C5695" t="s">
        <v>10</v>
      </c>
      <c r="D5695">
        <v>413</v>
      </c>
      <c r="E5695">
        <v>-920</v>
      </c>
      <c r="F5695" s="5">
        <v>43891</v>
      </c>
      <c r="G5695">
        <v>413</v>
      </c>
      <c r="H5695" t="s">
        <v>58</v>
      </c>
    </row>
    <row r="5696" spans="1:8" x14ac:dyDescent="0.3">
      <c r="A5696">
        <v>482</v>
      </c>
      <c r="B5696" s="5">
        <v>43895</v>
      </c>
      <c r="C5696" t="s">
        <v>12</v>
      </c>
      <c r="D5696">
        <v>336</v>
      </c>
      <c r="E5696">
        <v>-1256</v>
      </c>
      <c r="F5696" s="5">
        <v>43891</v>
      </c>
      <c r="G5696">
        <v>-336</v>
      </c>
      <c r="H5696" t="s">
        <v>58</v>
      </c>
    </row>
    <row r="5697" spans="1:8" x14ac:dyDescent="0.3">
      <c r="A5697">
        <v>483</v>
      </c>
      <c r="B5697" s="5">
        <v>43848</v>
      </c>
      <c r="C5697" t="s">
        <v>10</v>
      </c>
      <c r="D5697">
        <v>481</v>
      </c>
      <c r="E5697">
        <v>481</v>
      </c>
      <c r="F5697" s="5">
        <v>43831</v>
      </c>
      <c r="G5697">
        <v>481</v>
      </c>
      <c r="H5697" t="s">
        <v>57</v>
      </c>
    </row>
    <row r="5698" spans="1:8" x14ac:dyDescent="0.3">
      <c r="A5698">
        <v>483</v>
      </c>
      <c r="B5698" s="5">
        <v>43854</v>
      </c>
      <c r="C5698" t="s">
        <v>10</v>
      </c>
      <c r="D5698">
        <v>588</v>
      </c>
      <c r="E5698">
        <v>1069</v>
      </c>
      <c r="F5698" s="5">
        <v>43831</v>
      </c>
      <c r="G5698">
        <v>588</v>
      </c>
      <c r="H5698" t="s">
        <v>57</v>
      </c>
    </row>
    <row r="5699" spans="1:8" x14ac:dyDescent="0.3">
      <c r="A5699">
        <v>483</v>
      </c>
      <c r="B5699" s="5">
        <v>43854</v>
      </c>
      <c r="C5699" t="s">
        <v>10</v>
      </c>
      <c r="D5699">
        <v>126</v>
      </c>
      <c r="E5699">
        <v>1195</v>
      </c>
      <c r="F5699" s="5">
        <v>43831</v>
      </c>
      <c r="G5699">
        <v>126</v>
      </c>
      <c r="H5699" t="s">
        <v>57</v>
      </c>
    </row>
    <row r="5700" spans="1:8" x14ac:dyDescent="0.3">
      <c r="A5700">
        <v>483</v>
      </c>
      <c r="B5700" s="5">
        <v>43857</v>
      </c>
      <c r="C5700" t="s">
        <v>11</v>
      </c>
      <c r="D5700">
        <v>36</v>
      </c>
      <c r="E5700">
        <v>1159</v>
      </c>
      <c r="F5700" s="5">
        <v>43831</v>
      </c>
      <c r="G5700">
        <v>-36</v>
      </c>
      <c r="H5700" t="s">
        <v>57</v>
      </c>
    </row>
    <row r="5701" spans="1:8" x14ac:dyDescent="0.3">
      <c r="A5701">
        <v>483</v>
      </c>
      <c r="B5701" s="5">
        <v>43860</v>
      </c>
      <c r="C5701" t="s">
        <v>10</v>
      </c>
      <c r="D5701">
        <v>879</v>
      </c>
      <c r="E5701">
        <v>2038</v>
      </c>
      <c r="F5701" s="5">
        <v>43831</v>
      </c>
      <c r="G5701">
        <v>879</v>
      </c>
      <c r="H5701" t="s">
        <v>57</v>
      </c>
    </row>
    <row r="5702" spans="1:8" x14ac:dyDescent="0.3">
      <c r="A5702">
        <v>483</v>
      </c>
      <c r="B5702" s="5">
        <v>43896</v>
      </c>
      <c r="C5702" t="s">
        <v>12</v>
      </c>
      <c r="D5702">
        <v>371</v>
      </c>
      <c r="E5702">
        <v>1667</v>
      </c>
      <c r="F5702" s="5">
        <v>43891</v>
      </c>
      <c r="G5702">
        <v>-371</v>
      </c>
      <c r="H5702" t="s">
        <v>57</v>
      </c>
    </row>
    <row r="5703" spans="1:8" x14ac:dyDescent="0.3">
      <c r="A5703">
        <v>483</v>
      </c>
      <c r="B5703" s="5">
        <v>43896</v>
      </c>
      <c r="C5703" t="s">
        <v>10</v>
      </c>
      <c r="D5703">
        <v>837</v>
      </c>
      <c r="E5703">
        <v>2504</v>
      </c>
      <c r="F5703" s="5">
        <v>43891</v>
      </c>
      <c r="G5703">
        <v>837</v>
      </c>
      <c r="H5703" t="s">
        <v>57</v>
      </c>
    </row>
    <row r="5704" spans="1:8" x14ac:dyDescent="0.3">
      <c r="A5704">
        <v>483</v>
      </c>
      <c r="B5704" s="5">
        <v>43897</v>
      </c>
      <c r="C5704" t="s">
        <v>10</v>
      </c>
      <c r="D5704">
        <v>299</v>
      </c>
      <c r="E5704">
        <v>2803</v>
      </c>
      <c r="F5704" s="5">
        <v>43891</v>
      </c>
      <c r="G5704">
        <v>299</v>
      </c>
      <c r="H5704" t="s">
        <v>57</v>
      </c>
    </row>
    <row r="5705" spans="1:8" x14ac:dyDescent="0.3">
      <c r="A5705">
        <v>483</v>
      </c>
      <c r="B5705" s="5">
        <v>43902</v>
      </c>
      <c r="C5705" t="s">
        <v>12</v>
      </c>
      <c r="D5705">
        <v>892</v>
      </c>
      <c r="E5705">
        <v>1911</v>
      </c>
      <c r="F5705" s="5">
        <v>43891</v>
      </c>
      <c r="G5705">
        <v>-892</v>
      </c>
      <c r="H5705" t="s">
        <v>57</v>
      </c>
    </row>
    <row r="5706" spans="1:8" x14ac:dyDescent="0.3">
      <c r="A5706">
        <v>483</v>
      </c>
      <c r="B5706" s="5">
        <v>43904</v>
      </c>
      <c r="C5706" t="s">
        <v>12</v>
      </c>
      <c r="D5706">
        <v>199</v>
      </c>
      <c r="E5706">
        <v>1712</v>
      </c>
      <c r="F5706" s="5">
        <v>43891</v>
      </c>
      <c r="G5706">
        <v>-199</v>
      </c>
      <c r="H5706" t="s">
        <v>57</v>
      </c>
    </row>
    <row r="5707" spans="1:8" x14ac:dyDescent="0.3">
      <c r="A5707">
        <v>483</v>
      </c>
      <c r="B5707" s="5">
        <v>43918</v>
      </c>
      <c r="C5707" t="s">
        <v>12</v>
      </c>
      <c r="D5707">
        <v>975</v>
      </c>
      <c r="E5707">
        <v>737</v>
      </c>
      <c r="F5707" s="5">
        <v>43891</v>
      </c>
      <c r="G5707">
        <v>-975</v>
      </c>
      <c r="H5707" t="s">
        <v>57</v>
      </c>
    </row>
    <row r="5708" spans="1:8" x14ac:dyDescent="0.3">
      <c r="A5708">
        <v>483</v>
      </c>
      <c r="B5708" s="5">
        <v>43920</v>
      </c>
      <c r="C5708" t="s">
        <v>12</v>
      </c>
      <c r="D5708">
        <v>926</v>
      </c>
      <c r="E5708">
        <v>-189</v>
      </c>
      <c r="F5708" s="5">
        <v>43891</v>
      </c>
      <c r="G5708">
        <v>-926</v>
      </c>
      <c r="H5708" t="s">
        <v>58</v>
      </c>
    </row>
    <row r="5709" spans="1:8" x14ac:dyDescent="0.3">
      <c r="A5709">
        <v>483</v>
      </c>
      <c r="B5709" s="5">
        <v>43924</v>
      </c>
      <c r="C5709" t="s">
        <v>10</v>
      </c>
      <c r="D5709">
        <v>293</v>
      </c>
      <c r="E5709">
        <v>104</v>
      </c>
      <c r="F5709" s="5">
        <v>43922</v>
      </c>
      <c r="G5709">
        <v>293</v>
      </c>
      <c r="H5709" t="s">
        <v>57</v>
      </c>
    </row>
    <row r="5710" spans="1:8" x14ac:dyDescent="0.3">
      <c r="A5710">
        <v>483</v>
      </c>
      <c r="B5710" s="5">
        <v>43935</v>
      </c>
      <c r="C5710" t="s">
        <v>10</v>
      </c>
      <c r="D5710">
        <v>650</v>
      </c>
      <c r="E5710">
        <v>754</v>
      </c>
      <c r="F5710" s="5">
        <v>43922</v>
      </c>
      <c r="G5710">
        <v>650</v>
      </c>
      <c r="H5710" t="s">
        <v>57</v>
      </c>
    </row>
    <row r="5711" spans="1:8" x14ac:dyDescent="0.3">
      <c r="A5711">
        <v>483</v>
      </c>
      <c r="B5711" s="5">
        <v>43936</v>
      </c>
      <c r="C5711" t="s">
        <v>10</v>
      </c>
      <c r="D5711">
        <v>576</v>
      </c>
      <c r="E5711">
        <v>1330</v>
      </c>
      <c r="F5711" s="5">
        <v>43922</v>
      </c>
      <c r="G5711">
        <v>576</v>
      </c>
      <c r="H5711" t="s">
        <v>57</v>
      </c>
    </row>
    <row r="5712" spans="1:8" x14ac:dyDescent="0.3">
      <c r="A5712">
        <v>484</v>
      </c>
      <c r="B5712" s="5">
        <v>43858</v>
      </c>
      <c r="C5712" t="s">
        <v>10</v>
      </c>
      <c r="D5712">
        <v>871</v>
      </c>
      <c r="E5712">
        <v>871</v>
      </c>
      <c r="F5712" s="5">
        <v>43831</v>
      </c>
      <c r="G5712">
        <v>871</v>
      </c>
      <c r="H5712" t="s">
        <v>57</v>
      </c>
    </row>
    <row r="5713" spans="1:8" x14ac:dyDescent="0.3">
      <c r="A5713">
        <v>484</v>
      </c>
      <c r="B5713" s="5">
        <v>43913</v>
      </c>
      <c r="C5713" t="s">
        <v>12</v>
      </c>
      <c r="D5713">
        <v>56</v>
      </c>
      <c r="E5713">
        <v>815</v>
      </c>
      <c r="F5713" s="5">
        <v>43891</v>
      </c>
      <c r="G5713">
        <v>-56</v>
      </c>
      <c r="H5713" t="s">
        <v>57</v>
      </c>
    </row>
    <row r="5714" spans="1:8" x14ac:dyDescent="0.3">
      <c r="A5714">
        <v>484</v>
      </c>
      <c r="B5714" s="5">
        <v>43915</v>
      </c>
      <c r="C5714" t="s">
        <v>10</v>
      </c>
      <c r="D5714">
        <v>981</v>
      </c>
      <c r="E5714">
        <v>1796</v>
      </c>
      <c r="F5714" s="5">
        <v>43891</v>
      </c>
      <c r="G5714">
        <v>981</v>
      </c>
      <c r="H5714" t="s">
        <v>57</v>
      </c>
    </row>
    <row r="5715" spans="1:8" x14ac:dyDescent="0.3">
      <c r="A5715">
        <v>485</v>
      </c>
      <c r="B5715" s="5">
        <v>43833</v>
      </c>
      <c r="C5715" t="s">
        <v>10</v>
      </c>
      <c r="D5715">
        <v>524</v>
      </c>
      <c r="E5715">
        <v>524</v>
      </c>
      <c r="F5715" s="5">
        <v>43831</v>
      </c>
      <c r="G5715">
        <v>524</v>
      </c>
      <c r="H5715" t="s">
        <v>57</v>
      </c>
    </row>
    <row r="5716" spans="1:8" x14ac:dyDescent="0.3">
      <c r="A5716">
        <v>485</v>
      </c>
      <c r="B5716" s="5">
        <v>43851</v>
      </c>
      <c r="C5716" t="s">
        <v>11</v>
      </c>
      <c r="D5716">
        <v>508</v>
      </c>
      <c r="E5716">
        <v>16</v>
      </c>
      <c r="F5716" s="5">
        <v>43831</v>
      </c>
      <c r="G5716">
        <v>-508</v>
      </c>
      <c r="H5716" t="s">
        <v>57</v>
      </c>
    </row>
    <row r="5717" spans="1:8" x14ac:dyDescent="0.3">
      <c r="A5717">
        <v>485</v>
      </c>
      <c r="B5717" s="5">
        <v>43872</v>
      </c>
      <c r="C5717" t="s">
        <v>10</v>
      </c>
      <c r="D5717">
        <v>827</v>
      </c>
      <c r="E5717">
        <v>843</v>
      </c>
      <c r="F5717" s="5">
        <v>43862</v>
      </c>
      <c r="G5717">
        <v>827</v>
      </c>
      <c r="H5717" t="s">
        <v>57</v>
      </c>
    </row>
    <row r="5718" spans="1:8" x14ac:dyDescent="0.3">
      <c r="A5718">
        <v>485</v>
      </c>
      <c r="B5718" s="5">
        <v>43878</v>
      </c>
      <c r="C5718" t="s">
        <v>10</v>
      </c>
      <c r="D5718">
        <v>664</v>
      </c>
      <c r="E5718">
        <v>1507</v>
      </c>
      <c r="F5718" s="5">
        <v>43862</v>
      </c>
      <c r="G5718">
        <v>664</v>
      </c>
      <c r="H5718" t="s">
        <v>57</v>
      </c>
    </row>
    <row r="5719" spans="1:8" x14ac:dyDescent="0.3">
      <c r="A5719">
        <v>485</v>
      </c>
      <c r="B5719" s="5">
        <v>43891</v>
      </c>
      <c r="C5719" t="s">
        <v>10</v>
      </c>
      <c r="D5719">
        <v>877</v>
      </c>
      <c r="E5719">
        <v>2384</v>
      </c>
      <c r="F5719" s="5">
        <v>43891</v>
      </c>
      <c r="G5719">
        <v>877</v>
      </c>
      <c r="H5719" t="s">
        <v>57</v>
      </c>
    </row>
    <row r="5720" spans="1:8" x14ac:dyDescent="0.3">
      <c r="A5720">
        <v>485</v>
      </c>
      <c r="B5720" s="5">
        <v>43904</v>
      </c>
      <c r="C5720" t="s">
        <v>12</v>
      </c>
      <c r="D5720">
        <v>802</v>
      </c>
      <c r="E5720">
        <v>1582</v>
      </c>
      <c r="F5720" s="5">
        <v>43891</v>
      </c>
      <c r="G5720">
        <v>-802</v>
      </c>
      <c r="H5720" t="s">
        <v>57</v>
      </c>
    </row>
    <row r="5721" spans="1:8" x14ac:dyDescent="0.3">
      <c r="A5721">
        <v>485</v>
      </c>
      <c r="B5721" s="5">
        <v>43914</v>
      </c>
      <c r="C5721" t="s">
        <v>10</v>
      </c>
      <c r="D5721">
        <v>620</v>
      </c>
      <c r="E5721">
        <v>2202</v>
      </c>
      <c r="F5721" s="5">
        <v>43891</v>
      </c>
      <c r="G5721">
        <v>620</v>
      </c>
      <c r="H5721" t="s">
        <v>57</v>
      </c>
    </row>
    <row r="5722" spans="1:8" x14ac:dyDescent="0.3">
      <c r="A5722">
        <v>486</v>
      </c>
      <c r="B5722" s="5">
        <v>43841</v>
      </c>
      <c r="C5722" t="s">
        <v>10</v>
      </c>
      <c r="D5722">
        <v>412</v>
      </c>
      <c r="E5722">
        <v>412</v>
      </c>
      <c r="F5722" s="5">
        <v>43831</v>
      </c>
      <c r="G5722">
        <v>412</v>
      </c>
      <c r="H5722" t="s">
        <v>57</v>
      </c>
    </row>
    <row r="5723" spans="1:8" x14ac:dyDescent="0.3">
      <c r="A5723">
        <v>486</v>
      </c>
      <c r="B5723" s="5">
        <v>43851</v>
      </c>
      <c r="C5723" t="s">
        <v>12</v>
      </c>
      <c r="D5723">
        <v>308</v>
      </c>
      <c r="E5723">
        <v>104</v>
      </c>
      <c r="F5723" s="5">
        <v>43831</v>
      </c>
      <c r="G5723">
        <v>-308</v>
      </c>
      <c r="H5723" t="s">
        <v>57</v>
      </c>
    </row>
    <row r="5724" spans="1:8" x14ac:dyDescent="0.3">
      <c r="A5724">
        <v>486</v>
      </c>
      <c r="B5724" s="5">
        <v>43852</v>
      </c>
      <c r="C5724" t="s">
        <v>11</v>
      </c>
      <c r="D5724">
        <v>854</v>
      </c>
      <c r="E5724">
        <v>-750</v>
      </c>
      <c r="F5724" s="5">
        <v>43831</v>
      </c>
      <c r="G5724">
        <v>-854</v>
      </c>
      <c r="H5724" t="s">
        <v>58</v>
      </c>
    </row>
    <row r="5725" spans="1:8" x14ac:dyDescent="0.3">
      <c r="A5725">
        <v>486</v>
      </c>
      <c r="B5725" s="5">
        <v>43860</v>
      </c>
      <c r="C5725" t="s">
        <v>12</v>
      </c>
      <c r="D5725">
        <v>882</v>
      </c>
      <c r="E5725">
        <v>-1632</v>
      </c>
      <c r="F5725" s="5">
        <v>43831</v>
      </c>
      <c r="G5725">
        <v>-882</v>
      </c>
      <c r="H5725" t="s">
        <v>58</v>
      </c>
    </row>
    <row r="5726" spans="1:8" x14ac:dyDescent="0.3">
      <c r="A5726">
        <v>486</v>
      </c>
      <c r="B5726" s="5">
        <v>43869</v>
      </c>
      <c r="C5726" t="s">
        <v>12</v>
      </c>
      <c r="D5726">
        <v>618</v>
      </c>
      <c r="E5726">
        <v>-2250</v>
      </c>
      <c r="F5726" s="5">
        <v>43862</v>
      </c>
      <c r="G5726">
        <v>-618</v>
      </c>
      <c r="H5726" t="s">
        <v>58</v>
      </c>
    </row>
    <row r="5727" spans="1:8" x14ac:dyDescent="0.3">
      <c r="A5727">
        <v>486</v>
      </c>
      <c r="B5727" s="5">
        <v>43900</v>
      </c>
      <c r="C5727" t="s">
        <v>12</v>
      </c>
      <c r="D5727">
        <v>858</v>
      </c>
      <c r="E5727">
        <v>-3108</v>
      </c>
      <c r="F5727" s="5">
        <v>43891</v>
      </c>
      <c r="G5727">
        <v>-858</v>
      </c>
      <c r="H5727" t="s">
        <v>58</v>
      </c>
    </row>
    <row r="5728" spans="1:8" x14ac:dyDescent="0.3">
      <c r="A5728">
        <v>487</v>
      </c>
      <c r="B5728" s="5">
        <v>43845</v>
      </c>
      <c r="C5728" t="s">
        <v>10</v>
      </c>
      <c r="D5728">
        <v>39</v>
      </c>
      <c r="E5728">
        <v>39</v>
      </c>
      <c r="F5728" s="5">
        <v>43831</v>
      </c>
      <c r="G5728">
        <v>39</v>
      </c>
      <c r="H5728" t="s">
        <v>57</v>
      </c>
    </row>
    <row r="5729" spans="1:8" x14ac:dyDescent="0.3">
      <c r="A5729">
        <v>487</v>
      </c>
      <c r="B5729" s="5">
        <v>43847</v>
      </c>
      <c r="C5729" t="s">
        <v>10</v>
      </c>
      <c r="D5729">
        <v>24</v>
      </c>
      <c r="E5729">
        <v>63</v>
      </c>
      <c r="F5729" s="5">
        <v>43831</v>
      </c>
      <c r="G5729">
        <v>24</v>
      </c>
      <c r="H5729" t="s">
        <v>57</v>
      </c>
    </row>
    <row r="5730" spans="1:8" x14ac:dyDescent="0.3">
      <c r="A5730">
        <v>487</v>
      </c>
      <c r="B5730" s="5">
        <v>43848</v>
      </c>
      <c r="C5730" t="s">
        <v>10</v>
      </c>
      <c r="D5730">
        <v>372</v>
      </c>
      <c r="E5730">
        <v>435</v>
      </c>
      <c r="F5730" s="5">
        <v>43831</v>
      </c>
      <c r="G5730">
        <v>372</v>
      </c>
      <c r="H5730" t="s">
        <v>57</v>
      </c>
    </row>
    <row r="5731" spans="1:8" x14ac:dyDescent="0.3">
      <c r="A5731">
        <v>487</v>
      </c>
      <c r="B5731" s="5">
        <v>43855</v>
      </c>
      <c r="C5731" t="s">
        <v>11</v>
      </c>
      <c r="D5731">
        <v>451</v>
      </c>
      <c r="E5731">
        <v>-16</v>
      </c>
      <c r="F5731" s="5">
        <v>43831</v>
      </c>
      <c r="G5731">
        <v>-451</v>
      </c>
      <c r="H5731" t="s">
        <v>58</v>
      </c>
    </row>
    <row r="5732" spans="1:8" x14ac:dyDescent="0.3">
      <c r="A5732">
        <v>487</v>
      </c>
      <c r="B5732" s="5">
        <v>43861</v>
      </c>
      <c r="C5732" t="s">
        <v>11</v>
      </c>
      <c r="D5732">
        <v>556</v>
      </c>
      <c r="E5732">
        <v>-572</v>
      </c>
      <c r="F5732" s="5">
        <v>43831</v>
      </c>
      <c r="G5732">
        <v>-556</v>
      </c>
      <c r="H5732" t="s">
        <v>58</v>
      </c>
    </row>
    <row r="5733" spans="1:8" x14ac:dyDescent="0.3">
      <c r="A5733">
        <v>487</v>
      </c>
      <c r="B5733" s="5">
        <v>43864</v>
      </c>
      <c r="C5733" t="s">
        <v>12</v>
      </c>
      <c r="D5733">
        <v>118</v>
      </c>
      <c r="E5733">
        <v>-690</v>
      </c>
      <c r="F5733" s="5">
        <v>43862</v>
      </c>
      <c r="G5733">
        <v>-118</v>
      </c>
      <c r="H5733" t="s">
        <v>58</v>
      </c>
    </row>
    <row r="5734" spans="1:8" x14ac:dyDescent="0.3">
      <c r="A5734">
        <v>487</v>
      </c>
      <c r="B5734" s="5">
        <v>43866</v>
      </c>
      <c r="C5734" t="s">
        <v>12</v>
      </c>
      <c r="D5734">
        <v>620</v>
      </c>
      <c r="E5734">
        <v>-1310</v>
      </c>
      <c r="F5734" s="5">
        <v>43862</v>
      </c>
      <c r="G5734">
        <v>-620</v>
      </c>
      <c r="H5734" t="s">
        <v>58</v>
      </c>
    </row>
    <row r="5735" spans="1:8" x14ac:dyDescent="0.3">
      <c r="A5735">
        <v>487</v>
      </c>
      <c r="B5735" s="5">
        <v>43866</v>
      </c>
      <c r="C5735" t="s">
        <v>10</v>
      </c>
      <c r="D5735">
        <v>861</v>
      </c>
      <c r="E5735">
        <v>-449</v>
      </c>
      <c r="F5735" s="5">
        <v>43862</v>
      </c>
      <c r="G5735">
        <v>861</v>
      </c>
      <c r="H5735" t="s">
        <v>58</v>
      </c>
    </row>
    <row r="5736" spans="1:8" x14ac:dyDescent="0.3">
      <c r="A5736">
        <v>487</v>
      </c>
      <c r="B5736" s="5">
        <v>43867</v>
      </c>
      <c r="C5736" t="s">
        <v>11</v>
      </c>
      <c r="D5736">
        <v>702</v>
      </c>
      <c r="E5736">
        <v>-1151</v>
      </c>
      <c r="F5736" s="5">
        <v>43862</v>
      </c>
      <c r="G5736">
        <v>-702</v>
      </c>
      <c r="H5736" t="s">
        <v>58</v>
      </c>
    </row>
    <row r="5737" spans="1:8" x14ac:dyDescent="0.3">
      <c r="A5737">
        <v>487</v>
      </c>
      <c r="B5737" s="5">
        <v>43877</v>
      </c>
      <c r="C5737" t="s">
        <v>10</v>
      </c>
      <c r="D5737">
        <v>421</v>
      </c>
      <c r="E5737">
        <v>-730</v>
      </c>
      <c r="F5737" s="5">
        <v>43862</v>
      </c>
      <c r="G5737">
        <v>421</v>
      </c>
      <c r="H5737" t="s">
        <v>58</v>
      </c>
    </row>
    <row r="5738" spans="1:8" x14ac:dyDescent="0.3">
      <c r="A5738">
        <v>487</v>
      </c>
      <c r="B5738" s="5">
        <v>43882</v>
      </c>
      <c r="C5738" t="s">
        <v>10</v>
      </c>
      <c r="D5738">
        <v>165</v>
      </c>
      <c r="E5738">
        <v>-565</v>
      </c>
      <c r="F5738" s="5">
        <v>43862</v>
      </c>
      <c r="G5738">
        <v>165</v>
      </c>
      <c r="H5738" t="s">
        <v>58</v>
      </c>
    </row>
    <row r="5739" spans="1:8" x14ac:dyDescent="0.3">
      <c r="A5739">
        <v>487</v>
      </c>
      <c r="B5739" s="5">
        <v>43883</v>
      </c>
      <c r="C5739" t="s">
        <v>10</v>
      </c>
      <c r="D5739">
        <v>877</v>
      </c>
      <c r="E5739">
        <v>312</v>
      </c>
      <c r="F5739" s="5">
        <v>43862</v>
      </c>
      <c r="G5739">
        <v>877</v>
      </c>
      <c r="H5739" t="s">
        <v>57</v>
      </c>
    </row>
    <row r="5740" spans="1:8" x14ac:dyDescent="0.3">
      <c r="A5740">
        <v>487</v>
      </c>
      <c r="B5740" s="5">
        <v>43914</v>
      </c>
      <c r="C5740" t="s">
        <v>12</v>
      </c>
      <c r="D5740">
        <v>150</v>
      </c>
      <c r="E5740">
        <v>162</v>
      </c>
      <c r="F5740" s="5">
        <v>43891</v>
      </c>
      <c r="G5740">
        <v>-150</v>
      </c>
      <c r="H5740" t="s">
        <v>57</v>
      </c>
    </row>
    <row r="5741" spans="1:8" x14ac:dyDescent="0.3">
      <c r="A5741">
        <v>487</v>
      </c>
      <c r="B5741" s="5">
        <v>43924</v>
      </c>
      <c r="C5741" t="s">
        <v>11</v>
      </c>
      <c r="D5741">
        <v>965</v>
      </c>
      <c r="E5741">
        <v>-803</v>
      </c>
      <c r="F5741" s="5">
        <v>43922</v>
      </c>
      <c r="G5741">
        <v>-965</v>
      </c>
      <c r="H5741" t="s">
        <v>58</v>
      </c>
    </row>
    <row r="5742" spans="1:8" x14ac:dyDescent="0.3">
      <c r="A5742">
        <v>487</v>
      </c>
      <c r="B5742" s="5">
        <v>43932</v>
      </c>
      <c r="C5742" t="s">
        <v>10</v>
      </c>
      <c r="D5742">
        <v>473</v>
      </c>
      <c r="E5742">
        <v>-330</v>
      </c>
      <c r="F5742" s="5">
        <v>43922</v>
      </c>
      <c r="G5742">
        <v>473</v>
      </c>
      <c r="H5742" t="s">
        <v>58</v>
      </c>
    </row>
    <row r="5743" spans="1:8" x14ac:dyDescent="0.3">
      <c r="A5743">
        <v>488</v>
      </c>
      <c r="B5743" s="5">
        <v>43838</v>
      </c>
      <c r="C5743" t="s">
        <v>10</v>
      </c>
      <c r="D5743">
        <v>304</v>
      </c>
      <c r="E5743">
        <v>304</v>
      </c>
      <c r="F5743" s="5">
        <v>43831</v>
      </c>
      <c r="G5743">
        <v>304</v>
      </c>
      <c r="H5743" t="s">
        <v>57</v>
      </c>
    </row>
    <row r="5744" spans="1:8" x14ac:dyDescent="0.3">
      <c r="A5744">
        <v>488</v>
      </c>
      <c r="B5744" s="5">
        <v>43841</v>
      </c>
      <c r="C5744" t="s">
        <v>12</v>
      </c>
      <c r="D5744">
        <v>547</v>
      </c>
      <c r="E5744">
        <v>-243</v>
      </c>
      <c r="F5744" s="5">
        <v>43831</v>
      </c>
      <c r="G5744">
        <v>-547</v>
      </c>
      <c r="H5744" t="s">
        <v>58</v>
      </c>
    </row>
    <row r="5745" spans="1:8" x14ac:dyDescent="0.3">
      <c r="A5745">
        <v>488</v>
      </c>
      <c r="B5745" s="5">
        <v>43865</v>
      </c>
      <c r="C5745" t="s">
        <v>10</v>
      </c>
      <c r="D5745">
        <v>191</v>
      </c>
      <c r="E5745">
        <v>-52</v>
      </c>
      <c r="F5745" s="5">
        <v>43862</v>
      </c>
      <c r="G5745">
        <v>191</v>
      </c>
      <c r="H5745" t="s">
        <v>58</v>
      </c>
    </row>
    <row r="5746" spans="1:8" x14ac:dyDescent="0.3">
      <c r="A5746">
        <v>488</v>
      </c>
      <c r="B5746" s="5">
        <v>43882</v>
      </c>
      <c r="C5746" t="s">
        <v>10</v>
      </c>
      <c r="D5746">
        <v>349</v>
      </c>
      <c r="E5746">
        <v>297</v>
      </c>
      <c r="F5746" s="5">
        <v>43862</v>
      </c>
      <c r="G5746">
        <v>349</v>
      </c>
      <c r="H5746" t="s">
        <v>57</v>
      </c>
    </row>
    <row r="5747" spans="1:8" x14ac:dyDescent="0.3">
      <c r="A5747">
        <v>488</v>
      </c>
      <c r="B5747" s="5">
        <v>43901</v>
      </c>
      <c r="C5747" t="s">
        <v>12</v>
      </c>
      <c r="D5747">
        <v>709</v>
      </c>
      <c r="E5747">
        <v>-412</v>
      </c>
      <c r="F5747" s="5">
        <v>43891</v>
      </c>
      <c r="G5747">
        <v>-709</v>
      </c>
      <c r="H5747" t="s">
        <v>58</v>
      </c>
    </row>
    <row r="5748" spans="1:8" x14ac:dyDescent="0.3">
      <c r="A5748">
        <v>488</v>
      </c>
      <c r="B5748" s="5">
        <v>43922</v>
      </c>
      <c r="C5748" t="s">
        <v>10</v>
      </c>
      <c r="D5748">
        <v>221</v>
      </c>
      <c r="E5748">
        <v>-191</v>
      </c>
      <c r="F5748" s="5">
        <v>43922</v>
      </c>
      <c r="G5748">
        <v>221</v>
      </c>
      <c r="H5748" t="s">
        <v>58</v>
      </c>
    </row>
    <row r="5749" spans="1:8" x14ac:dyDescent="0.3">
      <c r="A5749">
        <v>489</v>
      </c>
      <c r="B5749" s="5">
        <v>43845</v>
      </c>
      <c r="C5749" t="s">
        <v>10</v>
      </c>
      <c r="D5749">
        <v>556</v>
      </c>
      <c r="E5749">
        <v>556</v>
      </c>
      <c r="F5749" s="5">
        <v>43831</v>
      </c>
      <c r="G5749">
        <v>556</v>
      </c>
      <c r="H5749" t="s">
        <v>57</v>
      </c>
    </row>
    <row r="5750" spans="1:8" x14ac:dyDescent="0.3">
      <c r="A5750">
        <v>489</v>
      </c>
      <c r="B5750" s="5">
        <v>43871</v>
      </c>
      <c r="C5750" t="s">
        <v>10</v>
      </c>
      <c r="D5750">
        <v>545</v>
      </c>
      <c r="E5750">
        <v>1101</v>
      </c>
      <c r="F5750" s="5">
        <v>43862</v>
      </c>
      <c r="G5750">
        <v>545</v>
      </c>
      <c r="H5750" t="s">
        <v>57</v>
      </c>
    </row>
    <row r="5751" spans="1:8" x14ac:dyDescent="0.3">
      <c r="A5751">
        <v>489</v>
      </c>
      <c r="B5751" s="5">
        <v>43877</v>
      </c>
      <c r="C5751" t="s">
        <v>11</v>
      </c>
      <c r="D5751">
        <v>603</v>
      </c>
      <c r="E5751">
        <v>498</v>
      </c>
      <c r="F5751" s="5">
        <v>43862</v>
      </c>
      <c r="G5751">
        <v>-603</v>
      </c>
      <c r="H5751" t="s">
        <v>57</v>
      </c>
    </row>
    <row r="5752" spans="1:8" x14ac:dyDescent="0.3">
      <c r="A5752">
        <v>489</v>
      </c>
      <c r="B5752" s="5">
        <v>43878</v>
      </c>
      <c r="C5752" t="s">
        <v>10</v>
      </c>
      <c r="D5752">
        <v>770</v>
      </c>
      <c r="E5752">
        <v>1268</v>
      </c>
      <c r="F5752" s="5">
        <v>43862</v>
      </c>
      <c r="G5752">
        <v>770</v>
      </c>
      <c r="H5752" t="s">
        <v>57</v>
      </c>
    </row>
    <row r="5753" spans="1:8" x14ac:dyDescent="0.3">
      <c r="A5753">
        <v>489</v>
      </c>
      <c r="B5753" s="5">
        <v>43889</v>
      </c>
      <c r="C5753" t="s">
        <v>10</v>
      </c>
      <c r="D5753">
        <v>540</v>
      </c>
      <c r="E5753">
        <v>1808</v>
      </c>
      <c r="F5753" s="5">
        <v>43862</v>
      </c>
      <c r="G5753">
        <v>540</v>
      </c>
      <c r="H5753" t="s">
        <v>57</v>
      </c>
    </row>
    <row r="5754" spans="1:8" x14ac:dyDescent="0.3">
      <c r="A5754">
        <v>489</v>
      </c>
      <c r="B5754" s="5">
        <v>43899</v>
      </c>
      <c r="C5754" t="s">
        <v>10</v>
      </c>
      <c r="D5754">
        <v>912</v>
      </c>
      <c r="E5754">
        <v>2720</v>
      </c>
      <c r="F5754" s="5">
        <v>43891</v>
      </c>
      <c r="G5754">
        <v>912</v>
      </c>
      <c r="H5754" t="s">
        <v>57</v>
      </c>
    </row>
    <row r="5755" spans="1:8" x14ac:dyDescent="0.3">
      <c r="A5755">
        <v>489</v>
      </c>
      <c r="B5755" s="5">
        <v>43900</v>
      </c>
      <c r="C5755" t="s">
        <v>10</v>
      </c>
      <c r="D5755">
        <v>981</v>
      </c>
      <c r="E5755">
        <v>3701</v>
      </c>
      <c r="F5755" s="5">
        <v>43891</v>
      </c>
      <c r="G5755">
        <v>981</v>
      </c>
      <c r="H5755" t="s">
        <v>57</v>
      </c>
    </row>
    <row r="5756" spans="1:8" x14ac:dyDescent="0.3">
      <c r="A5756">
        <v>489</v>
      </c>
      <c r="B5756" s="5">
        <v>43913</v>
      </c>
      <c r="C5756" t="s">
        <v>11</v>
      </c>
      <c r="D5756">
        <v>63</v>
      </c>
      <c r="E5756">
        <v>3638</v>
      </c>
      <c r="F5756" s="5">
        <v>43891</v>
      </c>
      <c r="G5756">
        <v>-63</v>
      </c>
      <c r="H5756" t="s">
        <v>57</v>
      </c>
    </row>
    <row r="5757" spans="1:8" x14ac:dyDescent="0.3">
      <c r="A5757">
        <v>489</v>
      </c>
      <c r="B5757" s="5">
        <v>43916</v>
      </c>
      <c r="C5757" t="s">
        <v>11</v>
      </c>
      <c r="D5757">
        <v>527</v>
      </c>
      <c r="E5757">
        <v>3111</v>
      </c>
      <c r="F5757" s="5">
        <v>43891</v>
      </c>
      <c r="G5757">
        <v>-527</v>
      </c>
      <c r="H5757" t="s">
        <v>57</v>
      </c>
    </row>
    <row r="5758" spans="1:8" x14ac:dyDescent="0.3">
      <c r="A5758">
        <v>489</v>
      </c>
      <c r="B5758" s="5">
        <v>43918</v>
      </c>
      <c r="C5758" t="s">
        <v>10</v>
      </c>
      <c r="D5758">
        <v>231</v>
      </c>
      <c r="E5758">
        <v>3342</v>
      </c>
      <c r="F5758" s="5">
        <v>43891</v>
      </c>
      <c r="G5758">
        <v>231</v>
      </c>
      <c r="H5758" t="s">
        <v>57</v>
      </c>
    </row>
    <row r="5759" spans="1:8" x14ac:dyDescent="0.3">
      <c r="A5759">
        <v>489</v>
      </c>
      <c r="B5759" s="5">
        <v>43926</v>
      </c>
      <c r="C5759" t="s">
        <v>12</v>
      </c>
      <c r="D5759">
        <v>31</v>
      </c>
      <c r="E5759">
        <v>3311</v>
      </c>
      <c r="F5759" s="5">
        <v>43922</v>
      </c>
      <c r="G5759">
        <v>-31</v>
      </c>
      <c r="H5759" t="s">
        <v>57</v>
      </c>
    </row>
    <row r="5760" spans="1:8" x14ac:dyDescent="0.3">
      <c r="A5760">
        <v>489</v>
      </c>
      <c r="B5760" s="5">
        <v>43930</v>
      </c>
      <c r="C5760" t="s">
        <v>10</v>
      </c>
      <c r="D5760">
        <v>673</v>
      </c>
      <c r="E5760">
        <v>3984</v>
      </c>
      <c r="F5760" s="5">
        <v>43922</v>
      </c>
      <c r="G5760">
        <v>673</v>
      </c>
      <c r="H5760" t="s">
        <v>57</v>
      </c>
    </row>
    <row r="5761" spans="1:8" x14ac:dyDescent="0.3">
      <c r="A5761">
        <v>489</v>
      </c>
      <c r="B5761" s="5">
        <v>43931</v>
      </c>
      <c r="C5761" t="s">
        <v>10</v>
      </c>
      <c r="D5761">
        <v>826</v>
      </c>
      <c r="E5761">
        <v>4810</v>
      </c>
      <c r="F5761" s="5">
        <v>43922</v>
      </c>
      <c r="G5761">
        <v>826</v>
      </c>
      <c r="H5761" t="s">
        <v>57</v>
      </c>
    </row>
    <row r="5762" spans="1:8" x14ac:dyDescent="0.3">
      <c r="A5762">
        <v>489</v>
      </c>
      <c r="B5762" s="5">
        <v>43932</v>
      </c>
      <c r="C5762" t="s">
        <v>12</v>
      </c>
      <c r="D5762">
        <v>114</v>
      </c>
      <c r="E5762">
        <v>4696</v>
      </c>
      <c r="F5762" s="5">
        <v>43922</v>
      </c>
      <c r="G5762">
        <v>-114</v>
      </c>
      <c r="H5762" t="s">
        <v>57</v>
      </c>
    </row>
    <row r="5763" spans="1:8" x14ac:dyDescent="0.3">
      <c r="A5763">
        <v>489</v>
      </c>
      <c r="B5763" s="5">
        <v>43932</v>
      </c>
      <c r="C5763" t="s">
        <v>11</v>
      </c>
      <c r="D5763">
        <v>66</v>
      </c>
      <c r="E5763">
        <v>4630</v>
      </c>
      <c r="F5763" s="5">
        <v>43922</v>
      </c>
      <c r="G5763">
        <v>-66</v>
      </c>
      <c r="H5763" t="s">
        <v>57</v>
      </c>
    </row>
    <row r="5764" spans="1:8" x14ac:dyDescent="0.3">
      <c r="A5764">
        <v>489</v>
      </c>
      <c r="B5764" s="5">
        <v>43933</v>
      </c>
      <c r="C5764" t="s">
        <v>10</v>
      </c>
      <c r="D5764">
        <v>523</v>
      </c>
      <c r="E5764">
        <v>5153</v>
      </c>
      <c r="F5764" s="5">
        <v>43922</v>
      </c>
      <c r="G5764">
        <v>523</v>
      </c>
      <c r="H5764" t="s">
        <v>57</v>
      </c>
    </row>
    <row r="5765" spans="1:8" x14ac:dyDescent="0.3">
      <c r="A5765">
        <v>489</v>
      </c>
      <c r="B5765" s="5">
        <v>43933</v>
      </c>
      <c r="C5765" t="s">
        <v>10</v>
      </c>
      <c r="D5765">
        <v>185</v>
      </c>
      <c r="E5765">
        <v>5338</v>
      </c>
      <c r="F5765" s="5">
        <v>43922</v>
      </c>
      <c r="G5765">
        <v>185</v>
      </c>
      <c r="H5765" t="s">
        <v>57</v>
      </c>
    </row>
    <row r="5766" spans="1:8" x14ac:dyDescent="0.3">
      <c r="A5766">
        <v>490</v>
      </c>
      <c r="B5766" s="5">
        <v>43853</v>
      </c>
      <c r="C5766" t="s">
        <v>10</v>
      </c>
      <c r="D5766">
        <v>271</v>
      </c>
      <c r="E5766">
        <v>271</v>
      </c>
      <c r="F5766" s="5">
        <v>43831</v>
      </c>
      <c r="G5766">
        <v>271</v>
      </c>
      <c r="H5766" t="s">
        <v>57</v>
      </c>
    </row>
    <row r="5767" spans="1:8" x14ac:dyDescent="0.3">
      <c r="A5767">
        <v>490</v>
      </c>
      <c r="B5767" s="5">
        <v>43886</v>
      </c>
      <c r="C5767" t="s">
        <v>10</v>
      </c>
      <c r="D5767">
        <v>447</v>
      </c>
      <c r="E5767">
        <v>718</v>
      </c>
      <c r="F5767" s="5">
        <v>43862</v>
      </c>
      <c r="G5767">
        <v>447</v>
      </c>
      <c r="H5767" t="s">
        <v>57</v>
      </c>
    </row>
    <row r="5768" spans="1:8" x14ac:dyDescent="0.3">
      <c r="A5768">
        <v>490</v>
      </c>
      <c r="B5768" s="5">
        <v>43889</v>
      </c>
      <c r="C5768" t="s">
        <v>11</v>
      </c>
      <c r="D5768">
        <v>376</v>
      </c>
      <c r="E5768">
        <v>342</v>
      </c>
      <c r="F5768" s="5">
        <v>43862</v>
      </c>
      <c r="G5768">
        <v>-376</v>
      </c>
      <c r="H5768" t="s">
        <v>57</v>
      </c>
    </row>
    <row r="5769" spans="1:8" x14ac:dyDescent="0.3">
      <c r="A5769">
        <v>490</v>
      </c>
      <c r="B5769" s="5">
        <v>43928</v>
      </c>
      <c r="C5769" t="s">
        <v>11</v>
      </c>
      <c r="D5769">
        <v>318</v>
      </c>
      <c r="E5769">
        <v>24</v>
      </c>
      <c r="F5769" s="5">
        <v>43922</v>
      </c>
      <c r="G5769">
        <v>-318</v>
      </c>
      <c r="H5769" t="s">
        <v>57</v>
      </c>
    </row>
    <row r="5770" spans="1:8" x14ac:dyDescent="0.3">
      <c r="A5770">
        <v>491</v>
      </c>
      <c r="B5770" s="5">
        <v>43838</v>
      </c>
      <c r="C5770" t="s">
        <v>10</v>
      </c>
      <c r="D5770">
        <v>18</v>
      </c>
      <c r="E5770">
        <v>18</v>
      </c>
      <c r="F5770" s="5">
        <v>43831</v>
      </c>
      <c r="G5770">
        <v>18</v>
      </c>
      <c r="H5770" t="s">
        <v>57</v>
      </c>
    </row>
    <row r="5771" spans="1:8" x14ac:dyDescent="0.3">
      <c r="A5771">
        <v>491</v>
      </c>
      <c r="B5771" s="5">
        <v>43849</v>
      </c>
      <c r="C5771" t="s">
        <v>12</v>
      </c>
      <c r="D5771">
        <v>837</v>
      </c>
      <c r="E5771">
        <v>-819</v>
      </c>
      <c r="F5771" s="5">
        <v>43831</v>
      </c>
      <c r="G5771">
        <v>-837</v>
      </c>
      <c r="H5771" t="s">
        <v>58</v>
      </c>
    </row>
    <row r="5772" spans="1:8" x14ac:dyDescent="0.3">
      <c r="A5772">
        <v>491</v>
      </c>
      <c r="B5772" s="5">
        <v>43857</v>
      </c>
      <c r="C5772" t="s">
        <v>10</v>
      </c>
      <c r="D5772">
        <v>943</v>
      </c>
      <c r="E5772">
        <v>124</v>
      </c>
      <c r="F5772" s="5">
        <v>43831</v>
      </c>
      <c r="G5772">
        <v>943</v>
      </c>
      <c r="H5772" t="s">
        <v>57</v>
      </c>
    </row>
    <row r="5773" spans="1:8" x14ac:dyDescent="0.3">
      <c r="A5773">
        <v>491</v>
      </c>
      <c r="B5773" s="5">
        <v>43860</v>
      </c>
      <c r="C5773" t="s">
        <v>11</v>
      </c>
      <c r="D5773">
        <v>127</v>
      </c>
      <c r="E5773">
        <v>-3</v>
      </c>
      <c r="F5773" s="5">
        <v>43831</v>
      </c>
      <c r="G5773">
        <v>-127</v>
      </c>
      <c r="H5773" t="s">
        <v>58</v>
      </c>
    </row>
    <row r="5774" spans="1:8" x14ac:dyDescent="0.3">
      <c r="A5774">
        <v>491</v>
      </c>
      <c r="B5774" s="5">
        <v>43868</v>
      </c>
      <c r="C5774" t="s">
        <v>10</v>
      </c>
      <c r="D5774">
        <v>3</v>
      </c>
      <c r="E5774">
        <v>0</v>
      </c>
      <c r="F5774" s="5">
        <v>43862</v>
      </c>
      <c r="G5774">
        <v>3</v>
      </c>
      <c r="H5774" t="s">
        <v>57</v>
      </c>
    </row>
    <row r="5775" spans="1:8" x14ac:dyDescent="0.3">
      <c r="A5775">
        <v>491</v>
      </c>
      <c r="B5775" s="5">
        <v>43870</v>
      </c>
      <c r="C5775" t="s">
        <v>10</v>
      </c>
      <c r="D5775">
        <v>442</v>
      </c>
      <c r="E5775">
        <v>442</v>
      </c>
      <c r="F5775" s="5">
        <v>43862</v>
      </c>
      <c r="G5775">
        <v>442</v>
      </c>
      <c r="H5775" t="s">
        <v>57</v>
      </c>
    </row>
    <row r="5776" spans="1:8" x14ac:dyDescent="0.3">
      <c r="A5776">
        <v>491</v>
      </c>
      <c r="B5776" s="5">
        <v>43872</v>
      </c>
      <c r="C5776" t="s">
        <v>12</v>
      </c>
      <c r="D5776">
        <v>656</v>
      </c>
      <c r="E5776">
        <v>-214</v>
      </c>
      <c r="F5776" s="5">
        <v>43862</v>
      </c>
      <c r="G5776">
        <v>-656</v>
      </c>
      <c r="H5776" t="s">
        <v>58</v>
      </c>
    </row>
    <row r="5777" spans="1:8" x14ac:dyDescent="0.3">
      <c r="A5777">
        <v>491</v>
      </c>
      <c r="B5777" s="5">
        <v>43885</v>
      </c>
      <c r="C5777" t="s">
        <v>10</v>
      </c>
      <c r="D5777">
        <v>512</v>
      </c>
      <c r="E5777">
        <v>298</v>
      </c>
      <c r="F5777" s="5">
        <v>43862</v>
      </c>
      <c r="G5777">
        <v>512</v>
      </c>
      <c r="H5777" t="s">
        <v>57</v>
      </c>
    </row>
    <row r="5778" spans="1:8" x14ac:dyDescent="0.3">
      <c r="A5778">
        <v>491</v>
      </c>
      <c r="B5778" s="5">
        <v>43894</v>
      </c>
      <c r="C5778" t="s">
        <v>12</v>
      </c>
      <c r="D5778">
        <v>334</v>
      </c>
      <c r="E5778">
        <v>-36</v>
      </c>
      <c r="F5778" s="5">
        <v>43891</v>
      </c>
      <c r="G5778">
        <v>-334</v>
      </c>
      <c r="H5778" t="s">
        <v>58</v>
      </c>
    </row>
    <row r="5779" spans="1:8" x14ac:dyDescent="0.3">
      <c r="A5779">
        <v>491</v>
      </c>
      <c r="B5779" s="5">
        <v>43894</v>
      </c>
      <c r="C5779" t="s">
        <v>12</v>
      </c>
      <c r="D5779">
        <v>921</v>
      </c>
      <c r="E5779">
        <v>-957</v>
      </c>
      <c r="F5779" s="5">
        <v>43891</v>
      </c>
      <c r="G5779">
        <v>-921</v>
      </c>
      <c r="H5779" t="s">
        <v>58</v>
      </c>
    </row>
    <row r="5780" spans="1:8" x14ac:dyDescent="0.3">
      <c r="A5780">
        <v>491</v>
      </c>
      <c r="B5780" s="5">
        <v>43898</v>
      </c>
      <c r="C5780" t="s">
        <v>11</v>
      </c>
      <c r="D5780">
        <v>526</v>
      </c>
      <c r="E5780">
        <v>-1483</v>
      </c>
      <c r="F5780" s="5">
        <v>43891</v>
      </c>
      <c r="G5780">
        <v>-526</v>
      </c>
      <c r="H5780" t="s">
        <v>58</v>
      </c>
    </row>
    <row r="5781" spans="1:8" x14ac:dyDescent="0.3">
      <c r="A5781">
        <v>491</v>
      </c>
      <c r="B5781" s="5">
        <v>43902</v>
      </c>
      <c r="C5781" t="s">
        <v>10</v>
      </c>
      <c r="D5781">
        <v>892</v>
      </c>
      <c r="E5781">
        <v>-591</v>
      </c>
      <c r="F5781" s="5">
        <v>43891</v>
      </c>
      <c r="G5781">
        <v>892</v>
      </c>
      <c r="H5781" t="s">
        <v>58</v>
      </c>
    </row>
    <row r="5782" spans="1:8" x14ac:dyDescent="0.3">
      <c r="A5782">
        <v>491</v>
      </c>
      <c r="B5782" s="5">
        <v>43908</v>
      </c>
      <c r="C5782" t="s">
        <v>12</v>
      </c>
      <c r="D5782">
        <v>759</v>
      </c>
      <c r="E5782">
        <v>-1350</v>
      </c>
      <c r="F5782" s="5">
        <v>43891</v>
      </c>
      <c r="G5782">
        <v>-759</v>
      </c>
      <c r="H5782" t="s">
        <v>58</v>
      </c>
    </row>
    <row r="5783" spans="1:8" x14ac:dyDescent="0.3">
      <c r="A5783">
        <v>491</v>
      </c>
      <c r="B5783" s="5">
        <v>43918</v>
      </c>
      <c r="C5783" t="s">
        <v>11</v>
      </c>
      <c r="D5783">
        <v>969</v>
      </c>
      <c r="E5783">
        <v>-2319</v>
      </c>
      <c r="F5783" s="5">
        <v>43891</v>
      </c>
      <c r="G5783">
        <v>-969</v>
      </c>
      <c r="H5783" t="s">
        <v>58</v>
      </c>
    </row>
    <row r="5784" spans="1:8" x14ac:dyDescent="0.3">
      <c r="A5784">
        <v>492</v>
      </c>
      <c r="B5784" s="5">
        <v>43835</v>
      </c>
      <c r="C5784" t="s">
        <v>10</v>
      </c>
      <c r="D5784">
        <v>812</v>
      </c>
      <c r="E5784">
        <v>812</v>
      </c>
      <c r="F5784" s="5">
        <v>43831</v>
      </c>
      <c r="G5784">
        <v>812</v>
      </c>
      <c r="H5784" t="s">
        <v>57</v>
      </c>
    </row>
    <row r="5785" spans="1:8" x14ac:dyDescent="0.3">
      <c r="A5785">
        <v>492</v>
      </c>
      <c r="B5785" s="5">
        <v>43840</v>
      </c>
      <c r="C5785" t="s">
        <v>11</v>
      </c>
      <c r="D5785">
        <v>881</v>
      </c>
      <c r="E5785">
        <v>-69</v>
      </c>
      <c r="F5785" s="5">
        <v>43831</v>
      </c>
      <c r="G5785">
        <v>-881</v>
      </c>
      <c r="H5785" t="s">
        <v>58</v>
      </c>
    </row>
    <row r="5786" spans="1:8" x14ac:dyDescent="0.3">
      <c r="A5786">
        <v>492</v>
      </c>
      <c r="B5786" s="5">
        <v>43843</v>
      </c>
      <c r="C5786" t="s">
        <v>11</v>
      </c>
      <c r="D5786">
        <v>368</v>
      </c>
      <c r="E5786">
        <v>-437</v>
      </c>
      <c r="F5786" s="5">
        <v>43831</v>
      </c>
      <c r="G5786">
        <v>-368</v>
      </c>
      <c r="H5786" t="s">
        <v>58</v>
      </c>
    </row>
    <row r="5787" spans="1:8" x14ac:dyDescent="0.3">
      <c r="A5787">
        <v>492</v>
      </c>
      <c r="B5787" s="5">
        <v>43849</v>
      </c>
      <c r="C5787" t="s">
        <v>12</v>
      </c>
      <c r="D5787">
        <v>418</v>
      </c>
      <c r="E5787">
        <v>-855</v>
      </c>
      <c r="F5787" s="5">
        <v>43831</v>
      </c>
      <c r="G5787">
        <v>-418</v>
      </c>
      <c r="H5787" t="s">
        <v>58</v>
      </c>
    </row>
    <row r="5788" spans="1:8" x14ac:dyDescent="0.3">
      <c r="A5788">
        <v>492</v>
      </c>
      <c r="B5788" s="5">
        <v>43857</v>
      </c>
      <c r="C5788" t="s">
        <v>11</v>
      </c>
      <c r="D5788">
        <v>999</v>
      </c>
      <c r="E5788">
        <v>-1854</v>
      </c>
      <c r="F5788" s="5">
        <v>43831</v>
      </c>
      <c r="G5788">
        <v>-999</v>
      </c>
      <c r="H5788" t="s">
        <v>58</v>
      </c>
    </row>
    <row r="5789" spans="1:8" x14ac:dyDescent="0.3">
      <c r="A5789">
        <v>492</v>
      </c>
      <c r="B5789" s="5">
        <v>43859</v>
      </c>
      <c r="C5789" t="s">
        <v>10</v>
      </c>
      <c r="D5789">
        <v>171</v>
      </c>
      <c r="E5789">
        <v>-1683</v>
      </c>
      <c r="F5789" s="5">
        <v>43831</v>
      </c>
      <c r="G5789">
        <v>171</v>
      </c>
      <c r="H5789" t="s">
        <v>58</v>
      </c>
    </row>
    <row r="5790" spans="1:8" x14ac:dyDescent="0.3">
      <c r="A5790">
        <v>492</v>
      </c>
      <c r="B5790" s="5">
        <v>43860</v>
      </c>
      <c r="C5790" t="s">
        <v>10</v>
      </c>
      <c r="D5790">
        <v>945</v>
      </c>
      <c r="E5790">
        <v>-738</v>
      </c>
      <c r="F5790" s="5">
        <v>43831</v>
      </c>
      <c r="G5790">
        <v>945</v>
      </c>
      <c r="H5790" t="s">
        <v>58</v>
      </c>
    </row>
    <row r="5791" spans="1:8" x14ac:dyDescent="0.3">
      <c r="A5791">
        <v>492</v>
      </c>
      <c r="B5791" s="5">
        <v>43876</v>
      </c>
      <c r="C5791" t="s">
        <v>12</v>
      </c>
      <c r="D5791">
        <v>674</v>
      </c>
      <c r="E5791">
        <v>-1412</v>
      </c>
      <c r="F5791" s="5">
        <v>43862</v>
      </c>
      <c r="G5791">
        <v>-674</v>
      </c>
      <c r="H5791" t="s">
        <v>58</v>
      </c>
    </row>
    <row r="5792" spans="1:8" x14ac:dyDescent="0.3">
      <c r="A5792">
        <v>492</v>
      </c>
      <c r="B5792" s="5">
        <v>43889</v>
      </c>
      <c r="C5792" t="s">
        <v>10</v>
      </c>
      <c r="D5792">
        <v>13</v>
      </c>
      <c r="E5792">
        <v>-1399</v>
      </c>
      <c r="F5792" s="5">
        <v>43862</v>
      </c>
      <c r="G5792">
        <v>13</v>
      </c>
      <c r="H5792" t="s">
        <v>58</v>
      </c>
    </row>
    <row r="5793" spans="1:8" x14ac:dyDescent="0.3">
      <c r="A5793">
        <v>492</v>
      </c>
      <c r="B5793" s="5">
        <v>43897</v>
      </c>
      <c r="C5793" t="s">
        <v>11</v>
      </c>
      <c r="D5793">
        <v>32</v>
      </c>
      <c r="E5793">
        <v>-1431</v>
      </c>
      <c r="F5793" s="5">
        <v>43891</v>
      </c>
      <c r="G5793">
        <v>-32</v>
      </c>
      <c r="H5793" t="s">
        <v>58</v>
      </c>
    </row>
    <row r="5794" spans="1:8" x14ac:dyDescent="0.3">
      <c r="A5794">
        <v>492</v>
      </c>
      <c r="B5794" s="5">
        <v>43899</v>
      </c>
      <c r="C5794" t="s">
        <v>11</v>
      </c>
      <c r="D5794">
        <v>53</v>
      </c>
      <c r="E5794">
        <v>-1484</v>
      </c>
      <c r="F5794" s="5">
        <v>43891</v>
      </c>
      <c r="G5794">
        <v>-53</v>
      </c>
      <c r="H5794" t="s">
        <v>58</v>
      </c>
    </row>
    <row r="5795" spans="1:8" x14ac:dyDescent="0.3">
      <c r="A5795">
        <v>492</v>
      </c>
      <c r="B5795" s="5">
        <v>43900</v>
      </c>
      <c r="C5795" t="s">
        <v>10</v>
      </c>
      <c r="D5795">
        <v>299</v>
      </c>
      <c r="E5795">
        <v>-1185</v>
      </c>
      <c r="F5795" s="5">
        <v>43891</v>
      </c>
      <c r="G5795">
        <v>299</v>
      </c>
      <c r="H5795" t="s">
        <v>58</v>
      </c>
    </row>
    <row r="5796" spans="1:8" x14ac:dyDescent="0.3">
      <c r="A5796">
        <v>492</v>
      </c>
      <c r="B5796" s="5">
        <v>43904</v>
      </c>
      <c r="C5796" t="s">
        <v>12</v>
      </c>
      <c r="D5796">
        <v>367</v>
      </c>
      <c r="E5796">
        <v>-1552</v>
      </c>
      <c r="F5796" s="5">
        <v>43891</v>
      </c>
      <c r="G5796">
        <v>-367</v>
      </c>
      <c r="H5796" t="s">
        <v>58</v>
      </c>
    </row>
    <row r="5797" spans="1:8" x14ac:dyDescent="0.3">
      <c r="A5797">
        <v>492</v>
      </c>
      <c r="B5797" s="5">
        <v>43917</v>
      </c>
      <c r="C5797" t="s">
        <v>12</v>
      </c>
      <c r="D5797">
        <v>581</v>
      </c>
      <c r="E5797">
        <v>-2133</v>
      </c>
      <c r="F5797" s="5">
        <v>43891</v>
      </c>
      <c r="G5797">
        <v>-581</v>
      </c>
      <c r="H5797" t="s">
        <v>58</v>
      </c>
    </row>
    <row r="5798" spans="1:8" x14ac:dyDescent="0.3">
      <c r="A5798">
        <v>493</v>
      </c>
      <c r="B5798" s="5">
        <v>43845</v>
      </c>
      <c r="C5798" t="s">
        <v>10</v>
      </c>
      <c r="D5798">
        <v>845</v>
      </c>
      <c r="E5798">
        <v>845</v>
      </c>
      <c r="F5798" s="5">
        <v>43831</v>
      </c>
      <c r="G5798">
        <v>845</v>
      </c>
      <c r="H5798" t="s">
        <v>57</v>
      </c>
    </row>
    <row r="5799" spans="1:8" x14ac:dyDescent="0.3">
      <c r="A5799">
        <v>493</v>
      </c>
      <c r="B5799" s="5">
        <v>43875</v>
      </c>
      <c r="C5799" t="s">
        <v>12</v>
      </c>
      <c r="D5799">
        <v>483</v>
      </c>
      <c r="E5799">
        <v>362</v>
      </c>
      <c r="F5799" s="5">
        <v>43862</v>
      </c>
      <c r="G5799">
        <v>-483</v>
      </c>
      <c r="H5799" t="s">
        <v>57</v>
      </c>
    </row>
    <row r="5800" spans="1:8" x14ac:dyDescent="0.3">
      <c r="A5800">
        <v>493</v>
      </c>
      <c r="B5800" s="5">
        <v>43875</v>
      </c>
      <c r="C5800" t="s">
        <v>10</v>
      </c>
      <c r="D5800">
        <v>173</v>
      </c>
      <c r="E5800">
        <v>535</v>
      </c>
      <c r="F5800" s="5">
        <v>43862</v>
      </c>
      <c r="G5800">
        <v>173</v>
      </c>
      <c r="H5800" t="s">
        <v>57</v>
      </c>
    </row>
    <row r="5801" spans="1:8" x14ac:dyDescent="0.3">
      <c r="A5801">
        <v>493</v>
      </c>
      <c r="B5801" s="5">
        <v>43881</v>
      </c>
      <c r="C5801" t="s">
        <v>12</v>
      </c>
      <c r="D5801">
        <v>894</v>
      </c>
      <c r="E5801">
        <v>-359</v>
      </c>
      <c r="F5801" s="5">
        <v>43862</v>
      </c>
      <c r="G5801">
        <v>-894</v>
      </c>
      <c r="H5801" t="s">
        <v>58</v>
      </c>
    </row>
    <row r="5802" spans="1:8" x14ac:dyDescent="0.3">
      <c r="A5802">
        <v>493</v>
      </c>
      <c r="B5802" s="5">
        <v>43890</v>
      </c>
      <c r="C5802" t="s">
        <v>12</v>
      </c>
      <c r="D5802">
        <v>465</v>
      </c>
      <c r="E5802">
        <v>-824</v>
      </c>
      <c r="F5802" s="5">
        <v>43862</v>
      </c>
      <c r="G5802">
        <v>-465</v>
      </c>
      <c r="H5802" t="s">
        <v>58</v>
      </c>
    </row>
    <row r="5803" spans="1:8" x14ac:dyDescent="0.3">
      <c r="A5803">
        <v>493</v>
      </c>
      <c r="B5803" s="5">
        <v>43928</v>
      </c>
      <c r="C5803" t="s">
        <v>10</v>
      </c>
      <c r="D5803">
        <v>918</v>
      </c>
      <c r="E5803">
        <v>94</v>
      </c>
      <c r="F5803" s="5">
        <v>43922</v>
      </c>
      <c r="G5803">
        <v>918</v>
      </c>
      <c r="H5803" t="s">
        <v>57</v>
      </c>
    </row>
    <row r="5804" spans="1:8" x14ac:dyDescent="0.3">
      <c r="A5804">
        <v>493</v>
      </c>
      <c r="B5804" s="5">
        <v>43933</v>
      </c>
      <c r="C5804" t="s">
        <v>12</v>
      </c>
      <c r="D5804">
        <v>832</v>
      </c>
      <c r="E5804">
        <v>-738</v>
      </c>
      <c r="F5804" s="5">
        <v>43922</v>
      </c>
      <c r="G5804">
        <v>-832</v>
      </c>
      <c r="H5804" t="s">
        <v>58</v>
      </c>
    </row>
    <row r="5805" spans="1:8" x14ac:dyDescent="0.3">
      <c r="A5805">
        <v>494</v>
      </c>
      <c r="B5805" s="5">
        <v>43850</v>
      </c>
      <c r="C5805" t="s">
        <v>10</v>
      </c>
      <c r="D5805">
        <v>529</v>
      </c>
      <c r="E5805">
        <v>529</v>
      </c>
      <c r="F5805" s="5">
        <v>43831</v>
      </c>
      <c r="G5805">
        <v>529</v>
      </c>
      <c r="H5805" t="s">
        <v>57</v>
      </c>
    </row>
    <row r="5806" spans="1:8" x14ac:dyDescent="0.3">
      <c r="A5806">
        <v>494</v>
      </c>
      <c r="B5806" s="5">
        <v>43864</v>
      </c>
      <c r="C5806" t="s">
        <v>12</v>
      </c>
      <c r="D5806">
        <v>286</v>
      </c>
      <c r="E5806">
        <v>243</v>
      </c>
      <c r="F5806" s="5">
        <v>43862</v>
      </c>
      <c r="G5806">
        <v>-286</v>
      </c>
      <c r="H5806" t="s">
        <v>57</v>
      </c>
    </row>
    <row r="5807" spans="1:8" x14ac:dyDescent="0.3">
      <c r="A5807">
        <v>494</v>
      </c>
      <c r="B5807" s="5">
        <v>43874</v>
      </c>
      <c r="C5807" t="s">
        <v>10</v>
      </c>
      <c r="D5807">
        <v>666</v>
      </c>
      <c r="E5807">
        <v>909</v>
      </c>
      <c r="F5807" s="5">
        <v>43862</v>
      </c>
      <c r="G5807">
        <v>666</v>
      </c>
      <c r="H5807" t="s">
        <v>57</v>
      </c>
    </row>
    <row r="5808" spans="1:8" x14ac:dyDescent="0.3">
      <c r="A5808">
        <v>494</v>
      </c>
      <c r="B5808" s="5">
        <v>43902</v>
      </c>
      <c r="C5808" t="s">
        <v>10</v>
      </c>
      <c r="D5808">
        <v>538</v>
      </c>
      <c r="E5808">
        <v>1447</v>
      </c>
      <c r="F5808" s="5">
        <v>43891</v>
      </c>
      <c r="G5808">
        <v>538</v>
      </c>
      <c r="H5808" t="s">
        <v>57</v>
      </c>
    </row>
    <row r="5809" spans="1:8" x14ac:dyDescent="0.3">
      <c r="A5809">
        <v>495</v>
      </c>
      <c r="B5809" s="5">
        <v>43847</v>
      </c>
      <c r="C5809" t="s">
        <v>10</v>
      </c>
      <c r="D5809">
        <v>433</v>
      </c>
      <c r="E5809">
        <v>433</v>
      </c>
      <c r="F5809" s="5">
        <v>43831</v>
      </c>
      <c r="G5809">
        <v>433</v>
      </c>
      <c r="H5809" t="s">
        <v>57</v>
      </c>
    </row>
    <row r="5810" spans="1:8" x14ac:dyDescent="0.3">
      <c r="A5810">
        <v>495</v>
      </c>
      <c r="B5810" s="5">
        <v>43854</v>
      </c>
      <c r="C5810" t="s">
        <v>11</v>
      </c>
      <c r="D5810">
        <v>719</v>
      </c>
      <c r="E5810">
        <v>-286</v>
      </c>
      <c r="F5810" s="5">
        <v>43831</v>
      </c>
      <c r="G5810">
        <v>-719</v>
      </c>
      <c r="H5810" t="s">
        <v>58</v>
      </c>
    </row>
    <row r="5811" spans="1:8" x14ac:dyDescent="0.3">
      <c r="A5811">
        <v>495</v>
      </c>
      <c r="B5811" s="5">
        <v>43878</v>
      </c>
      <c r="C5811" t="s">
        <v>11</v>
      </c>
      <c r="D5811">
        <v>422</v>
      </c>
      <c r="E5811">
        <v>-708</v>
      </c>
      <c r="F5811" s="5">
        <v>43862</v>
      </c>
      <c r="G5811">
        <v>-422</v>
      </c>
      <c r="H5811" t="s">
        <v>58</v>
      </c>
    </row>
    <row r="5812" spans="1:8" x14ac:dyDescent="0.3">
      <c r="A5812">
        <v>495</v>
      </c>
      <c r="B5812" s="5">
        <v>43878</v>
      </c>
      <c r="C5812" t="s">
        <v>10</v>
      </c>
      <c r="D5812">
        <v>32</v>
      </c>
      <c r="E5812">
        <v>-676</v>
      </c>
      <c r="F5812" s="5">
        <v>43862</v>
      </c>
      <c r="G5812">
        <v>32</v>
      </c>
      <c r="H5812" t="s">
        <v>58</v>
      </c>
    </row>
    <row r="5813" spans="1:8" x14ac:dyDescent="0.3">
      <c r="A5813">
        <v>495</v>
      </c>
      <c r="B5813" s="5">
        <v>43888</v>
      </c>
      <c r="C5813" t="s">
        <v>12</v>
      </c>
      <c r="D5813">
        <v>762</v>
      </c>
      <c r="E5813">
        <v>-1438</v>
      </c>
      <c r="F5813" s="5">
        <v>43862</v>
      </c>
      <c r="G5813">
        <v>-762</v>
      </c>
      <c r="H5813" t="s">
        <v>58</v>
      </c>
    </row>
    <row r="5814" spans="1:8" x14ac:dyDescent="0.3">
      <c r="A5814">
        <v>495</v>
      </c>
      <c r="B5814" s="5">
        <v>43911</v>
      </c>
      <c r="C5814" t="s">
        <v>10</v>
      </c>
      <c r="D5814">
        <v>811</v>
      </c>
      <c r="E5814">
        <v>-627</v>
      </c>
      <c r="F5814" s="5">
        <v>43891</v>
      </c>
      <c r="G5814">
        <v>811</v>
      </c>
      <c r="H5814" t="s">
        <v>58</v>
      </c>
    </row>
    <row r="5815" spans="1:8" x14ac:dyDescent="0.3">
      <c r="A5815">
        <v>495</v>
      </c>
      <c r="B5815" s="5">
        <v>43918</v>
      </c>
      <c r="C5815" t="s">
        <v>10</v>
      </c>
      <c r="D5815">
        <v>538</v>
      </c>
      <c r="E5815">
        <v>-89</v>
      </c>
      <c r="F5815" s="5">
        <v>43891</v>
      </c>
      <c r="G5815">
        <v>538</v>
      </c>
      <c r="H5815" t="s">
        <v>58</v>
      </c>
    </row>
    <row r="5816" spans="1:8" x14ac:dyDescent="0.3">
      <c r="A5816">
        <v>496</v>
      </c>
      <c r="B5816" s="5">
        <v>43836</v>
      </c>
      <c r="C5816" t="s">
        <v>10</v>
      </c>
      <c r="D5816">
        <v>47</v>
      </c>
      <c r="E5816">
        <v>47</v>
      </c>
      <c r="F5816" s="5">
        <v>43831</v>
      </c>
      <c r="G5816">
        <v>47</v>
      </c>
      <c r="H5816" t="s">
        <v>57</v>
      </c>
    </row>
    <row r="5817" spans="1:8" x14ac:dyDescent="0.3">
      <c r="A5817">
        <v>496</v>
      </c>
      <c r="B5817" s="5">
        <v>43872</v>
      </c>
      <c r="C5817" t="s">
        <v>12</v>
      </c>
      <c r="D5817">
        <v>989</v>
      </c>
      <c r="E5817">
        <v>-942</v>
      </c>
      <c r="F5817" s="5">
        <v>43862</v>
      </c>
      <c r="G5817">
        <v>-989</v>
      </c>
      <c r="H5817" t="s">
        <v>58</v>
      </c>
    </row>
    <row r="5818" spans="1:8" x14ac:dyDescent="0.3">
      <c r="A5818">
        <v>496</v>
      </c>
      <c r="B5818" s="5">
        <v>43880</v>
      </c>
      <c r="C5818" t="s">
        <v>11</v>
      </c>
      <c r="D5818">
        <v>939</v>
      </c>
      <c r="E5818">
        <v>-1881</v>
      </c>
      <c r="F5818" s="5">
        <v>43862</v>
      </c>
      <c r="G5818">
        <v>-939</v>
      </c>
      <c r="H5818" t="s">
        <v>58</v>
      </c>
    </row>
    <row r="5819" spans="1:8" x14ac:dyDescent="0.3">
      <c r="A5819">
        <v>496</v>
      </c>
      <c r="B5819" s="5">
        <v>43880</v>
      </c>
      <c r="C5819" t="s">
        <v>12</v>
      </c>
      <c r="D5819">
        <v>614</v>
      </c>
      <c r="E5819">
        <v>-2495</v>
      </c>
      <c r="F5819" s="5">
        <v>43862</v>
      </c>
      <c r="G5819">
        <v>-614</v>
      </c>
      <c r="H5819" t="s">
        <v>58</v>
      </c>
    </row>
    <row r="5820" spans="1:8" x14ac:dyDescent="0.3">
      <c r="A5820">
        <v>496</v>
      </c>
      <c r="B5820" s="5">
        <v>43883</v>
      </c>
      <c r="C5820" t="s">
        <v>12</v>
      </c>
      <c r="D5820">
        <v>581</v>
      </c>
      <c r="E5820">
        <v>-3076</v>
      </c>
      <c r="F5820" s="5">
        <v>43862</v>
      </c>
      <c r="G5820">
        <v>-581</v>
      </c>
      <c r="H5820" t="s">
        <v>58</v>
      </c>
    </row>
    <row r="5821" spans="1:8" x14ac:dyDescent="0.3">
      <c r="A5821">
        <v>496</v>
      </c>
      <c r="B5821" s="5">
        <v>43904</v>
      </c>
      <c r="C5821" t="s">
        <v>10</v>
      </c>
      <c r="D5821">
        <v>650</v>
      </c>
      <c r="E5821">
        <v>-2426</v>
      </c>
      <c r="F5821" s="5">
        <v>43891</v>
      </c>
      <c r="G5821">
        <v>650</v>
      </c>
      <c r="H5821" t="s">
        <v>58</v>
      </c>
    </row>
    <row r="5822" spans="1:8" x14ac:dyDescent="0.3">
      <c r="A5822">
        <v>497</v>
      </c>
      <c r="B5822" s="5">
        <v>43860</v>
      </c>
      <c r="C5822" t="s">
        <v>10</v>
      </c>
      <c r="D5822">
        <v>754</v>
      </c>
      <c r="E5822">
        <v>754</v>
      </c>
      <c r="F5822" s="5">
        <v>43831</v>
      </c>
      <c r="G5822">
        <v>754</v>
      </c>
      <c r="H5822" t="s">
        <v>57</v>
      </c>
    </row>
    <row r="5823" spans="1:8" x14ac:dyDescent="0.3">
      <c r="A5823">
        <v>497</v>
      </c>
      <c r="B5823" s="5">
        <v>43876</v>
      </c>
      <c r="C5823" t="s">
        <v>11</v>
      </c>
      <c r="D5823">
        <v>291</v>
      </c>
      <c r="E5823">
        <v>463</v>
      </c>
      <c r="F5823" s="5">
        <v>43862</v>
      </c>
      <c r="G5823">
        <v>-291</v>
      </c>
      <c r="H5823" t="s">
        <v>57</v>
      </c>
    </row>
    <row r="5824" spans="1:8" x14ac:dyDescent="0.3">
      <c r="A5824">
        <v>497</v>
      </c>
      <c r="B5824" s="5">
        <v>43878</v>
      </c>
      <c r="C5824" t="s">
        <v>10</v>
      </c>
      <c r="D5824">
        <v>540</v>
      </c>
      <c r="E5824">
        <v>1003</v>
      </c>
      <c r="F5824" s="5">
        <v>43862</v>
      </c>
      <c r="G5824">
        <v>540</v>
      </c>
      <c r="H5824" t="s">
        <v>57</v>
      </c>
    </row>
    <row r="5825" spans="1:8" x14ac:dyDescent="0.3">
      <c r="A5825">
        <v>497</v>
      </c>
      <c r="B5825" s="5">
        <v>43897</v>
      </c>
      <c r="C5825" t="s">
        <v>10</v>
      </c>
      <c r="D5825">
        <v>736</v>
      </c>
      <c r="E5825">
        <v>1739</v>
      </c>
      <c r="F5825" s="5">
        <v>43891</v>
      </c>
      <c r="G5825">
        <v>736</v>
      </c>
      <c r="H5825" t="s">
        <v>57</v>
      </c>
    </row>
    <row r="5826" spans="1:8" x14ac:dyDescent="0.3">
      <c r="A5826">
        <v>497</v>
      </c>
      <c r="B5826" s="5">
        <v>43942</v>
      </c>
      <c r="C5826" t="s">
        <v>10</v>
      </c>
      <c r="D5826">
        <v>942</v>
      </c>
      <c r="E5826">
        <v>2681</v>
      </c>
      <c r="F5826" s="5">
        <v>43922</v>
      </c>
      <c r="G5826">
        <v>942</v>
      </c>
      <c r="H5826" t="s">
        <v>57</v>
      </c>
    </row>
    <row r="5827" spans="1:8" x14ac:dyDescent="0.3">
      <c r="A5827">
        <v>497</v>
      </c>
      <c r="B5827" s="5">
        <v>43945</v>
      </c>
      <c r="C5827" t="s">
        <v>11</v>
      </c>
      <c r="D5827">
        <v>1</v>
      </c>
      <c r="E5827">
        <v>2680</v>
      </c>
      <c r="F5827" s="5">
        <v>43922</v>
      </c>
      <c r="G5827">
        <v>-1</v>
      </c>
      <c r="H5827" t="s">
        <v>57</v>
      </c>
    </row>
    <row r="5828" spans="1:8" x14ac:dyDescent="0.3">
      <c r="A5828">
        <v>498</v>
      </c>
      <c r="B5828" s="5">
        <v>43849</v>
      </c>
      <c r="C5828" t="s">
        <v>10</v>
      </c>
      <c r="D5828">
        <v>774</v>
      </c>
      <c r="E5828">
        <v>774</v>
      </c>
      <c r="F5828" s="5">
        <v>43831</v>
      </c>
      <c r="G5828">
        <v>774</v>
      </c>
      <c r="H5828" t="s">
        <v>57</v>
      </c>
    </row>
    <row r="5829" spans="1:8" x14ac:dyDescent="0.3">
      <c r="A5829">
        <v>498</v>
      </c>
      <c r="B5829" s="5">
        <v>43858</v>
      </c>
      <c r="C5829" t="s">
        <v>10</v>
      </c>
      <c r="D5829">
        <v>277</v>
      </c>
      <c r="E5829">
        <v>1051</v>
      </c>
      <c r="F5829" s="5">
        <v>43831</v>
      </c>
      <c r="G5829">
        <v>277</v>
      </c>
      <c r="H5829" t="s">
        <v>57</v>
      </c>
    </row>
    <row r="5830" spans="1:8" x14ac:dyDescent="0.3">
      <c r="A5830">
        <v>498</v>
      </c>
      <c r="B5830" s="5">
        <v>43861</v>
      </c>
      <c r="C5830" t="s">
        <v>10</v>
      </c>
      <c r="D5830">
        <v>309</v>
      </c>
      <c r="E5830">
        <v>1360</v>
      </c>
      <c r="F5830" s="5">
        <v>43831</v>
      </c>
      <c r="G5830">
        <v>309</v>
      </c>
      <c r="H5830" t="s">
        <v>57</v>
      </c>
    </row>
    <row r="5831" spans="1:8" x14ac:dyDescent="0.3">
      <c r="A5831">
        <v>498</v>
      </c>
      <c r="B5831" s="5">
        <v>43866</v>
      </c>
      <c r="C5831" t="s">
        <v>10</v>
      </c>
      <c r="D5831">
        <v>835</v>
      </c>
      <c r="E5831">
        <v>2195</v>
      </c>
      <c r="F5831" s="5">
        <v>43862</v>
      </c>
      <c r="G5831">
        <v>835</v>
      </c>
      <c r="H5831" t="s">
        <v>57</v>
      </c>
    </row>
    <row r="5832" spans="1:8" x14ac:dyDescent="0.3">
      <c r="A5832">
        <v>498</v>
      </c>
      <c r="B5832" s="5">
        <v>43902</v>
      </c>
      <c r="C5832" t="s">
        <v>10</v>
      </c>
      <c r="D5832">
        <v>225</v>
      </c>
      <c r="E5832">
        <v>2420</v>
      </c>
      <c r="F5832" s="5">
        <v>43891</v>
      </c>
      <c r="G5832">
        <v>225</v>
      </c>
      <c r="H5832" t="s">
        <v>57</v>
      </c>
    </row>
    <row r="5833" spans="1:8" x14ac:dyDescent="0.3">
      <c r="A5833">
        <v>498</v>
      </c>
      <c r="B5833" s="5">
        <v>43906</v>
      </c>
      <c r="C5833" t="s">
        <v>10</v>
      </c>
      <c r="D5833">
        <v>296</v>
      </c>
      <c r="E5833">
        <v>2716</v>
      </c>
      <c r="F5833" s="5">
        <v>43891</v>
      </c>
      <c r="G5833">
        <v>296</v>
      </c>
      <c r="H5833" t="s">
        <v>57</v>
      </c>
    </row>
    <row r="5834" spans="1:8" x14ac:dyDescent="0.3">
      <c r="A5834">
        <v>498</v>
      </c>
      <c r="B5834" s="5">
        <v>43915</v>
      </c>
      <c r="C5834" t="s">
        <v>10</v>
      </c>
      <c r="D5834">
        <v>973</v>
      </c>
      <c r="E5834">
        <v>3689</v>
      </c>
      <c r="F5834" s="5">
        <v>43891</v>
      </c>
      <c r="G5834">
        <v>973</v>
      </c>
      <c r="H5834" t="s">
        <v>57</v>
      </c>
    </row>
    <row r="5835" spans="1:8" x14ac:dyDescent="0.3">
      <c r="A5835">
        <v>498</v>
      </c>
      <c r="B5835" s="5">
        <v>43915</v>
      </c>
      <c r="C5835" t="s">
        <v>11</v>
      </c>
      <c r="D5835">
        <v>700</v>
      </c>
      <c r="E5835">
        <v>2989</v>
      </c>
      <c r="F5835" s="5">
        <v>43891</v>
      </c>
      <c r="G5835">
        <v>-700</v>
      </c>
      <c r="H5835" t="s">
        <v>57</v>
      </c>
    </row>
    <row r="5836" spans="1:8" x14ac:dyDescent="0.3">
      <c r="A5836">
        <v>498</v>
      </c>
      <c r="B5836" s="5">
        <v>43937</v>
      </c>
      <c r="C5836" t="s">
        <v>10</v>
      </c>
      <c r="D5836">
        <v>499</v>
      </c>
      <c r="E5836">
        <v>3488</v>
      </c>
      <c r="F5836" s="5">
        <v>43922</v>
      </c>
      <c r="G5836">
        <v>499</v>
      </c>
      <c r="H5836" t="s">
        <v>57</v>
      </c>
    </row>
    <row r="5837" spans="1:8" x14ac:dyDescent="0.3">
      <c r="A5837">
        <v>499</v>
      </c>
      <c r="B5837" s="5">
        <v>43832</v>
      </c>
      <c r="C5837" t="s">
        <v>10</v>
      </c>
      <c r="D5837">
        <v>147</v>
      </c>
      <c r="E5837">
        <v>147</v>
      </c>
      <c r="F5837" s="5">
        <v>43831</v>
      </c>
      <c r="G5837">
        <v>147</v>
      </c>
      <c r="H5837" t="s">
        <v>57</v>
      </c>
    </row>
    <row r="5838" spans="1:8" x14ac:dyDescent="0.3">
      <c r="A5838">
        <v>499</v>
      </c>
      <c r="B5838" s="5">
        <v>43834</v>
      </c>
      <c r="C5838" t="s">
        <v>10</v>
      </c>
      <c r="D5838">
        <v>849</v>
      </c>
      <c r="E5838">
        <v>996</v>
      </c>
      <c r="F5838" s="5">
        <v>43831</v>
      </c>
      <c r="G5838">
        <v>849</v>
      </c>
      <c r="H5838" t="s">
        <v>57</v>
      </c>
    </row>
    <row r="5839" spans="1:8" x14ac:dyDescent="0.3">
      <c r="A5839">
        <v>499</v>
      </c>
      <c r="B5839" s="5">
        <v>43842</v>
      </c>
      <c r="C5839" t="s">
        <v>12</v>
      </c>
      <c r="D5839">
        <v>934</v>
      </c>
      <c r="E5839">
        <v>62</v>
      </c>
      <c r="F5839" s="5">
        <v>43831</v>
      </c>
      <c r="G5839">
        <v>-934</v>
      </c>
      <c r="H5839" t="s">
        <v>57</v>
      </c>
    </row>
    <row r="5840" spans="1:8" x14ac:dyDescent="0.3">
      <c r="A5840">
        <v>499</v>
      </c>
      <c r="B5840" s="5">
        <v>43845</v>
      </c>
      <c r="C5840" t="s">
        <v>11</v>
      </c>
      <c r="D5840">
        <v>71</v>
      </c>
      <c r="E5840">
        <v>-9</v>
      </c>
      <c r="F5840" s="5">
        <v>43831</v>
      </c>
      <c r="G5840">
        <v>-71</v>
      </c>
      <c r="H5840" t="s">
        <v>58</v>
      </c>
    </row>
    <row r="5841" spans="1:8" x14ac:dyDescent="0.3">
      <c r="A5841">
        <v>499</v>
      </c>
      <c r="B5841" s="5">
        <v>43848</v>
      </c>
      <c r="C5841" t="s">
        <v>10</v>
      </c>
      <c r="D5841">
        <v>150</v>
      </c>
      <c r="E5841">
        <v>141</v>
      </c>
      <c r="F5841" s="5">
        <v>43831</v>
      </c>
      <c r="G5841">
        <v>150</v>
      </c>
      <c r="H5841" t="s">
        <v>57</v>
      </c>
    </row>
    <row r="5842" spans="1:8" x14ac:dyDescent="0.3">
      <c r="A5842">
        <v>499</v>
      </c>
      <c r="B5842" s="5">
        <v>43850</v>
      </c>
      <c r="C5842" t="s">
        <v>12</v>
      </c>
      <c r="D5842">
        <v>699</v>
      </c>
      <c r="E5842">
        <v>-558</v>
      </c>
      <c r="F5842" s="5">
        <v>43831</v>
      </c>
      <c r="G5842">
        <v>-699</v>
      </c>
      <c r="H5842" t="s">
        <v>58</v>
      </c>
    </row>
    <row r="5843" spans="1:8" x14ac:dyDescent="0.3">
      <c r="A5843">
        <v>499</v>
      </c>
      <c r="B5843" s="5">
        <v>43861</v>
      </c>
      <c r="C5843" t="s">
        <v>10</v>
      </c>
      <c r="D5843">
        <v>254</v>
      </c>
      <c r="E5843">
        <v>-304</v>
      </c>
      <c r="F5843" s="5">
        <v>43831</v>
      </c>
      <c r="G5843">
        <v>254</v>
      </c>
      <c r="H5843" t="s">
        <v>58</v>
      </c>
    </row>
    <row r="5844" spans="1:8" x14ac:dyDescent="0.3">
      <c r="A5844">
        <v>499</v>
      </c>
      <c r="B5844" s="5">
        <v>43871</v>
      </c>
      <c r="C5844" t="s">
        <v>10</v>
      </c>
      <c r="D5844">
        <v>925</v>
      </c>
      <c r="E5844">
        <v>621</v>
      </c>
      <c r="F5844" s="5">
        <v>43862</v>
      </c>
      <c r="G5844">
        <v>925</v>
      </c>
      <c r="H5844" t="s">
        <v>57</v>
      </c>
    </row>
    <row r="5845" spans="1:8" x14ac:dyDescent="0.3">
      <c r="A5845">
        <v>499</v>
      </c>
      <c r="B5845" s="5">
        <v>43872</v>
      </c>
      <c r="C5845" t="s">
        <v>11</v>
      </c>
      <c r="D5845">
        <v>416</v>
      </c>
      <c r="E5845">
        <v>205</v>
      </c>
      <c r="F5845" s="5">
        <v>43862</v>
      </c>
      <c r="G5845">
        <v>-416</v>
      </c>
      <c r="H5845" t="s">
        <v>57</v>
      </c>
    </row>
    <row r="5846" spans="1:8" x14ac:dyDescent="0.3">
      <c r="A5846">
        <v>499</v>
      </c>
      <c r="B5846" s="5">
        <v>43878</v>
      </c>
      <c r="C5846" t="s">
        <v>12</v>
      </c>
      <c r="D5846">
        <v>228</v>
      </c>
      <c r="E5846">
        <v>-23</v>
      </c>
      <c r="F5846" s="5">
        <v>43862</v>
      </c>
      <c r="G5846">
        <v>-228</v>
      </c>
      <c r="H5846" t="s">
        <v>58</v>
      </c>
    </row>
    <row r="5847" spans="1:8" x14ac:dyDescent="0.3">
      <c r="A5847">
        <v>499</v>
      </c>
      <c r="B5847" s="5">
        <v>43881</v>
      </c>
      <c r="C5847" t="s">
        <v>10</v>
      </c>
      <c r="D5847">
        <v>547</v>
      </c>
      <c r="E5847">
        <v>524</v>
      </c>
      <c r="F5847" s="5">
        <v>43862</v>
      </c>
      <c r="G5847">
        <v>547</v>
      </c>
      <c r="H5847" t="s">
        <v>57</v>
      </c>
    </row>
    <row r="5848" spans="1:8" x14ac:dyDescent="0.3">
      <c r="A5848">
        <v>499</v>
      </c>
      <c r="B5848" s="5">
        <v>43881</v>
      </c>
      <c r="C5848" t="s">
        <v>10</v>
      </c>
      <c r="D5848">
        <v>891</v>
      </c>
      <c r="E5848">
        <v>1415</v>
      </c>
      <c r="F5848" s="5">
        <v>43862</v>
      </c>
      <c r="G5848">
        <v>891</v>
      </c>
      <c r="H5848" t="s">
        <v>57</v>
      </c>
    </row>
    <row r="5849" spans="1:8" x14ac:dyDescent="0.3">
      <c r="A5849">
        <v>499</v>
      </c>
      <c r="B5849" s="5">
        <v>43891</v>
      </c>
      <c r="C5849" t="s">
        <v>11</v>
      </c>
      <c r="D5849">
        <v>279</v>
      </c>
      <c r="E5849">
        <v>1136</v>
      </c>
      <c r="F5849" s="5">
        <v>43891</v>
      </c>
      <c r="G5849">
        <v>-279</v>
      </c>
      <c r="H5849" t="s">
        <v>57</v>
      </c>
    </row>
    <row r="5850" spans="1:8" x14ac:dyDescent="0.3">
      <c r="A5850">
        <v>499</v>
      </c>
      <c r="B5850" s="5">
        <v>43894</v>
      </c>
      <c r="C5850" t="s">
        <v>11</v>
      </c>
      <c r="D5850">
        <v>367</v>
      </c>
      <c r="E5850">
        <v>769</v>
      </c>
      <c r="F5850" s="5">
        <v>43891</v>
      </c>
      <c r="G5850">
        <v>-367</v>
      </c>
      <c r="H5850" t="s">
        <v>57</v>
      </c>
    </row>
    <row r="5851" spans="1:8" x14ac:dyDescent="0.3">
      <c r="A5851">
        <v>499</v>
      </c>
      <c r="B5851" s="5">
        <v>43902</v>
      </c>
      <c r="C5851" t="s">
        <v>10</v>
      </c>
      <c r="D5851">
        <v>754</v>
      </c>
      <c r="E5851">
        <v>1523</v>
      </c>
      <c r="F5851" s="5">
        <v>43891</v>
      </c>
      <c r="G5851">
        <v>754</v>
      </c>
      <c r="H5851" t="s">
        <v>57</v>
      </c>
    </row>
    <row r="5852" spans="1:8" x14ac:dyDescent="0.3">
      <c r="A5852">
        <v>499</v>
      </c>
      <c r="B5852" s="5">
        <v>43905</v>
      </c>
      <c r="C5852" t="s">
        <v>11</v>
      </c>
      <c r="D5852">
        <v>627</v>
      </c>
      <c r="E5852">
        <v>896</v>
      </c>
      <c r="F5852" s="5">
        <v>43891</v>
      </c>
      <c r="G5852">
        <v>-627</v>
      </c>
      <c r="H5852" t="s">
        <v>57</v>
      </c>
    </row>
    <row r="5853" spans="1:8" x14ac:dyDescent="0.3">
      <c r="A5853">
        <v>499</v>
      </c>
      <c r="B5853" s="5">
        <v>43907</v>
      </c>
      <c r="C5853" t="s">
        <v>12</v>
      </c>
      <c r="D5853">
        <v>297</v>
      </c>
      <c r="E5853">
        <v>599</v>
      </c>
      <c r="F5853" s="5">
        <v>43891</v>
      </c>
      <c r="G5853">
        <v>-297</v>
      </c>
      <c r="H5853" t="s">
        <v>57</v>
      </c>
    </row>
    <row r="5854" spans="1:8" x14ac:dyDescent="0.3">
      <c r="A5854">
        <v>500</v>
      </c>
      <c r="B5854" s="5">
        <v>43846</v>
      </c>
      <c r="C5854" t="s">
        <v>10</v>
      </c>
      <c r="D5854">
        <v>909</v>
      </c>
      <c r="E5854">
        <v>909</v>
      </c>
      <c r="F5854" s="5">
        <v>43831</v>
      </c>
      <c r="G5854">
        <v>909</v>
      </c>
      <c r="H5854" t="s">
        <v>57</v>
      </c>
    </row>
    <row r="5855" spans="1:8" x14ac:dyDescent="0.3">
      <c r="A5855">
        <v>500</v>
      </c>
      <c r="B5855" s="5">
        <v>43846</v>
      </c>
      <c r="C5855" t="s">
        <v>10</v>
      </c>
      <c r="D5855">
        <v>227</v>
      </c>
      <c r="E5855">
        <v>1136</v>
      </c>
      <c r="F5855" s="5">
        <v>43831</v>
      </c>
      <c r="G5855">
        <v>227</v>
      </c>
      <c r="H5855" t="s">
        <v>57</v>
      </c>
    </row>
    <row r="5856" spans="1:8" x14ac:dyDescent="0.3">
      <c r="A5856">
        <v>500</v>
      </c>
      <c r="B5856" s="5">
        <v>43848</v>
      </c>
      <c r="C5856" t="s">
        <v>10</v>
      </c>
      <c r="D5856">
        <v>308</v>
      </c>
      <c r="E5856">
        <v>1444</v>
      </c>
      <c r="F5856" s="5">
        <v>43831</v>
      </c>
      <c r="G5856">
        <v>308</v>
      </c>
      <c r="H5856" t="s">
        <v>57</v>
      </c>
    </row>
    <row r="5857" spans="1:8" x14ac:dyDescent="0.3">
      <c r="A5857">
        <v>500</v>
      </c>
      <c r="B5857" s="5">
        <v>43855</v>
      </c>
      <c r="C5857" t="s">
        <v>12</v>
      </c>
      <c r="D5857">
        <v>986</v>
      </c>
      <c r="E5857">
        <v>458</v>
      </c>
      <c r="F5857" s="5">
        <v>43831</v>
      </c>
      <c r="G5857">
        <v>-986</v>
      </c>
      <c r="H5857" t="s">
        <v>57</v>
      </c>
    </row>
    <row r="5858" spans="1:8" x14ac:dyDescent="0.3">
      <c r="A5858">
        <v>500</v>
      </c>
      <c r="B5858" s="5">
        <v>43857</v>
      </c>
      <c r="C5858" t="s">
        <v>10</v>
      </c>
      <c r="D5858">
        <v>214</v>
      </c>
      <c r="E5858">
        <v>672</v>
      </c>
      <c r="F5858" s="5">
        <v>43831</v>
      </c>
      <c r="G5858">
        <v>214</v>
      </c>
      <c r="H5858" t="s">
        <v>57</v>
      </c>
    </row>
    <row r="5859" spans="1:8" x14ac:dyDescent="0.3">
      <c r="A5859">
        <v>500</v>
      </c>
      <c r="B5859" s="5">
        <v>43860</v>
      </c>
      <c r="C5859" t="s">
        <v>10</v>
      </c>
      <c r="D5859">
        <v>922</v>
      </c>
      <c r="E5859">
        <v>1594</v>
      </c>
      <c r="F5859" s="5">
        <v>43831</v>
      </c>
      <c r="G5859">
        <v>922</v>
      </c>
      <c r="H5859" t="s">
        <v>57</v>
      </c>
    </row>
    <row r="5860" spans="1:8" x14ac:dyDescent="0.3">
      <c r="A5860">
        <v>500</v>
      </c>
      <c r="B5860" s="5">
        <v>43862</v>
      </c>
      <c r="C5860" t="s">
        <v>10</v>
      </c>
      <c r="D5860">
        <v>715</v>
      </c>
      <c r="E5860">
        <v>2309</v>
      </c>
      <c r="F5860" s="5">
        <v>43862</v>
      </c>
      <c r="G5860">
        <v>715</v>
      </c>
      <c r="H5860" t="s">
        <v>57</v>
      </c>
    </row>
    <row r="5861" spans="1:8" x14ac:dyDescent="0.3">
      <c r="A5861">
        <v>500</v>
      </c>
      <c r="B5861" s="5">
        <v>43868</v>
      </c>
      <c r="C5861" t="s">
        <v>11</v>
      </c>
      <c r="D5861">
        <v>49</v>
      </c>
      <c r="E5861">
        <v>2260</v>
      </c>
      <c r="F5861" s="5">
        <v>43862</v>
      </c>
      <c r="G5861">
        <v>-49</v>
      </c>
      <c r="H5861" t="s">
        <v>57</v>
      </c>
    </row>
    <row r="5862" spans="1:8" x14ac:dyDescent="0.3">
      <c r="A5862">
        <v>500</v>
      </c>
      <c r="B5862" s="5">
        <v>43884</v>
      </c>
      <c r="C5862" t="s">
        <v>10</v>
      </c>
      <c r="D5862">
        <v>721</v>
      </c>
      <c r="E5862">
        <v>2981</v>
      </c>
      <c r="F5862" s="5">
        <v>43862</v>
      </c>
      <c r="G5862">
        <v>721</v>
      </c>
      <c r="H5862" t="s">
        <v>57</v>
      </c>
    </row>
    <row r="5863" spans="1:8" x14ac:dyDescent="0.3">
      <c r="A5863">
        <v>500</v>
      </c>
      <c r="B5863" s="5">
        <v>43891</v>
      </c>
      <c r="C5863" t="s">
        <v>11</v>
      </c>
      <c r="D5863">
        <v>929</v>
      </c>
      <c r="E5863">
        <v>2052</v>
      </c>
      <c r="F5863" s="5">
        <v>43891</v>
      </c>
      <c r="G5863">
        <v>-929</v>
      </c>
      <c r="H5863" t="s">
        <v>57</v>
      </c>
    </row>
    <row r="5864" spans="1:8" x14ac:dyDescent="0.3">
      <c r="A5864">
        <v>500</v>
      </c>
      <c r="B5864" s="5">
        <v>43892</v>
      </c>
      <c r="C5864" t="s">
        <v>10</v>
      </c>
      <c r="D5864">
        <v>862</v>
      </c>
      <c r="E5864">
        <v>2914</v>
      </c>
      <c r="F5864" s="5">
        <v>43891</v>
      </c>
      <c r="G5864">
        <v>862</v>
      </c>
      <c r="H5864" t="s">
        <v>57</v>
      </c>
    </row>
    <row r="5865" spans="1:8" x14ac:dyDescent="0.3">
      <c r="A5865">
        <v>500</v>
      </c>
      <c r="B5865" s="5">
        <v>43897</v>
      </c>
      <c r="C5865" t="s">
        <v>11</v>
      </c>
      <c r="D5865">
        <v>452</v>
      </c>
      <c r="E5865">
        <v>2462</v>
      </c>
      <c r="F5865" s="5">
        <v>43891</v>
      </c>
      <c r="G5865">
        <v>-452</v>
      </c>
      <c r="H5865" t="s">
        <v>57</v>
      </c>
    </row>
    <row r="5866" spans="1:8" x14ac:dyDescent="0.3">
      <c r="A5866">
        <v>500</v>
      </c>
      <c r="B5866" s="5">
        <v>43901</v>
      </c>
      <c r="C5866" t="s">
        <v>11</v>
      </c>
      <c r="D5866">
        <v>426</v>
      </c>
      <c r="E5866">
        <v>2036</v>
      </c>
      <c r="F5866" s="5">
        <v>43891</v>
      </c>
      <c r="G5866">
        <v>-426</v>
      </c>
      <c r="H5866" t="s">
        <v>57</v>
      </c>
    </row>
    <row r="5867" spans="1:8" x14ac:dyDescent="0.3">
      <c r="A5867">
        <v>500</v>
      </c>
      <c r="B5867" s="5">
        <v>43907</v>
      </c>
      <c r="C5867" t="s">
        <v>10</v>
      </c>
      <c r="D5867">
        <v>344</v>
      </c>
      <c r="E5867">
        <v>2380</v>
      </c>
      <c r="F5867" s="5">
        <v>43891</v>
      </c>
      <c r="G5867">
        <v>344</v>
      </c>
      <c r="H5867" t="s">
        <v>57</v>
      </c>
    </row>
    <row r="5868" spans="1:8" x14ac:dyDescent="0.3">
      <c r="A5868">
        <v>500</v>
      </c>
      <c r="B5868" s="5">
        <v>43912</v>
      </c>
      <c r="C5868" t="s">
        <v>12</v>
      </c>
      <c r="D5868">
        <v>954</v>
      </c>
      <c r="E5868">
        <v>1426</v>
      </c>
      <c r="F5868" s="5">
        <v>43891</v>
      </c>
      <c r="G5868">
        <v>-954</v>
      </c>
      <c r="H5868" t="s">
        <v>57</v>
      </c>
    </row>
    <row r="5869" spans="1:8" x14ac:dyDescent="0.3">
      <c r="A5869">
        <v>500</v>
      </c>
      <c r="B5869" s="5">
        <v>43915</v>
      </c>
      <c r="C5869" t="s">
        <v>10</v>
      </c>
      <c r="D5869">
        <v>825</v>
      </c>
      <c r="E5869">
        <v>2251</v>
      </c>
      <c r="F5869" s="5">
        <v>43891</v>
      </c>
      <c r="G5869">
        <v>825</v>
      </c>
      <c r="H5869" t="s">
        <v>57</v>
      </c>
    </row>
  </sheetData>
  <conditionalFormatting sqref="E1:E5869">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1C9D-6517-4999-8FE7-5E8DFCD0350C}">
  <dimension ref="A1:O21"/>
  <sheetViews>
    <sheetView zoomScale="78" workbookViewId="0">
      <selection activeCell="B10" sqref="B10"/>
    </sheetView>
  </sheetViews>
  <sheetFormatPr defaultRowHeight="14.4" x14ac:dyDescent="0.3"/>
  <sheetData>
    <row r="1" spans="1:15" x14ac:dyDescent="0.3">
      <c r="A1" t="s">
        <v>13</v>
      </c>
      <c r="B1" t="s">
        <v>14</v>
      </c>
      <c r="C1" t="s">
        <v>15</v>
      </c>
      <c r="F1" t="s">
        <v>16</v>
      </c>
      <c r="G1" t="s">
        <v>17</v>
      </c>
      <c r="H1" t="s">
        <v>18</v>
      </c>
      <c r="J1" t="s">
        <v>19</v>
      </c>
      <c r="K1" t="s">
        <v>17</v>
      </c>
      <c r="L1" t="s">
        <v>20</v>
      </c>
      <c r="M1" t="s">
        <v>21</v>
      </c>
    </row>
    <row r="2" spans="1:15" x14ac:dyDescent="0.3">
      <c r="A2" t="s">
        <v>5</v>
      </c>
      <c r="B2">
        <v>110</v>
      </c>
      <c r="C2">
        <v>5</v>
      </c>
      <c r="F2" t="s">
        <v>0</v>
      </c>
      <c r="G2">
        <v>1497</v>
      </c>
      <c r="H2">
        <v>500</v>
      </c>
      <c r="J2" t="s">
        <v>10</v>
      </c>
      <c r="K2">
        <v>2671</v>
      </c>
      <c r="L2">
        <v>500</v>
      </c>
      <c r="M2">
        <v>1359168</v>
      </c>
    </row>
    <row r="3" spans="1:15" x14ac:dyDescent="0.3">
      <c r="A3" t="s">
        <v>6</v>
      </c>
      <c r="B3">
        <v>105</v>
      </c>
      <c r="C3">
        <v>5</v>
      </c>
      <c r="F3" t="s">
        <v>1</v>
      </c>
      <c r="G3">
        <v>1715</v>
      </c>
      <c r="H3">
        <v>455</v>
      </c>
      <c r="J3" t="s">
        <v>11</v>
      </c>
      <c r="K3">
        <v>1617</v>
      </c>
      <c r="L3">
        <v>448</v>
      </c>
      <c r="M3">
        <v>806537</v>
      </c>
    </row>
    <row r="4" spans="1:15" x14ac:dyDescent="0.3">
      <c r="A4" t="s">
        <v>7</v>
      </c>
      <c r="B4">
        <v>102</v>
      </c>
      <c r="C4">
        <v>5</v>
      </c>
      <c r="F4" t="s">
        <v>2</v>
      </c>
      <c r="G4">
        <v>1869</v>
      </c>
      <c r="H4">
        <v>456</v>
      </c>
      <c r="J4" t="s">
        <v>12</v>
      </c>
      <c r="K4">
        <v>1580</v>
      </c>
      <c r="L4">
        <v>439</v>
      </c>
      <c r="M4">
        <v>793003</v>
      </c>
    </row>
    <row r="5" spans="1:15" x14ac:dyDescent="0.3">
      <c r="A5" t="s">
        <v>8</v>
      </c>
      <c r="B5">
        <v>95</v>
      </c>
      <c r="C5">
        <v>5</v>
      </c>
      <c r="F5" t="s">
        <v>3</v>
      </c>
      <c r="G5">
        <v>787</v>
      </c>
      <c r="H5">
        <v>309</v>
      </c>
    </row>
    <row r="6" spans="1:15" x14ac:dyDescent="0.3">
      <c r="A6" t="s">
        <v>9</v>
      </c>
      <c r="B6">
        <v>88</v>
      </c>
      <c r="C6">
        <v>5</v>
      </c>
    </row>
    <row r="10" spans="1:15" x14ac:dyDescent="0.3">
      <c r="A10" t="s">
        <v>16</v>
      </c>
      <c r="B10" t="s">
        <v>22</v>
      </c>
      <c r="C10" t="s">
        <v>23</v>
      </c>
      <c r="D10" t="s">
        <v>24</v>
      </c>
      <c r="E10" t="s">
        <v>25</v>
      </c>
      <c r="G10" t="s">
        <v>16</v>
      </c>
      <c r="H10" t="s">
        <v>26</v>
      </c>
      <c r="I10" t="s">
        <v>27</v>
      </c>
      <c r="J10" t="s">
        <v>28</v>
      </c>
      <c r="L10" t="s">
        <v>16</v>
      </c>
      <c r="M10" t="s">
        <v>29</v>
      </c>
      <c r="N10" t="s">
        <v>30</v>
      </c>
      <c r="O10" t="s">
        <v>31</v>
      </c>
    </row>
    <row r="11" spans="1:15" x14ac:dyDescent="0.3">
      <c r="A11" t="s">
        <v>0</v>
      </c>
      <c r="B11">
        <v>252.18</v>
      </c>
      <c r="C11">
        <v>157</v>
      </c>
      <c r="D11">
        <v>168</v>
      </c>
      <c r="G11" t="s">
        <v>0</v>
      </c>
      <c r="J11">
        <v>356618</v>
      </c>
      <c r="L11" t="s">
        <v>0</v>
      </c>
      <c r="M11">
        <v>236276.51</v>
      </c>
      <c r="N11">
        <v>236185.32</v>
      </c>
      <c r="O11">
        <v>681.51</v>
      </c>
    </row>
    <row r="12" spans="1:15" x14ac:dyDescent="0.3">
      <c r="A12" t="s">
        <v>1</v>
      </c>
      <c r="B12">
        <v>-27.42</v>
      </c>
      <c r="C12">
        <v>237</v>
      </c>
      <c r="D12">
        <v>181</v>
      </c>
      <c r="E12">
        <v>127</v>
      </c>
      <c r="G12" t="s">
        <v>1</v>
      </c>
      <c r="H12">
        <v>235595</v>
      </c>
      <c r="I12">
        <v>128433</v>
      </c>
      <c r="J12">
        <v>410126</v>
      </c>
      <c r="L12" t="s">
        <v>1</v>
      </c>
      <c r="M12">
        <v>263436.93</v>
      </c>
      <c r="N12">
        <v>263094.77</v>
      </c>
      <c r="O12">
        <v>1247.4100000000001</v>
      </c>
    </row>
    <row r="13" spans="1:15" x14ac:dyDescent="0.3">
      <c r="A13" t="s">
        <v>2</v>
      </c>
      <c r="B13">
        <v>-369.18</v>
      </c>
      <c r="C13">
        <v>271</v>
      </c>
      <c r="D13">
        <v>192</v>
      </c>
      <c r="E13">
        <v>85</v>
      </c>
      <c r="G13" t="s">
        <v>2</v>
      </c>
      <c r="H13">
        <v>261508</v>
      </c>
      <c r="I13">
        <v>244605</v>
      </c>
      <c r="J13">
        <v>399620</v>
      </c>
      <c r="L13" t="s">
        <v>2</v>
      </c>
      <c r="M13">
        <v>264265.67</v>
      </c>
      <c r="N13">
        <v>263549.34999999998</v>
      </c>
      <c r="O13">
        <v>1365.74</v>
      </c>
    </row>
    <row r="14" spans="1:15" x14ac:dyDescent="0.3">
      <c r="A14" t="s">
        <v>3</v>
      </c>
      <c r="B14">
        <v>-480.74</v>
      </c>
      <c r="C14">
        <v>284</v>
      </c>
      <c r="D14">
        <v>70</v>
      </c>
      <c r="E14">
        <v>48</v>
      </c>
      <c r="G14" t="s">
        <v>3</v>
      </c>
      <c r="H14">
        <v>260971</v>
      </c>
      <c r="I14">
        <v>257327</v>
      </c>
      <c r="J14">
        <v>314374</v>
      </c>
      <c r="L14" t="s">
        <v>3</v>
      </c>
      <c r="M14">
        <v>269352.8</v>
      </c>
      <c r="N14">
        <v>268469.18</v>
      </c>
      <c r="O14">
        <v>1201.1300000000001</v>
      </c>
    </row>
    <row r="20" spans="1:4" x14ac:dyDescent="0.3">
      <c r="A20" t="s">
        <v>36</v>
      </c>
      <c r="B20" t="s">
        <v>37</v>
      </c>
      <c r="C20" t="s">
        <v>38</v>
      </c>
      <c r="D20" t="s">
        <v>39</v>
      </c>
    </row>
    <row r="21" spans="1:4" x14ac:dyDescent="0.3">
      <c r="A21">
        <v>-1251.1300000000001</v>
      </c>
      <c r="B21">
        <v>-9.89</v>
      </c>
      <c r="C21">
        <v>1238.56</v>
      </c>
      <c r="D21">
        <v>0.746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78A9-5118-47DD-8369-8749E186173A}">
  <sheetPr>
    <tabColor theme="2" tint="-9.9978637043366805E-2"/>
  </sheetPr>
  <dimension ref="A1:F25"/>
  <sheetViews>
    <sheetView topLeftCell="A7" workbookViewId="0">
      <selection activeCell="B24" sqref="B24"/>
    </sheetView>
  </sheetViews>
  <sheetFormatPr defaultRowHeight="14.4" x14ac:dyDescent="0.3"/>
  <cols>
    <col min="1" max="1" width="12.5546875" bestFit="1" customWidth="1"/>
    <col min="2" max="2" width="20.77734375" bestFit="1" customWidth="1"/>
    <col min="3" max="3" width="8.6640625" bestFit="1" customWidth="1"/>
    <col min="4" max="4" width="10.33203125" bestFit="1" customWidth="1"/>
    <col min="5" max="5" width="10.77734375" bestFit="1" customWidth="1"/>
    <col min="6" max="6" width="16.109375" bestFit="1" customWidth="1"/>
    <col min="7" max="7" width="21" bestFit="1" customWidth="1"/>
    <col min="8" max="8" width="21.33203125" bestFit="1" customWidth="1"/>
    <col min="9" max="9" width="28.109375" bestFit="1" customWidth="1"/>
  </cols>
  <sheetData>
    <row r="1" spans="1:6" x14ac:dyDescent="0.3">
      <c r="A1" t="s">
        <v>16</v>
      </c>
      <c r="B1" t="s">
        <v>14</v>
      </c>
      <c r="C1" t="s">
        <v>22</v>
      </c>
      <c r="D1" t="s">
        <v>59</v>
      </c>
      <c r="E1" t="s">
        <v>60</v>
      </c>
      <c r="F1" t="s">
        <v>23</v>
      </c>
    </row>
    <row r="2" spans="1:6" x14ac:dyDescent="0.3">
      <c r="A2" s="5">
        <v>43831</v>
      </c>
      <c r="B2">
        <v>500</v>
      </c>
      <c r="C2">
        <v>252.18</v>
      </c>
      <c r="D2">
        <v>-3912</v>
      </c>
      <c r="E2">
        <v>3268</v>
      </c>
      <c r="F2">
        <v>157</v>
      </c>
    </row>
    <row r="3" spans="1:6" x14ac:dyDescent="0.3">
      <c r="A3" s="5">
        <v>43862</v>
      </c>
      <c r="B3">
        <v>500</v>
      </c>
      <c r="C3">
        <v>-27.42</v>
      </c>
      <c r="D3">
        <v>-4646</v>
      </c>
      <c r="E3">
        <v>3641</v>
      </c>
      <c r="F3">
        <v>237</v>
      </c>
    </row>
    <row r="4" spans="1:6" x14ac:dyDescent="0.3">
      <c r="A4" s="5">
        <v>43891</v>
      </c>
      <c r="B4">
        <v>500</v>
      </c>
      <c r="C4">
        <v>-369.18</v>
      </c>
      <c r="D4">
        <v>-7953</v>
      </c>
      <c r="E4">
        <v>4183</v>
      </c>
      <c r="F4">
        <v>271</v>
      </c>
    </row>
    <row r="5" spans="1:6" x14ac:dyDescent="0.3">
      <c r="A5" s="5">
        <v>43922</v>
      </c>
      <c r="B5">
        <v>500</v>
      </c>
      <c r="C5">
        <v>-480.74</v>
      </c>
      <c r="D5">
        <v>-7953</v>
      </c>
      <c r="E5">
        <v>5338</v>
      </c>
      <c r="F5">
        <v>284</v>
      </c>
    </row>
    <row r="8" spans="1:6" x14ac:dyDescent="0.3">
      <c r="A8" s="42" t="s">
        <v>75</v>
      </c>
      <c r="B8" s="42" t="s">
        <v>74</v>
      </c>
      <c r="C8" s="42"/>
      <c r="D8" s="42"/>
      <c r="E8" s="42"/>
    </row>
    <row r="9" spans="1:6" x14ac:dyDescent="0.3">
      <c r="A9" s="42" t="s">
        <v>68</v>
      </c>
      <c r="B9" s="42" t="s">
        <v>10</v>
      </c>
      <c r="C9" s="42" t="s">
        <v>11</v>
      </c>
      <c r="D9" s="42" t="s">
        <v>12</v>
      </c>
      <c r="E9" s="42" t="s">
        <v>69</v>
      </c>
    </row>
    <row r="10" spans="1:6" x14ac:dyDescent="0.3">
      <c r="A10" s="43" t="s">
        <v>70</v>
      </c>
      <c r="B10" s="44">
        <v>437894</v>
      </c>
      <c r="C10" s="44">
        <v>-152761</v>
      </c>
      <c r="D10" s="44">
        <v>-159042</v>
      </c>
      <c r="E10" s="44">
        <v>126091</v>
      </c>
    </row>
    <row r="11" spans="1:6" x14ac:dyDescent="0.3">
      <c r="A11" s="43" t="s">
        <v>71</v>
      </c>
      <c r="B11" s="44">
        <v>357040</v>
      </c>
      <c r="C11" s="44">
        <v>-252227</v>
      </c>
      <c r="D11" s="44">
        <v>-244612</v>
      </c>
      <c r="E11" s="44">
        <v>-139799</v>
      </c>
    </row>
    <row r="12" spans="1:6" x14ac:dyDescent="0.3">
      <c r="A12" s="43" t="s">
        <v>72</v>
      </c>
      <c r="B12" s="44">
        <v>390103</v>
      </c>
      <c r="C12" s="44">
        <v>-276914</v>
      </c>
      <c r="D12" s="44">
        <v>-284073</v>
      </c>
      <c r="E12" s="44">
        <v>-170884</v>
      </c>
    </row>
    <row r="13" spans="1:6" x14ac:dyDescent="0.3">
      <c r="A13" s="43" t="s">
        <v>73</v>
      </c>
      <c r="B13" s="44">
        <v>174131</v>
      </c>
      <c r="C13" s="44">
        <v>-124635</v>
      </c>
      <c r="D13" s="44">
        <v>-105276</v>
      </c>
      <c r="E13" s="44">
        <v>-55780</v>
      </c>
    </row>
    <row r="14" spans="1:6" x14ac:dyDescent="0.3">
      <c r="A14" s="43" t="s">
        <v>69</v>
      </c>
      <c r="B14" s="44">
        <v>1359168</v>
      </c>
      <c r="C14" s="44">
        <v>-806537</v>
      </c>
      <c r="D14" s="44">
        <v>-793003</v>
      </c>
      <c r="E14" s="44">
        <v>-240372</v>
      </c>
    </row>
    <row r="20" spans="1:2" x14ac:dyDescent="0.3">
      <c r="A20" s="42" t="s">
        <v>68</v>
      </c>
      <c r="B20" s="42" t="s">
        <v>75</v>
      </c>
    </row>
    <row r="21" spans="1:2" x14ac:dyDescent="0.3">
      <c r="A21" s="43" t="s">
        <v>70</v>
      </c>
      <c r="B21" s="44">
        <v>126091</v>
      </c>
    </row>
    <row r="22" spans="1:2" x14ac:dyDescent="0.3">
      <c r="A22" s="43" t="s">
        <v>71</v>
      </c>
      <c r="B22" s="44">
        <v>-139799</v>
      </c>
    </row>
    <row r="23" spans="1:2" x14ac:dyDescent="0.3">
      <c r="A23" s="43" t="s">
        <v>72</v>
      </c>
      <c r="B23" s="44">
        <v>-170884</v>
      </c>
    </row>
    <row r="24" spans="1:2" x14ac:dyDescent="0.3">
      <c r="A24" s="43" t="s">
        <v>73</v>
      </c>
      <c r="B24" s="44">
        <v>-55780</v>
      </c>
    </row>
    <row r="25" spans="1:2" x14ac:dyDescent="0.3">
      <c r="A25" s="43" t="s">
        <v>69</v>
      </c>
      <c r="B25" s="44">
        <v>-240372</v>
      </c>
    </row>
  </sheetData>
  <phoneticPr fontId="6" type="noConversion"/>
  <conditionalFormatting pivot="1" sqref="B10:E14">
    <cfRule type="colorScale" priority="2">
      <colorScale>
        <cfvo type="min"/>
        <cfvo type="percentile" val="50"/>
        <cfvo type="max"/>
        <color rgb="FFF8696B"/>
        <color rgb="FFFFEB84"/>
        <color rgb="FF63BE7B"/>
      </colorScale>
    </cfRule>
  </conditionalFormatting>
  <conditionalFormatting pivot="1" sqref="B21:B25">
    <cfRule type="colorScale" priority="1">
      <colorScale>
        <cfvo type="min"/>
        <cfvo type="percentile" val="50"/>
        <cfvo type="max"/>
        <color rgb="FFF8696B"/>
        <color rgb="FFFFEB84"/>
        <color rgb="FF63BE7B"/>
      </colorScale>
    </cfRule>
  </conditionalFormatting>
  <pageMargins left="0.7" right="0.7" top="0.75" bottom="0.75" header="0.3" footer="0.3"/>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E136F5-DB5B-4F39-8E1D-1C1392EE32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OVERVIEW</vt:lpstr>
      <vt:lpstr>2. BALANCE HEALTH</vt:lpstr>
      <vt:lpstr>3. PROVISIONING</vt:lpstr>
      <vt:lpstr>EXPLORE </vt:lpstr>
      <vt:lpstr>Sheet1</vt:lpstr>
      <vt:lpstr>RAW_TXN</vt:lpstr>
      <vt:lpstr>DATA</vt:lpstr>
      <vt:lpstr>LOOKUP_MONTH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Trân Nguyễn</dc:creator>
  <cp:lastModifiedBy>Trân Nguyễn</cp:lastModifiedBy>
  <dcterms:created xsi:type="dcterms:W3CDTF">2026-08-31T18:21:15Z</dcterms:created>
  <dcterms:modified xsi:type="dcterms:W3CDTF">2026-10-02T10:56:09Z</dcterms:modified>
</cp:coreProperties>
</file>